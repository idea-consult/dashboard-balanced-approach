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Financiering van de maatregelen ‘RO en beheer’ als 2e pijler van de Ba)/dashboard-balanced-approach/data/"/>
    </mc:Choice>
  </mc:AlternateContent>
  <xr:revisionPtr revIDLastSave="10" documentId="8_{A8D997FB-75EE-4554-A57C-1236817661DF}" xr6:coauthVersionLast="47" xr6:coauthVersionMax="47" xr10:uidLastSave="{5B207ACA-FF71-4B74-8C8A-D777D5745E7D}"/>
  <bookViews>
    <workbookView xWindow="-120" yWindow="-120" windowWidth="29040" windowHeight="15720" activeTab="1" xr2:uid="{6B3E04AD-8942-4BE1-B84C-14136A9201E9}"/>
  </bookViews>
  <sheets>
    <sheet name="lden" sheetId="2" r:id="rId1"/>
    <sheet name="lnight" sheetId="4" r:id="rId2"/>
  </sheets>
  <definedNames>
    <definedName name="ExternalData_1" localSheetId="0" hidden="1">lden!$A$1:$AJ$1034</definedName>
    <definedName name="ExternalData_1" localSheetId="1" hidden="1">lnight!$A$1:$AJ$614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4" l="1"/>
  <c r="AM2" i="4" s="1"/>
  <c r="AK3" i="4"/>
  <c r="AM3" i="4" s="1"/>
  <c r="AK4" i="4"/>
  <c r="AM4" i="4" s="1"/>
  <c r="AK5" i="4"/>
  <c r="AM5" i="4" s="1"/>
  <c r="AK6" i="4"/>
  <c r="AM6" i="4" s="1"/>
  <c r="AK7" i="4"/>
  <c r="AM7" i="4" s="1"/>
  <c r="AK8" i="4"/>
  <c r="AM8" i="4" s="1"/>
  <c r="AK9" i="4"/>
  <c r="AM9" i="4" s="1"/>
  <c r="AK10" i="4"/>
  <c r="AM10" i="4" s="1"/>
  <c r="AK11" i="4"/>
  <c r="AM11" i="4" s="1"/>
  <c r="AK12" i="4"/>
  <c r="AM12" i="4" s="1"/>
  <c r="AK13" i="4"/>
  <c r="AM13" i="4" s="1"/>
  <c r="AK14" i="4"/>
  <c r="AM14" i="4" s="1"/>
  <c r="AK15" i="4"/>
  <c r="AM15" i="4" s="1"/>
  <c r="AK16" i="4"/>
  <c r="AM16" i="4" s="1"/>
  <c r="AK17" i="4"/>
  <c r="AM17" i="4" s="1"/>
  <c r="AK18" i="4"/>
  <c r="AM18" i="4" s="1"/>
  <c r="AK19" i="4"/>
  <c r="AM19" i="4" s="1"/>
  <c r="AK20" i="4"/>
  <c r="AM20" i="4" s="1"/>
  <c r="AK21" i="4"/>
  <c r="AM21" i="4" s="1"/>
  <c r="AK22" i="4"/>
  <c r="AM22" i="4" s="1"/>
  <c r="AK23" i="4"/>
  <c r="AM23" i="4" s="1"/>
  <c r="AK24" i="4"/>
  <c r="AM24" i="4" s="1"/>
  <c r="AK25" i="4"/>
  <c r="AM25" i="4" s="1"/>
  <c r="AK26" i="4"/>
  <c r="AM26" i="4" s="1"/>
  <c r="AK27" i="4"/>
  <c r="AM27" i="4" s="1"/>
  <c r="AK28" i="4"/>
  <c r="AM28" i="4" s="1"/>
  <c r="AK29" i="4"/>
  <c r="AM29" i="4" s="1"/>
  <c r="AK30" i="4"/>
  <c r="AM30" i="4" s="1"/>
  <c r="AK31" i="4"/>
  <c r="AM31" i="4" s="1"/>
  <c r="AK32" i="4"/>
  <c r="AM32" i="4" s="1"/>
  <c r="AK33" i="4"/>
  <c r="AM33" i="4" s="1"/>
  <c r="AK34" i="4"/>
  <c r="AM34" i="4" s="1"/>
  <c r="AK35" i="4"/>
  <c r="AM35" i="4" s="1"/>
  <c r="AK36" i="4"/>
  <c r="AM36" i="4" s="1"/>
  <c r="AK37" i="4"/>
  <c r="AM37" i="4" s="1"/>
  <c r="AK38" i="4"/>
  <c r="AM38" i="4" s="1"/>
  <c r="AK39" i="4"/>
  <c r="AM39" i="4" s="1"/>
  <c r="AK40" i="4"/>
  <c r="AM40" i="4" s="1"/>
  <c r="AK41" i="4"/>
  <c r="AM41" i="4" s="1"/>
  <c r="AK42" i="4"/>
  <c r="AM42" i="4" s="1"/>
  <c r="AK43" i="4"/>
  <c r="AM43" i="4" s="1"/>
  <c r="AK44" i="4"/>
  <c r="AM44" i="4" s="1"/>
  <c r="AK45" i="4"/>
  <c r="AM45" i="4" s="1"/>
  <c r="AK46" i="4"/>
  <c r="AM46" i="4" s="1"/>
  <c r="AK47" i="4"/>
  <c r="AM47" i="4" s="1"/>
  <c r="AK48" i="4"/>
  <c r="AM48" i="4" s="1"/>
  <c r="AK49" i="4"/>
  <c r="AM49" i="4" s="1"/>
  <c r="AK50" i="4"/>
  <c r="AM50" i="4" s="1"/>
  <c r="AK51" i="4"/>
  <c r="AM51" i="4" s="1"/>
  <c r="AK52" i="4"/>
  <c r="AM52" i="4" s="1"/>
  <c r="AK53" i="4"/>
  <c r="AM53" i="4" s="1"/>
  <c r="AK54" i="4"/>
  <c r="AM54" i="4" s="1"/>
  <c r="AK55" i="4"/>
  <c r="AM55" i="4" s="1"/>
  <c r="AK56" i="4"/>
  <c r="AM56" i="4" s="1"/>
  <c r="AK57" i="4"/>
  <c r="AM57" i="4" s="1"/>
  <c r="AK58" i="4"/>
  <c r="AM58" i="4" s="1"/>
  <c r="AK59" i="4"/>
  <c r="AM59" i="4" s="1"/>
  <c r="AK60" i="4"/>
  <c r="AM60" i="4" s="1"/>
  <c r="AK61" i="4"/>
  <c r="AM61" i="4" s="1"/>
  <c r="AK62" i="4"/>
  <c r="AM62" i="4" s="1"/>
  <c r="AK63" i="4"/>
  <c r="AM63" i="4" s="1"/>
  <c r="AK64" i="4"/>
  <c r="AM64" i="4" s="1"/>
  <c r="AK65" i="4"/>
  <c r="AM65" i="4" s="1"/>
  <c r="AK66" i="4"/>
  <c r="AM66" i="4" s="1"/>
  <c r="AK67" i="4"/>
  <c r="AM67" i="4" s="1"/>
  <c r="AK68" i="4"/>
  <c r="AM68" i="4" s="1"/>
  <c r="AK69" i="4"/>
  <c r="AM69" i="4" s="1"/>
  <c r="AK70" i="4"/>
  <c r="AM70" i="4" s="1"/>
  <c r="AK71" i="4"/>
  <c r="AM71" i="4" s="1"/>
  <c r="AK72" i="4"/>
  <c r="AM72" i="4" s="1"/>
  <c r="AK73" i="4"/>
  <c r="AM73" i="4" s="1"/>
  <c r="AK74" i="4"/>
  <c r="AM74" i="4" s="1"/>
  <c r="AK75" i="4"/>
  <c r="AM75" i="4" s="1"/>
  <c r="AK76" i="4"/>
  <c r="AM76" i="4" s="1"/>
  <c r="AK77" i="4"/>
  <c r="AM77" i="4" s="1"/>
  <c r="AK78" i="4"/>
  <c r="AM78" i="4" s="1"/>
  <c r="AK79" i="4"/>
  <c r="AM79" i="4" s="1"/>
  <c r="AK80" i="4"/>
  <c r="AM80" i="4" s="1"/>
  <c r="AK81" i="4"/>
  <c r="AM81" i="4" s="1"/>
  <c r="AK82" i="4"/>
  <c r="AM82" i="4" s="1"/>
  <c r="AK83" i="4"/>
  <c r="AM83" i="4" s="1"/>
  <c r="AK84" i="4"/>
  <c r="AM84" i="4" s="1"/>
  <c r="AK85" i="4"/>
  <c r="AM85" i="4" s="1"/>
  <c r="AK86" i="4"/>
  <c r="AM86" i="4" s="1"/>
  <c r="AK87" i="4"/>
  <c r="AM87" i="4" s="1"/>
  <c r="AK88" i="4"/>
  <c r="AM88" i="4" s="1"/>
  <c r="AK89" i="4"/>
  <c r="AM89" i="4" s="1"/>
  <c r="AK90" i="4"/>
  <c r="AM90" i="4" s="1"/>
  <c r="AK91" i="4"/>
  <c r="AM91" i="4" s="1"/>
  <c r="AK92" i="4"/>
  <c r="AM92" i="4" s="1"/>
  <c r="AK93" i="4"/>
  <c r="AM93" i="4" s="1"/>
  <c r="AK94" i="4"/>
  <c r="AM94" i="4" s="1"/>
  <c r="AK95" i="4"/>
  <c r="AM95" i="4" s="1"/>
  <c r="AK96" i="4"/>
  <c r="AM96" i="4" s="1"/>
  <c r="AK97" i="4"/>
  <c r="AM97" i="4" s="1"/>
  <c r="AK98" i="4"/>
  <c r="AM98" i="4" s="1"/>
  <c r="AK99" i="4"/>
  <c r="AM99" i="4" s="1"/>
  <c r="AK100" i="4"/>
  <c r="AM100" i="4" s="1"/>
  <c r="AK101" i="4"/>
  <c r="AM101" i="4" s="1"/>
  <c r="AK102" i="4"/>
  <c r="AM102" i="4" s="1"/>
  <c r="AK103" i="4"/>
  <c r="AM103" i="4" s="1"/>
  <c r="AK104" i="4"/>
  <c r="AM104" i="4" s="1"/>
  <c r="AK105" i="4"/>
  <c r="AM105" i="4" s="1"/>
  <c r="AK106" i="4"/>
  <c r="AM106" i="4" s="1"/>
  <c r="AK107" i="4"/>
  <c r="AM107" i="4" s="1"/>
  <c r="AK108" i="4"/>
  <c r="AM108" i="4" s="1"/>
  <c r="AK109" i="4"/>
  <c r="AM109" i="4" s="1"/>
  <c r="AK110" i="4"/>
  <c r="AM110" i="4" s="1"/>
  <c r="AK111" i="4"/>
  <c r="AM111" i="4" s="1"/>
  <c r="AK112" i="4"/>
  <c r="AM112" i="4" s="1"/>
  <c r="AK113" i="4"/>
  <c r="AM113" i="4" s="1"/>
  <c r="AK114" i="4"/>
  <c r="AM114" i="4" s="1"/>
  <c r="AK115" i="4"/>
  <c r="AM115" i="4" s="1"/>
  <c r="AK116" i="4"/>
  <c r="AM116" i="4" s="1"/>
  <c r="AK117" i="4"/>
  <c r="AM117" i="4" s="1"/>
  <c r="AK118" i="4"/>
  <c r="AM118" i="4" s="1"/>
  <c r="AK119" i="4"/>
  <c r="AM119" i="4" s="1"/>
  <c r="AK120" i="4"/>
  <c r="AM120" i="4" s="1"/>
  <c r="AK121" i="4"/>
  <c r="AM121" i="4" s="1"/>
  <c r="AK122" i="4"/>
  <c r="AM122" i="4" s="1"/>
  <c r="AK123" i="4"/>
  <c r="AM123" i="4" s="1"/>
  <c r="AK124" i="4"/>
  <c r="AM124" i="4" s="1"/>
  <c r="AK125" i="4"/>
  <c r="AM125" i="4" s="1"/>
  <c r="AK126" i="4"/>
  <c r="AM126" i="4" s="1"/>
  <c r="AK127" i="4"/>
  <c r="AM127" i="4" s="1"/>
  <c r="AK128" i="4"/>
  <c r="AM128" i="4" s="1"/>
  <c r="AK129" i="4"/>
  <c r="AM129" i="4" s="1"/>
  <c r="AK130" i="4"/>
  <c r="AM130" i="4" s="1"/>
  <c r="AK131" i="4"/>
  <c r="AM131" i="4" s="1"/>
  <c r="AK132" i="4"/>
  <c r="AM132" i="4" s="1"/>
  <c r="AK133" i="4"/>
  <c r="AM133" i="4" s="1"/>
  <c r="AK134" i="4"/>
  <c r="AM134" i="4" s="1"/>
  <c r="AK135" i="4"/>
  <c r="AM135" i="4" s="1"/>
  <c r="AK136" i="4"/>
  <c r="AM136" i="4" s="1"/>
  <c r="AK137" i="4"/>
  <c r="AM137" i="4" s="1"/>
  <c r="AK138" i="4"/>
  <c r="AM138" i="4" s="1"/>
  <c r="AK139" i="4"/>
  <c r="AM139" i="4" s="1"/>
  <c r="AK140" i="4"/>
  <c r="AM140" i="4" s="1"/>
  <c r="AK141" i="4"/>
  <c r="AM141" i="4" s="1"/>
  <c r="AK142" i="4"/>
  <c r="AM142" i="4" s="1"/>
  <c r="AK143" i="4"/>
  <c r="AM143" i="4" s="1"/>
  <c r="AK144" i="4"/>
  <c r="AM144" i="4" s="1"/>
  <c r="AK145" i="4"/>
  <c r="AM145" i="4" s="1"/>
  <c r="AK146" i="4"/>
  <c r="AM146" i="4" s="1"/>
  <c r="AK147" i="4"/>
  <c r="AM147" i="4" s="1"/>
  <c r="AK148" i="4"/>
  <c r="AM148" i="4" s="1"/>
  <c r="AK149" i="4"/>
  <c r="AM149" i="4" s="1"/>
  <c r="AK150" i="4"/>
  <c r="AM150" i="4" s="1"/>
  <c r="AK151" i="4"/>
  <c r="AM151" i="4" s="1"/>
  <c r="AK152" i="4"/>
  <c r="AM152" i="4" s="1"/>
  <c r="AK153" i="4"/>
  <c r="AM153" i="4" s="1"/>
  <c r="AK154" i="4"/>
  <c r="AM154" i="4" s="1"/>
  <c r="AK155" i="4"/>
  <c r="AM155" i="4" s="1"/>
  <c r="AK156" i="4"/>
  <c r="AM156" i="4" s="1"/>
  <c r="AK157" i="4"/>
  <c r="AM157" i="4" s="1"/>
  <c r="AK158" i="4"/>
  <c r="AM158" i="4" s="1"/>
  <c r="AK159" i="4"/>
  <c r="AM159" i="4" s="1"/>
  <c r="AK160" i="4"/>
  <c r="AM160" i="4" s="1"/>
  <c r="AK161" i="4"/>
  <c r="AM161" i="4" s="1"/>
  <c r="AK162" i="4"/>
  <c r="AM162" i="4" s="1"/>
  <c r="AK163" i="4"/>
  <c r="AM163" i="4" s="1"/>
  <c r="AK164" i="4"/>
  <c r="AM164" i="4" s="1"/>
  <c r="AK165" i="4"/>
  <c r="AM165" i="4" s="1"/>
  <c r="AK166" i="4"/>
  <c r="AM166" i="4" s="1"/>
  <c r="AK167" i="4"/>
  <c r="AM167" i="4" s="1"/>
  <c r="AK168" i="4"/>
  <c r="AM168" i="4" s="1"/>
  <c r="AK169" i="4"/>
  <c r="AM169" i="4" s="1"/>
  <c r="AK170" i="4"/>
  <c r="AM170" i="4" s="1"/>
  <c r="AK171" i="4"/>
  <c r="AM171" i="4" s="1"/>
  <c r="AK172" i="4"/>
  <c r="AM172" i="4" s="1"/>
  <c r="AK173" i="4"/>
  <c r="AM173" i="4" s="1"/>
  <c r="AK174" i="4"/>
  <c r="AM174" i="4" s="1"/>
  <c r="AK175" i="4"/>
  <c r="AM175" i="4" s="1"/>
  <c r="AK176" i="4"/>
  <c r="AM176" i="4" s="1"/>
  <c r="AK177" i="4"/>
  <c r="AM177" i="4" s="1"/>
  <c r="AK178" i="4"/>
  <c r="AM178" i="4" s="1"/>
  <c r="AK179" i="4"/>
  <c r="AM179" i="4" s="1"/>
  <c r="AK180" i="4"/>
  <c r="AM180" i="4" s="1"/>
  <c r="AK181" i="4"/>
  <c r="AM181" i="4" s="1"/>
  <c r="AK182" i="4"/>
  <c r="AM182" i="4" s="1"/>
  <c r="AK183" i="4"/>
  <c r="AM183" i="4" s="1"/>
  <c r="AK184" i="4"/>
  <c r="AM184" i="4" s="1"/>
  <c r="AK185" i="4"/>
  <c r="AM185" i="4" s="1"/>
  <c r="AK186" i="4"/>
  <c r="AM186" i="4" s="1"/>
  <c r="AK187" i="4"/>
  <c r="AM187" i="4" s="1"/>
  <c r="AK188" i="4"/>
  <c r="AM188" i="4" s="1"/>
  <c r="AK189" i="4"/>
  <c r="AM189" i="4" s="1"/>
  <c r="AK190" i="4"/>
  <c r="AM190" i="4" s="1"/>
  <c r="AK191" i="4"/>
  <c r="AM191" i="4" s="1"/>
  <c r="AK192" i="4"/>
  <c r="AM192" i="4" s="1"/>
  <c r="AK193" i="4"/>
  <c r="AM193" i="4" s="1"/>
  <c r="AK194" i="4"/>
  <c r="AM194" i="4" s="1"/>
  <c r="AK195" i="4"/>
  <c r="AM195" i="4" s="1"/>
  <c r="AK196" i="4"/>
  <c r="AM196" i="4" s="1"/>
  <c r="AK197" i="4"/>
  <c r="AM197" i="4" s="1"/>
  <c r="AK198" i="4"/>
  <c r="AM198" i="4" s="1"/>
  <c r="AK199" i="4"/>
  <c r="AM199" i="4" s="1"/>
  <c r="AK200" i="4"/>
  <c r="AM200" i="4" s="1"/>
  <c r="AK201" i="4"/>
  <c r="AM201" i="4" s="1"/>
  <c r="AK202" i="4"/>
  <c r="AM202" i="4" s="1"/>
  <c r="AK203" i="4"/>
  <c r="AM203" i="4" s="1"/>
  <c r="AK204" i="4"/>
  <c r="AM204" i="4" s="1"/>
  <c r="AK205" i="4"/>
  <c r="AM205" i="4" s="1"/>
  <c r="AK206" i="4"/>
  <c r="AM206" i="4" s="1"/>
  <c r="AK207" i="4"/>
  <c r="AM207" i="4" s="1"/>
  <c r="AK208" i="4"/>
  <c r="AM208" i="4" s="1"/>
  <c r="AK209" i="4"/>
  <c r="AM209" i="4" s="1"/>
  <c r="AK210" i="4"/>
  <c r="AM210" i="4" s="1"/>
  <c r="AK211" i="4"/>
  <c r="AM211" i="4" s="1"/>
  <c r="AK212" i="4"/>
  <c r="AM212" i="4" s="1"/>
  <c r="AK213" i="4"/>
  <c r="AM213" i="4" s="1"/>
  <c r="AK214" i="4"/>
  <c r="AM214" i="4" s="1"/>
  <c r="AK215" i="4"/>
  <c r="AM215" i="4" s="1"/>
  <c r="AK216" i="4"/>
  <c r="AM216" i="4" s="1"/>
  <c r="AK217" i="4"/>
  <c r="AM217" i="4" s="1"/>
  <c r="AK218" i="4"/>
  <c r="AM218" i="4" s="1"/>
  <c r="AK219" i="4"/>
  <c r="AM219" i="4" s="1"/>
  <c r="AK220" i="4"/>
  <c r="AM220" i="4" s="1"/>
  <c r="AK221" i="4"/>
  <c r="AM221" i="4" s="1"/>
  <c r="AK222" i="4"/>
  <c r="AM222" i="4" s="1"/>
  <c r="AK223" i="4"/>
  <c r="AM223" i="4" s="1"/>
  <c r="AK224" i="4"/>
  <c r="AM224" i="4" s="1"/>
  <c r="AK225" i="4"/>
  <c r="AM225" i="4" s="1"/>
  <c r="AK226" i="4"/>
  <c r="AM226" i="4" s="1"/>
  <c r="AK227" i="4"/>
  <c r="AM227" i="4" s="1"/>
  <c r="AK228" i="4"/>
  <c r="AM228" i="4" s="1"/>
  <c r="AK229" i="4"/>
  <c r="AM229" i="4" s="1"/>
  <c r="AK230" i="4"/>
  <c r="AM230" i="4" s="1"/>
  <c r="AK231" i="4"/>
  <c r="AM231" i="4" s="1"/>
  <c r="AK232" i="4"/>
  <c r="AM232" i="4" s="1"/>
  <c r="AK233" i="4"/>
  <c r="AM233" i="4" s="1"/>
  <c r="AK234" i="4"/>
  <c r="AM234" i="4" s="1"/>
  <c r="AK235" i="4"/>
  <c r="AM235" i="4" s="1"/>
  <c r="AK236" i="4"/>
  <c r="AM236" i="4" s="1"/>
  <c r="AK237" i="4"/>
  <c r="AM237" i="4" s="1"/>
  <c r="AK238" i="4"/>
  <c r="AM238" i="4" s="1"/>
  <c r="AK239" i="4"/>
  <c r="AM239" i="4" s="1"/>
  <c r="AK240" i="4"/>
  <c r="AM240" i="4" s="1"/>
  <c r="AK241" i="4"/>
  <c r="AM241" i="4" s="1"/>
  <c r="AK242" i="4"/>
  <c r="AM242" i="4" s="1"/>
  <c r="AK243" i="4"/>
  <c r="AM243" i="4" s="1"/>
  <c r="AK244" i="4"/>
  <c r="AM244" i="4" s="1"/>
  <c r="AK245" i="4"/>
  <c r="AM245" i="4" s="1"/>
  <c r="AK246" i="4"/>
  <c r="AM246" i="4" s="1"/>
  <c r="AK247" i="4"/>
  <c r="AM247" i="4" s="1"/>
  <c r="AK248" i="4"/>
  <c r="AM248" i="4" s="1"/>
  <c r="AK249" i="4"/>
  <c r="AM249" i="4" s="1"/>
  <c r="AK250" i="4"/>
  <c r="AM250" i="4" s="1"/>
  <c r="AK251" i="4"/>
  <c r="AM251" i="4" s="1"/>
  <c r="AK252" i="4"/>
  <c r="AM252" i="4" s="1"/>
  <c r="AK253" i="4"/>
  <c r="AM253" i="4" s="1"/>
  <c r="AK254" i="4"/>
  <c r="AM254" i="4" s="1"/>
  <c r="AK255" i="4"/>
  <c r="AM255" i="4" s="1"/>
  <c r="AK256" i="4"/>
  <c r="AM256" i="4" s="1"/>
  <c r="AK257" i="4"/>
  <c r="AM257" i="4" s="1"/>
  <c r="AK258" i="4"/>
  <c r="AM258" i="4" s="1"/>
  <c r="AK259" i="4"/>
  <c r="AM259" i="4" s="1"/>
  <c r="AK260" i="4"/>
  <c r="AM260" i="4" s="1"/>
  <c r="AK261" i="4"/>
  <c r="AM261" i="4" s="1"/>
  <c r="AK262" i="4"/>
  <c r="AM262" i="4" s="1"/>
  <c r="AK263" i="4"/>
  <c r="AM263" i="4" s="1"/>
  <c r="AK264" i="4"/>
  <c r="AM264" i="4" s="1"/>
  <c r="AK265" i="4"/>
  <c r="AM265" i="4" s="1"/>
  <c r="AK266" i="4"/>
  <c r="AM266" i="4" s="1"/>
  <c r="AK267" i="4"/>
  <c r="AM267" i="4" s="1"/>
  <c r="AK268" i="4"/>
  <c r="AM268" i="4" s="1"/>
  <c r="AK269" i="4"/>
  <c r="AM269" i="4" s="1"/>
  <c r="AK270" i="4"/>
  <c r="AM270" i="4" s="1"/>
  <c r="AK271" i="4"/>
  <c r="AM271" i="4" s="1"/>
  <c r="AK272" i="4"/>
  <c r="AM272" i="4" s="1"/>
  <c r="AK273" i="4"/>
  <c r="AM273" i="4" s="1"/>
  <c r="AK274" i="4"/>
  <c r="AM274" i="4" s="1"/>
  <c r="AK275" i="4"/>
  <c r="AM275" i="4" s="1"/>
  <c r="AK276" i="4"/>
  <c r="AM276" i="4" s="1"/>
  <c r="AK277" i="4"/>
  <c r="AM277" i="4" s="1"/>
  <c r="AK278" i="4"/>
  <c r="AM278" i="4" s="1"/>
  <c r="AK279" i="4"/>
  <c r="AM279" i="4" s="1"/>
  <c r="AK280" i="4"/>
  <c r="AM280" i="4" s="1"/>
  <c r="AK281" i="4"/>
  <c r="AM281" i="4" s="1"/>
  <c r="AK282" i="4"/>
  <c r="AM282" i="4" s="1"/>
  <c r="AK283" i="4"/>
  <c r="AM283" i="4" s="1"/>
  <c r="AK284" i="4"/>
  <c r="AM284" i="4" s="1"/>
  <c r="AK285" i="4"/>
  <c r="AM285" i="4" s="1"/>
  <c r="AK286" i="4"/>
  <c r="AM286" i="4" s="1"/>
  <c r="AK287" i="4"/>
  <c r="AM287" i="4" s="1"/>
  <c r="AK288" i="4"/>
  <c r="AM288" i="4" s="1"/>
  <c r="AK289" i="4"/>
  <c r="AM289" i="4" s="1"/>
  <c r="AK290" i="4"/>
  <c r="AM290" i="4" s="1"/>
  <c r="AK291" i="4"/>
  <c r="AM291" i="4" s="1"/>
  <c r="AK292" i="4"/>
  <c r="AM292" i="4" s="1"/>
  <c r="AK293" i="4"/>
  <c r="AM293" i="4" s="1"/>
  <c r="AK294" i="4"/>
  <c r="AM294" i="4" s="1"/>
  <c r="AK295" i="4"/>
  <c r="AM295" i="4" s="1"/>
  <c r="AK296" i="4"/>
  <c r="AM296" i="4" s="1"/>
  <c r="AK297" i="4"/>
  <c r="AM297" i="4" s="1"/>
  <c r="AK298" i="4"/>
  <c r="AM298" i="4" s="1"/>
  <c r="AK299" i="4"/>
  <c r="AM299" i="4" s="1"/>
  <c r="AK300" i="4"/>
  <c r="AM300" i="4" s="1"/>
  <c r="AK301" i="4"/>
  <c r="AM301" i="4" s="1"/>
  <c r="AK302" i="4"/>
  <c r="AM302" i="4" s="1"/>
  <c r="AK303" i="4"/>
  <c r="AM303" i="4" s="1"/>
  <c r="AK304" i="4"/>
  <c r="AM304" i="4" s="1"/>
  <c r="AK305" i="4"/>
  <c r="AM305" i="4" s="1"/>
  <c r="AK306" i="4"/>
  <c r="AM306" i="4" s="1"/>
  <c r="AK307" i="4"/>
  <c r="AM307" i="4" s="1"/>
  <c r="AK308" i="4"/>
  <c r="AM308" i="4" s="1"/>
  <c r="AK309" i="4"/>
  <c r="AM309" i="4" s="1"/>
  <c r="AK310" i="4"/>
  <c r="AM310" i="4" s="1"/>
  <c r="AK311" i="4"/>
  <c r="AM311" i="4" s="1"/>
  <c r="AK312" i="4"/>
  <c r="AM312" i="4" s="1"/>
  <c r="AK313" i="4"/>
  <c r="AM313" i="4" s="1"/>
  <c r="AK314" i="4"/>
  <c r="AM314" i="4" s="1"/>
  <c r="AK315" i="4"/>
  <c r="AM315" i="4" s="1"/>
  <c r="AK316" i="4"/>
  <c r="AM316" i="4" s="1"/>
  <c r="AK317" i="4"/>
  <c r="AM317" i="4" s="1"/>
  <c r="AK318" i="4"/>
  <c r="AM318" i="4" s="1"/>
  <c r="AK319" i="4"/>
  <c r="AM319" i="4" s="1"/>
  <c r="AK320" i="4"/>
  <c r="AM320" i="4" s="1"/>
  <c r="AK321" i="4"/>
  <c r="AM321" i="4" s="1"/>
  <c r="AK322" i="4"/>
  <c r="AM322" i="4" s="1"/>
  <c r="AK323" i="4"/>
  <c r="AM323" i="4" s="1"/>
  <c r="AK324" i="4"/>
  <c r="AM324" i="4" s="1"/>
  <c r="AK325" i="4"/>
  <c r="AM325" i="4" s="1"/>
  <c r="AK326" i="4"/>
  <c r="AM326" i="4" s="1"/>
  <c r="AK327" i="4"/>
  <c r="AM327" i="4" s="1"/>
  <c r="AK328" i="4"/>
  <c r="AM328" i="4" s="1"/>
  <c r="AK329" i="4"/>
  <c r="AM329" i="4" s="1"/>
  <c r="AK330" i="4"/>
  <c r="AM330" i="4" s="1"/>
  <c r="AK331" i="4"/>
  <c r="AM331" i="4" s="1"/>
  <c r="AK332" i="4"/>
  <c r="AM332" i="4" s="1"/>
  <c r="AK333" i="4"/>
  <c r="AM333" i="4" s="1"/>
  <c r="AK334" i="4"/>
  <c r="AM334" i="4" s="1"/>
  <c r="AK335" i="4"/>
  <c r="AM335" i="4" s="1"/>
  <c r="AK336" i="4"/>
  <c r="AM336" i="4" s="1"/>
  <c r="AK337" i="4"/>
  <c r="AM337" i="4" s="1"/>
  <c r="AK338" i="4"/>
  <c r="AM338" i="4" s="1"/>
  <c r="AK339" i="4"/>
  <c r="AM339" i="4" s="1"/>
  <c r="AK340" i="4"/>
  <c r="AM340" i="4" s="1"/>
  <c r="AK341" i="4"/>
  <c r="AM341" i="4" s="1"/>
  <c r="AK342" i="4"/>
  <c r="AM342" i="4" s="1"/>
  <c r="AK343" i="4"/>
  <c r="AM343" i="4" s="1"/>
  <c r="AK344" i="4"/>
  <c r="AM344" i="4" s="1"/>
  <c r="AK345" i="4"/>
  <c r="AM345" i="4" s="1"/>
  <c r="AK346" i="4"/>
  <c r="AM346" i="4" s="1"/>
  <c r="AK347" i="4"/>
  <c r="AM347" i="4" s="1"/>
  <c r="AK348" i="4"/>
  <c r="AM348" i="4" s="1"/>
  <c r="AK349" i="4"/>
  <c r="AM349" i="4" s="1"/>
  <c r="AK350" i="4"/>
  <c r="AM350" i="4" s="1"/>
  <c r="AK351" i="4"/>
  <c r="AM351" i="4" s="1"/>
  <c r="AK352" i="4"/>
  <c r="AM352" i="4" s="1"/>
  <c r="AK353" i="4"/>
  <c r="AM353" i="4" s="1"/>
  <c r="AK354" i="4"/>
  <c r="AM354" i="4" s="1"/>
  <c r="AK355" i="4"/>
  <c r="AM355" i="4" s="1"/>
  <c r="AK356" i="4"/>
  <c r="AM356" i="4" s="1"/>
  <c r="AK357" i="4"/>
  <c r="AM357" i="4" s="1"/>
  <c r="AK358" i="4"/>
  <c r="AM358" i="4" s="1"/>
  <c r="AK359" i="4"/>
  <c r="AM359" i="4" s="1"/>
  <c r="AK360" i="4"/>
  <c r="AM360" i="4" s="1"/>
  <c r="AK361" i="4"/>
  <c r="AM361" i="4" s="1"/>
  <c r="AK362" i="4"/>
  <c r="AM362" i="4" s="1"/>
  <c r="AK363" i="4"/>
  <c r="AM363" i="4" s="1"/>
  <c r="AK364" i="4"/>
  <c r="AM364" i="4" s="1"/>
  <c r="AK365" i="4"/>
  <c r="AM365" i="4" s="1"/>
  <c r="AK366" i="4"/>
  <c r="AM366" i="4" s="1"/>
  <c r="AK367" i="4"/>
  <c r="AM367" i="4" s="1"/>
  <c r="AK368" i="4"/>
  <c r="AM368" i="4" s="1"/>
  <c r="AK369" i="4"/>
  <c r="AM369" i="4" s="1"/>
  <c r="AK370" i="4"/>
  <c r="AM370" i="4" s="1"/>
  <c r="AK371" i="4"/>
  <c r="AM371" i="4" s="1"/>
  <c r="AK372" i="4"/>
  <c r="AM372" i="4" s="1"/>
  <c r="AK373" i="4"/>
  <c r="AM373" i="4" s="1"/>
  <c r="AK374" i="4"/>
  <c r="AM374" i="4" s="1"/>
  <c r="AK375" i="4"/>
  <c r="AM375" i="4" s="1"/>
  <c r="AK376" i="4"/>
  <c r="AM376" i="4" s="1"/>
  <c r="AK377" i="4"/>
  <c r="AM377" i="4" s="1"/>
  <c r="AK378" i="4"/>
  <c r="AM378" i="4" s="1"/>
  <c r="AK379" i="4"/>
  <c r="AM379" i="4" s="1"/>
  <c r="AK380" i="4"/>
  <c r="AM380" i="4" s="1"/>
  <c r="AK381" i="4"/>
  <c r="AM381" i="4" s="1"/>
  <c r="AK382" i="4"/>
  <c r="AM382" i="4" s="1"/>
  <c r="AK383" i="4"/>
  <c r="AM383" i="4" s="1"/>
  <c r="AK384" i="4"/>
  <c r="AM384" i="4" s="1"/>
  <c r="AK385" i="4"/>
  <c r="AM385" i="4" s="1"/>
  <c r="AK386" i="4"/>
  <c r="AM386" i="4" s="1"/>
  <c r="AK387" i="4"/>
  <c r="AM387" i="4" s="1"/>
  <c r="AK388" i="4"/>
  <c r="AM388" i="4" s="1"/>
  <c r="AK389" i="4"/>
  <c r="AM389" i="4" s="1"/>
  <c r="AK390" i="4"/>
  <c r="AM390" i="4" s="1"/>
  <c r="AK391" i="4"/>
  <c r="AM391" i="4" s="1"/>
  <c r="AK392" i="4"/>
  <c r="AM392" i="4" s="1"/>
  <c r="AK393" i="4"/>
  <c r="AM393" i="4" s="1"/>
  <c r="AK394" i="4"/>
  <c r="AM394" i="4" s="1"/>
  <c r="AK395" i="4"/>
  <c r="AM395" i="4" s="1"/>
  <c r="AK396" i="4"/>
  <c r="AM396" i="4" s="1"/>
  <c r="AK397" i="4"/>
  <c r="AM397" i="4" s="1"/>
  <c r="AK398" i="4"/>
  <c r="AM398" i="4" s="1"/>
  <c r="AK399" i="4"/>
  <c r="AM399" i="4" s="1"/>
  <c r="AK400" i="4"/>
  <c r="AM400" i="4" s="1"/>
  <c r="AK401" i="4"/>
  <c r="AM401" i="4" s="1"/>
  <c r="AK402" i="4"/>
  <c r="AM402" i="4" s="1"/>
  <c r="AK403" i="4"/>
  <c r="AM403" i="4" s="1"/>
  <c r="AK404" i="4"/>
  <c r="AM404" i="4" s="1"/>
  <c r="AK405" i="4"/>
  <c r="AM405" i="4" s="1"/>
  <c r="AK406" i="4"/>
  <c r="AM406" i="4" s="1"/>
  <c r="AK407" i="4"/>
  <c r="AM407" i="4" s="1"/>
  <c r="AK408" i="4"/>
  <c r="AM408" i="4" s="1"/>
  <c r="AK409" i="4"/>
  <c r="AM409" i="4" s="1"/>
  <c r="AK410" i="4"/>
  <c r="AM410" i="4" s="1"/>
  <c r="AK411" i="4"/>
  <c r="AM411" i="4" s="1"/>
  <c r="AK412" i="4"/>
  <c r="AM412" i="4" s="1"/>
  <c r="AK413" i="4"/>
  <c r="AM413" i="4" s="1"/>
  <c r="AK414" i="4"/>
  <c r="AM414" i="4" s="1"/>
  <c r="AK415" i="4"/>
  <c r="AM415" i="4" s="1"/>
  <c r="AK416" i="4"/>
  <c r="AM416" i="4" s="1"/>
  <c r="AK417" i="4"/>
  <c r="AM417" i="4" s="1"/>
  <c r="AK418" i="4"/>
  <c r="AM418" i="4" s="1"/>
  <c r="AK419" i="4"/>
  <c r="AM419" i="4" s="1"/>
  <c r="AK420" i="4"/>
  <c r="AM420" i="4" s="1"/>
  <c r="AK421" i="4"/>
  <c r="AM421" i="4" s="1"/>
  <c r="AK422" i="4"/>
  <c r="AM422" i="4" s="1"/>
  <c r="AK423" i="4"/>
  <c r="AM423" i="4" s="1"/>
  <c r="AK424" i="4"/>
  <c r="AM424" i="4" s="1"/>
  <c r="AK425" i="4"/>
  <c r="AM425" i="4" s="1"/>
  <c r="AK426" i="4"/>
  <c r="AM426" i="4" s="1"/>
  <c r="AK427" i="4"/>
  <c r="AM427" i="4" s="1"/>
  <c r="AK428" i="4"/>
  <c r="AM428" i="4" s="1"/>
  <c r="AK429" i="4"/>
  <c r="AM429" i="4" s="1"/>
  <c r="AK430" i="4"/>
  <c r="AM430" i="4" s="1"/>
  <c r="AK431" i="4"/>
  <c r="AM431" i="4" s="1"/>
  <c r="AK432" i="4"/>
  <c r="AM432" i="4" s="1"/>
  <c r="AK433" i="4"/>
  <c r="AM433" i="4" s="1"/>
  <c r="AK434" i="4"/>
  <c r="AM434" i="4" s="1"/>
  <c r="AK435" i="4"/>
  <c r="AM435" i="4" s="1"/>
  <c r="AK436" i="4"/>
  <c r="AM436" i="4" s="1"/>
  <c r="AK437" i="4"/>
  <c r="AM437" i="4" s="1"/>
  <c r="AK438" i="4"/>
  <c r="AM438" i="4" s="1"/>
  <c r="AK439" i="4"/>
  <c r="AM439" i="4" s="1"/>
  <c r="AK440" i="4"/>
  <c r="AM440" i="4" s="1"/>
  <c r="AK441" i="4"/>
  <c r="AM441" i="4" s="1"/>
  <c r="AK442" i="4"/>
  <c r="AM442" i="4" s="1"/>
  <c r="AK443" i="4"/>
  <c r="AM443" i="4" s="1"/>
  <c r="AK444" i="4"/>
  <c r="AM444" i="4" s="1"/>
  <c r="AK445" i="4"/>
  <c r="AM445" i="4" s="1"/>
  <c r="AK446" i="4"/>
  <c r="AM446" i="4" s="1"/>
  <c r="AK447" i="4"/>
  <c r="AM447" i="4" s="1"/>
  <c r="AK448" i="4"/>
  <c r="AM448" i="4" s="1"/>
  <c r="AK449" i="4"/>
  <c r="AM449" i="4" s="1"/>
  <c r="AK450" i="4"/>
  <c r="AM450" i="4" s="1"/>
  <c r="AK451" i="4"/>
  <c r="AM451" i="4" s="1"/>
  <c r="AK452" i="4"/>
  <c r="AM452" i="4" s="1"/>
  <c r="AK453" i="4"/>
  <c r="AM453" i="4" s="1"/>
  <c r="AK454" i="4"/>
  <c r="AM454" i="4" s="1"/>
  <c r="AK455" i="4"/>
  <c r="AM455" i="4" s="1"/>
  <c r="AK456" i="4"/>
  <c r="AM456" i="4" s="1"/>
  <c r="AK457" i="4"/>
  <c r="AM457" i="4" s="1"/>
  <c r="AK458" i="4"/>
  <c r="AM458" i="4" s="1"/>
  <c r="AK459" i="4"/>
  <c r="AM459" i="4" s="1"/>
  <c r="AK460" i="4"/>
  <c r="AM460" i="4" s="1"/>
  <c r="AK461" i="4"/>
  <c r="AM461" i="4" s="1"/>
  <c r="AK462" i="4"/>
  <c r="AM462" i="4" s="1"/>
  <c r="AK463" i="4"/>
  <c r="AM463" i="4" s="1"/>
  <c r="AK464" i="4"/>
  <c r="AM464" i="4" s="1"/>
  <c r="AK465" i="4"/>
  <c r="AM465" i="4" s="1"/>
  <c r="AK466" i="4"/>
  <c r="AM466" i="4" s="1"/>
  <c r="AK467" i="4"/>
  <c r="AM467" i="4" s="1"/>
  <c r="AK468" i="4"/>
  <c r="AM468" i="4" s="1"/>
  <c r="AK469" i="4"/>
  <c r="AM469" i="4" s="1"/>
  <c r="AK470" i="4"/>
  <c r="AM470" i="4" s="1"/>
  <c r="AK471" i="4"/>
  <c r="AM471" i="4" s="1"/>
  <c r="AK472" i="4"/>
  <c r="AM472" i="4" s="1"/>
  <c r="AK473" i="4"/>
  <c r="AM473" i="4" s="1"/>
  <c r="AK474" i="4"/>
  <c r="AM474" i="4" s="1"/>
  <c r="AK475" i="4"/>
  <c r="AM475" i="4" s="1"/>
  <c r="AK476" i="4"/>
  <c r="AM476" i="4" s="1"/>
  <c r="AK477" i="4"/>
  <c r="AM477" i="4" s="1"/>
  <c r="AK478" i="4"/>
  <c r="AM478" i="4" s="1"/>
  <c r="AK479" i="4"/>
  <c r="AM479" i="4" s="1"/>
  <c r="AK480" i="4"/>
  <c r="AM480" i="4" s="1"/>
  <c r="AK481" i="4"/>
  <c r="AM481" i="4" s="1"/>
  <c r="AK482" i="4"/>
  <c r="AM482" i="4" s="1"/>
  <c r="AK483" i="4"/>
  <c r="AM483" i="4" s="1"/>
  <c r="AK484" i="4"/>
  <c r="AM484" i="4" s="1"/>
  <c r="AK485" i="4"/>
  <c r="AM485" i="4" s="1"/>
  <c r="AK486" i="4"/>
  <c r="AM486" i="4" s="1"/>
  <c r="AK487" i="4"/>
  <c r="AM487" i="4" s="1"/>
  <c r="AK488" i="4"/>
  <c r="AM488" i="4" s="1"/>
  <c r="AK489" i="4"/>
  <c r="AM489" i="4" s="1"/>
  <c r="AK490" i="4"/>
  <c r="AM490" i="4" s="1"/>
  <c r="AK491" i="4"/>
  <c r="AM491" i="4" s="1"/>
  <c r="AK492" i="4"/>
  <c r="AM492" i="4" s="1"/>
  <c r="AK493" i="4"/>
  <c r="AM493" i="4" s="1"/>
  <c r="AK494" i="4"/>
  <c r="AM494" i="4" s="1"/>
  <c r="AK495" i="4"/>
  <c r="AM495" i="4" s="1"/>
  <c r="AK496" i="4"/>
  <c r="AM496" i="4" s="1"/>
  <c r="AK497" i="4"/>
  <c r="AM497" i="4" s="1"/>
  <c r="AK498" i="4"/>
  <c r="AM498" i="4" s="1"/>
  <c r="AK499" i="4"/>
  <c r="AM499" i="4" s="1"/>
  <c r="AK500" i="4"/>
  <c r="AM500" i="4" s="1"/>
  <c r="AK501" i="4"/>
  <c r="AM501" i="4" s="1"/>
  <c r="AK502" i="4"/>
  <c r="AM502" i="4" s="1"/>
  <c r="AK503" i="4"/>
  <c r="AM503" i="4" s="1"/>
  <c r="AK504" i="4"/>
  <c r="AM504" i="4" s="1"/>
  <c r="AK505" i="4"/>
  <c r="AM505" i="4" s="1"/>
  <c r="AK506" i="4"/>
  <c r="AM506" i="4" s="1"/>
  <c r="AK507" i="4"/>
  <c r="AM507" i="4" s="1"/>
  <c r="AK508" i="4"/>
  <c r="AM508" i="4" s="1"/>
  <c r="AK509" i="4"/>
  <c r="AM509" i="4" s="1"/>
  <c r="AK510" i="4"/>
  <c r="AM510" i="4" s="1"/>
  <c r="AK511" i="4"/>
  <c r="AM511" i="4" s="1"/>
  <c r="AK512" i="4"/>
  <c r="AM512" i="4" s="1"/>
  <c r="AK513" i="4"/>
  <c r="AM513" i="4" s="1"/>
  <c r="AK514" i="4"/>
  <c r="AM514" i="4" s="1"/>
  <c r="AK515" i="4"/>
  <c r="AM515" i="4" s="1"/>
  <c r="AK516" i="4"/>
  <c r="AM516" i="4" s="1"/>
  <c r="AK517" i="4"/>
  <c r="AM517" i="4" s="1"/>
  <c r="AK518" i="4"/>
  <c r="AM518" i="4" s="1"/>
  <c r="AK519" i="4"/>
  <c r="AM519" i="4" s="1"/>
  <c r="AK520" i="4"/>
  <c r="AM520" i="4" s="1"/>
  <c r="AK521" i="4"/>
  <c r="AM521" i="4" s="1"/>
  <c r="AK522" i="4"/>
  <c r="AM522" i="4" s="1"/>
  <c r="AK523" i="4"/>
  <c r="AM523" i="4" s="1"/>
  <c r="AK524" i="4"/>
  <c r="AM524" i="4" s="1"/>
  <c r="AK525" i="4"/>
  <c r="AM525" i="4" s="1"/>
  <c r="AK526" i="4"/>
  <c r="AM526" i="4" s="1"/>
  <c r="AK527" i="4"/>
  <c r="AM527" i="4" s="1"/>
  <c r="AK528" i="4"/>
  <c r="AM528" i="4" s="1"/>
  <c r="AK529" i="4"/>
  <c r="AM529" i="4" s="1"/>
  <c r="AK530" i="4"/>
  <c r="AM530" i="4" s="1"/>
  <c r="AK531" i="4"/>
  <c r="AM531" i="4" s="1"/>
  <c r="AK532" i="4"/>
  <c r="AM532" i="4" s="1"/>
  <c r="AK533" i="4"/>
  <c r="AM533" i="4" s="1"/>
  <c r="AK534" i="4"/>
  <c r="AM534" i="4" s="1"/>
  <c r="AK535" i="4"/>
  <c r="AM535" i="4" s="1"/>
  <c r="AK536" i="4"/>
  <c r="AM536" i="4" s="1"/>
  <c r="AK537" i="4"/>
  <c r="AM537" i="4" s="1"/>
  <c r="AK538" i="4"/>
  <c r="AM538" i="4" s="1"/>
  <c r="AK539" i="4"/>
  <c r="AM539" i="4" s="1"/>
  <c r="AK540" i="4"/>
  <c r="AM540" i="4" s="1"/>
  <c r="AK541" i="4"/>
  <c r="AM541" i="4" s="1"/>
  <c r="AK542" i="4"/>
  <c r="AM542" i="4" s="1"/>
  <c r="AK543" i="4"/>
  <c r="AM543" i="4" s="1"/>
  <c r="AK544" i="4"/>
  <c r="AM544" i="4" s="1"/>
  <c r="AK545" i="4"/>
  <c r="AM545" i="4" s="1"/>
  <c r="AK546" i="4"/>
  <c r="AM546" i="4" s="1"/>
  <c r="AK547" i="4"/>
  <c r="AM547" i="4" s="1"/>
  <c r="AK548" i="4"/>
  <c r="AM548" i="4" s="1"/>
  <c r="AK549" i="4"/>
  <c r="AM549" i="4" s="1"/>
  <c r="AK550" i="4"/>
  <c r="AM550" i="4" s="1"/>
  <c r="AK551" i="4"/>
  <c r="AM551" i="4" s="1"/>
  <c r="AK552" i="4"/>
  <c r="AM552" i="4" s="1"/>
  <c r="AK553" i="4"/>
  <c r="AM553" i="4" s="1"/>
  <c r="AK554" i="4"/>
  <c r="AM554" i="4" s="1"/>
  <c r="AK555" i="4"/>
  <c r="AM555" i="4" s="1"/>
  <c r="AK556" i="4"/>
  <c r="AM556" i="4" s="1"/>
  <c r="AK557" i="4"/>
  <c r="AM557" i="4" s="1"/>
  <c r="AK558" i="4"/>
  <c r="AM558" i="4" s="1"/>
  <c r="AK559" i="4"/>
  <c r="AM559" i="4" s="1"/>
  <c r="AK560" i="4"/>
  <c r="AM560" i="4" s="1"/>
  <c r="AK561" i="4"/>
  <c r="AM561" i="4" s="1"/>
  <c r="AK562" i="4"/>
  <c r="AM562" i="4" s="1"/>
  <c r="AK563" i="4"/>
  <c r="AM563" i="4" s="1"/>
  <c r="AK564" i="4"/>
  <c r="AM564" i="4" s="1"/>
  <c r="AK565" i="4"/>
  <c r="AM565" i="4" s="1"/>
  <c r="AK566" i="4"/>
  <c r="AM566" i="4" s="1"/>
  <c r="AK567" i="4"/>
  <c r="AM567" i="4" s="1"/>
  <c r="AK568" i="4"/>
  <c r="AM568" i="4" s="1"/>
  <c r="AK569" i="4"/>
  <c r="AM569" i="4" s="1"/>
  <c r="AK570" i="4"/>
  <c r="AM570" i="4" s="1"/>
  <c r="AK571" i="4"/>
  <c r="AM571" i="4" s="1"/>
  <c r="AK572" i="4"/>
  <c r="AM572" i="4" s="1"/>
  <c r="AK573" i="4"/>
  <c r="AM573" i="4" s="1"/>
  <c r="AK574" i="4"/>
  <c r="AM574" i="4" s="1"/>
  <c r="AK575" i="4"/>
  <c r="AM575" i="4" s="1"/>
  <c r="AK576" i="4"/>
  <c r="AM576" i="4" s="1"/>
  <c r="AK577" i="4"/>
  <c r="AM577" i="4" s="1"/>
  <c r="AK578" i="4"/>
  <c r="AM578" i="4" s="1"/>
  <c r="AK579" i="4"/>
  <c r="AM579" i="4" s="1"/>
  <c r="AK580" i="4"/>
  <c r="AM580" i="4" s="1"/>
  <c r="AK581" i="4"/>
  <c r="AM581" i="4" s="1"/>
  <c r="AK582" i="4"/>
  <c r="AM582" i="4" s="1"/>
  <c r="AK583" i="4"/>
  <c r="AM583" i="4" s="1"/>
  <c r="AK584" i="4"/>
  <c r="AM584" i="4" s="1"/>
  <c r="AK585" i="4"/>
  <c r="AM585" i="4" s="1"/>
  <c r="AK586" i="4"/>
  <c r="AM586" i="4" s="1"/>
  <c r="AK587" i="4"/>
  <c r="AM587" i="4" s="1"/>
  <c r="AK588" i="4"/>
  <c r="AM588" i="4" s="1"/>
  <c r="AK589" i="4"/>
  <c r="AM589" i="4" s="1"/>
  <c r="AK590" i="4"/>
  <c r="AM590" i="4" s="1"/>
  <c r="AK591" i="4"/>
  <c r="AM591" i="4" s="1"/>
  <c r="AK592" i="4"/>
  <c r="AM592" i="4" s="1"/>
  <c r="AK593" i="4"/>
  <c r="AM593" i="4" s="1"/>
  <c r="AK594" i="4"/>
  <c r="AM594" i="4" s="1"/>
  <c r="AK595" i="4"/>
  <c r="AM595" i="4" s="1"/>
  <c r="AK596" i="4"/>
  <c r="AM596" i="4" s="1"/>
  <c r="AK597" i="4"/>
  <c r="AM597" i="4" s="1"/>
  <c r="AK598" i="4"/>
  <c r="AM598" i="4" s="1"/>
  <c r="AK599" i="4"/>
  <c r="AM599" i="4" s="1"/>
  <c r="AK600" i="4"/>
  <c r="AM600" i="4" s="1"/>
  <c r="AK601" i="4"/>
  <c r="AM601" i="4" s="1"/>
  <c r="AK602" i="4"/>
  <c r="AM602" i="4" s="1"/>
  <c r="AK603" i="4"/>
  <c r="AM603" i="4" s="1"/>
  <c r="AK604" i="4"/>
  <c r="AM604" i="4" s="1"/>
  <c r="AK605" i="4"/>
  <c r="AM605" i="4" s="1"/>
  <c r="AK606" i="4"/>
  <c r="AM606" i="4" s="1"/>
  <c r="AK607" i="4"/>
  <c r="AM607" i="4" s="1"/>
  <c r="AK608" i="4"/>
  <c r="AM608" i="4" s="1"/>
  <c r="AK609" i="4"/>
  <c r="AM609" i="4" s="1"/>
  <c r="AK610" i="4"/>
  <c r="AM610" i="4" s="1"/>
  <c r="AK611" i="4"/>
  <c r="AM611" i="4" s="1"/>
  <c r="AK612" i="4"/>
  <c r="AM612" i="4" s="1"/>
  <c r="AK613" i="4"/>
  <c r="AM613" i="4" s="1"/>
  <c r="AK614" i="4"/>
  <c r="AM614" i="4" s="1"/>
  <c r="AK2" i="2"/>
  <c r="AM2" i="2" s="1"/>
  <c r="AK3" i="2"/>
  <c r="AM3" i="2" s="1"/>
  <c r="AK4" i="2"/>
  <c r="AM4" i="2" s="1"/>
  <c r="AK5" i="2"/>
  <c r="AM5" i="2" s="1"/>
  <c r="AK6" i="2"/>
  <c r="AM6" i="2" s="1"/>
  <c r="AK7" i="2"/>
  <c r="AM7" i="2" s="1"/>
  <c r="AK8" i="2"/>
  <c r="AM8" i="2" s="1"/>
  <c r="AK9" i="2"/>
  <c r="AM9" i="2" s="1"/>
  <c r="AK10" i="2"/>
  <c r="AM10" i="2" s="1"/>
  <c r="AK11" i="2"/>
  <c r="AM11" i="2" s="1"/>
  <c r="AK12" i="2"/>
  <c r="AM12" i="2" s="1"/>
  <c r="AK13" i="2"/>
  <c r="AM13" i="2" s="1"/>
  <c r="AK14" i="2"/>
  <c r="AM14" i="2" s="1"/>
  <c r="AK15" i="2"/>
  <c r="AM15" i="2" s="1"/>
  <c r="AK16" i="2"/>
  <c r="AM16" i="2" s="1"/>
  <c r="AK17" i="2"/>
  <c r="AM17" i="2" s="1"/>
  <c r="AK18" i="2"/>
  <c r="AM18" i="2" s="1"/>
  <c r="AK19" i="2"/>
  <c r="AM19" i="2" s="1"/>
  <c r="AK20" i="2"/>
  <c r="AM20" i="2" s="1"/>
  <c r="AK21" i="2"/>
  <c r="AM21" i="2" s="1"/>
  <c r="AK22" i="2"/>
  <c r="AM22" i="2" s="1"/>
  <c r="AK23" i="2"/>
  <c r="AM23" i="2" s="1"/>
  <c r="AK24" i="2"/>
  <c r="AM24" i="2" s="1"/>
  <c r="AK25" i="2"/>
  <c r="AM25" i="2" s="1"/>
  <c r="AK26" i="2"/>
  <c r="AM26" i="2" s="1"/>
  <c r="AK27" i="2"/>
  <c r="AM27" i="2" s="1"/>
  <c r="AK28" i="2"/>
  <c r="AM28" i="2" s="1"/>
  <c r="AK29" i="2"/>
  <c r="AM29" i="2" s="1"/>
  <c r="AK30" i="2"/>
  <c r="AM30" i="2" s="1"/>
  <c r="AK31" i="2"/>
  <c r="AM31" i="2" s="1"/>
  <c r="AK32" i="2"/>
  <c r="AM32" i="2" s="1"/>
  <c r="AK33" i="2"/>
  <c r="AM33" i="2" s="1"/>
  <c r="AK34" i="2"/>
  <c r="AM34" i="2" s="1"/>
  <c r="AK35" i="2"/>
  <c r="AM35" i="2" s="1"/>
  <c r="AK36" i="2"/>
  <c r="AM36" i="2" s="1"/>
  <c r="AK37" i="2"/>
  <c r="AM37" i="2" s="1"/>
  <c r="AK38" i="2"/>
  <c r="AM38" i="2" s="1"/>
  <c r="AK39" i="2"/>
  <c r="AM39" i="2" s="1"/>
  <c r="AK40" i="2"/>
  <c r="AM40" i="2" s="1"/>
  <c r="AK41" i="2"/>
  <c r="AM41" i="2" s="1"/>
  <c r="AK42" i="2"/>
  <c r="AM42" i="2" s="1"/>
  <c r="AK43" i="2"/>
  <c r="AM43" i="2" s="1"/>
  <c r="AK44" i="2"/>
  <c r="AM44" i="2" s="1"/>
  <c r="AK45" i="2"/>
  <c r="AM45" i="2" s="1"/>
  <c r="AK46" i="2"/>
  <c r="AM46" i="2" s="1"/>
  <c r="AK47" i="2"/>
  <c r="AM47" i="2" s="1"/>
  <c r="AK48" i="2"/>
  <c r="AM48" i="2" s="1"/>
  <c r="AK49" i="2"/>
  <c r="AM49" i="2" s="1"/>
  <c r="AK50" i="2"/>
  <c r="AM50" i="2" s="1"/>
  <c r="AK51" i="2"/>
  <c r="AM51" i="2" s="1"/>
  <c r="AK52" i="2"/>
  <c r="AM52" i="2" s="1"/>
  <c r="AK53" i="2"/>
  <c r="AM53" i="2" s="1"/>
  <c r="AK54" i="2"/>
  <c r="AM54" i="2" s="1"/>
  <c r="AK55" i="2"/>
  <c r="AM55" i="2" s="1"/>
  <c r="AK56" i="2"/>
  <c r="AM56" i="2" s="1"/>
  <c r="AK57" i="2"/>
  <c r="AM57" i="2" s="1"/>
  <c r="AK58" i="2"/>
  <c r="AM58" i="2" s="1"/>
  <c r="AK59" i="2"/>
  <c r="AM59" i="2" s="1"/>
  <c r="AK60" i="2"/>
  <c r="AM60" i="2" s="1"/>
  <c r="AK61" i="2"/>
  <c r="AM61" i="2" s="1"/>
  <c r="AK62" i="2"/>
  <c r="AM62" i="2" s="1"/>
  <c r="AK63" i="2"/>
  <c r="AM63" i="2" s="1"/>
  <c r="AK64" i="2"/>
  <c r="AM64" i="2" s="1"/>
  <c r="AK65" i="2"/>
  <c r="AM65" i="2" s="1"/>
  <c r="AK66" i="2"/>
  <c r="AM66" i="2" s="1"/>
  <c r="AK67" i="2"/>
  <c r="AM67" i="2" s="1"/>
  <c r="AK68" i="2"/>
  <c r="AM68" i="2" s="1"/>
  <c r="AK69" i="2"/>
  <c r="AM69" i="2" s="1"/>
  <c r="AK70" i="2"/>
  <c r="AM70" i="2" s="1"/>
  <c r="AK71" i="2"/>
  <c r="AM71" i="2" s="1"/>
  <c r="AK72" i="2"/>
  <c r="AM72" i="2" s="1"/>
  <c r="AK73" i="2"/>
  <c r="AM73" i="2" s="1"/>
  <c r="AK74" i="2"/>
  <c r="AM74" i="2" s="1"/>
  <c r="AK75" i="2"/>
  <c r="AM75" i="2" s="1"/>
  <c r="AK76" i="2"/>
  <c r="AM76" i="2" s="1"/>
  <c r="AK77" i="2"/>
  <c r="AM77" i="2" s="1"/>
  <c r="AK78" i="2"/>
  <c r="AM78" i="2" s="1"/>
  <c r="AK79" i="2"/>
  <c r="AM79" i="2" s="1"/>
  <c r="AK80" i="2"/>
  <c r="AM80" i="2" s="1"/>
  <c r="AK81" i="2"/>
  <c r="AM81" i="2" s="1"/>
  <c r="AK82" i="2"/>
  <c r="AM82" i="2" s="1"/>
  <c r="AK83" i="2"/>
  <c r="AM83" i="2" s="1"/>
  <c r="AK84" i="2"/>
  <c r="AM84" i="2" s="1"/>
  <c r="AK85" i="2"/>
  <c r="AM85" i="2" s="1"/>
  <c r="AK86" i="2"/>
  <c r="AM86" i="2" s="1"/>
  <c r="AK87" i="2"/>
  <c r="AM87" i="2" s="1"/>
  <c r="AK88" i="2"/>
  <c r="AM88" i="2" s="1"/>
  <c r="AK89" i="2"/>
  <c r="AM89" i="2" s="1"/>
  <c r="AK90" i="2"/>
  <c r="AM90" i="2" s="1"/>
  <c r="AK91" i="2"/>
  <c r="AM91" i="2" s="1"/>
  <c r="AK92" i="2"/>
  <c r="AM92" i="2" s="1"/>
  <c r="AK93" i="2"/>
  <c r="AM93" i="2" s="1"/>
  <c r="AK94" i="2"/>
  <c r="AM94" i="2" s="1"/>
  <c r="AK95" i="2"/>
  <c r="AM95" i="2" s="1"/>
  <c r="AK96" i="2"/>
  <c r="AM96" i="2" s="1"/>
  <c r="AK97" i="2"/>
  <c r="AM97" i="2" s="1"/>
  <c r="AK98" i="2"/>
  <c r="AM98" i="2" s="1"/>
  <c r="AK99" i="2"/>
  <c r="AM99" i="2" s="1"/>
  <c r="AK100" i="2"/>
  <c r="AM100" i="2" s="1"/>
  <c r="AK101" i="2"/>
  <c r="AM101" i="2" s="1"/>
  <c r="AK102" i="2"/>
  <c r="AM102" i="2" s="1"/>
  <c r="AK103" i="2"/>
  <c r="AM103" i="2" s="1"/>
  <c r="AK104" i="2"/>
  <c r="AM104" i="2" s="1"/>
  <c r="AK105" i="2"/>
  <c r="AM105" i="2" s="1"/>
  <c r="AK106" i="2"/>
  <c r="AM106" i="2" s="1"/>
  <c r="AK107" i="2"/>
  <c r="AM107" i="2" s="1"/>
  <c r="AK108" i="2"/>
  <c r="AM108" i="2" s="1"/>
  <c r="AK109" i="2"/>
  <c r="AM109" i="2" s="1"/>
  <c r="AK110" i="2"/>
  <c r="AM110" i="2" s="1"/>
  <c r="AK111" i="2"/>
  <c r="AM111" i="2" s="1"/>
  <c r="AK112" i="2"/>
  <c r="AM112" i="2" s="1"/>
  <c r="AK113" i="2"/>
  <c r="AM113" i="2" s="1"/>
  <c r="AK114" i="2"/>
  <c r="AM114" i="2" s="1"/>
  <c r="AK115" i="2"/>
  <c r="AM115" i="2" s="1"/>
  <c r="AK116" i="2"/>
  <c r="AM116" i="2" s="1"/>
  <c r="AK117" i="2"/>
  <c r="AM117" i="2" s="1"/>
  <c r="AK118" i="2"/>
  <c r="AM118" i="2" s="1"/>
  <c r="AK119" i="2"/>
  <c r="AM119" i="2" s="1"/>
  <c r="AK120" i="2"/>
  <c r="AM120" i="2" s="1"/>
  <c r="AK121" i="2"/>
  <c r="AM121" i="2" s="1"/>
  <c r="AK122" i="2"/>
  <c r="AM122" i="2" s="1"/>
  <c r="AK123" i="2"/>
  <c r="AM123" i="2" s="1"/>
  <c r="AK124" i="2"/>
  <c r="AM124" i="2" s="1"/>
  <c r="AK125" i="2"/>
  <c r="AM125" i="2" s="1"/>
  <c r="AK126" i="2"/>
  <c r="AM126" i="2" s="1"/>
  <c r="AK127" i="2"/>
  <c r="AM127" i="2" s="1"/>
  <c r="AK128" i="2"/>
  <c r="AM128" i="2" s="1"/>
  <c r="AK129" i="2"/>
  <c r="AM129" i="2" s="1"/>
  <c r="AK130" i="2"/>
  <c r="AM130" i="2" s="1"/>
  <c r="AK131" i="2"/>
  <c r="AM131" i="2" s="1"/>
  <c r="AK132" i="2"/>
  <c r="AM132" i="2" s="1"/>
  <c r="AK133" i="2"/>
  <c r="AM133" i="2" s="1"/>
  <c r="AK134" i="2"/>
  <c r="AM134" i="2" s="1"/>
  <c r="AK135" i="2"/>
  <c r="AM135" i="2" s="1"/>
  <c r="AK136" i="2"/>
  <c r="AM136" i="2" s="1"/>
  <c r="AK137" i="2"/>
  <c r="AM137" i="2" s="1"/>
  <c r="AK138" i="2"/>
  <c r="AM138" i="2" s="1"/>
  <c r="AK139" i="2"/>
  <c r="AM139" i="2" s="1"/>
  <c r="AK140" i="2"/>
  <c r="AM140" i="2" s="1"/>
  <c r="AK141" i="2"/>
  <c r="AM141" i="2" s="1"/>
  <c r="AK142" i="2"/>
  <c r="AM142" i="2" s="1"/>
  <c r="AK143" i="2"/>
  <c r="AM143" i="2" s="1"/>
  <c r="AK144" i="2"/>
  <c r="AM144" i="2" s="1"/>
  <c r="AK145" i="2"/>
  <c r="AM145" i="2" s="1"/>
  <c r="AK146" i="2"/>
  <c r="AM146" i="2" s="1"/>
  <c r="AK147" i="2"/>
  <c r="AM147" i="2" s="1"/>
  <c r="AK148" i="2"/>
  <c r="AM148" i="2" s="1"/>
  <c r="AK149" i="2"/>
  <c r="AM149" i="2" s="1"/>
  <c r="AK150" i="2"/>
  <c r="AM150" i="2" s="1"/>
  <c r="AK151" i="2"/>
  <c r="AM151" i="2" s="1"/>
  <c r="AK152" i="2"/>
  <c r="AM152" i="2" s="1"/>
  <c r="AK153" i="2"/>
  <c r="AM153" i="2" s="1"/>
  <c r="AK154" i="2"/>
  <c r="AM154" i="2" s="1"/>
  <c r="AK155" i="2"/>
  <c r="AM155" i="2" s="1"/>
  <c r="AK156" i="2"/>
  <c r="AM156" i="2" s="1"/>
  <c r="AK157" i="2"/>
  <c r="AM157" i="2" s="1"/>
  <c r="AK158" i="2"/>
  <c r="AM158" i="2" s="1"/>
  <c r="AK159" i="2"/>
  <c r="AM159" i="2" s="1"/>
  <c r="AK160" i="2"/>
  <c r="AM160" i="2" s="1"/>
  <c r="AK161" i="2"/>
  <c r="AM161" i="2" s="1"/>
  <c r="AK162" i="2"/>
  <c r="AM162" i="2" s="1"/>
  <c r="AK163" i="2"/>
  <c r="AM163" i="2" s="1"/>
  <c r="AK164" i="2"/>
  <c r="AM164" i="2" s="1"/>
  <c r="AK165" i="2"/>
  <c r="AM165" i="2" s="1"/>
  <c r="AK166" i="2"/>
  <c r="AM166" i="2" s="1"/>
  <c r="AK167" i="2"/>
  <c r="AM167" i="2" s="1"/>
  <c r="AK168" i="2"/>
  <c r="AM168" i="2" s="1"/>
  <c r="AK169" i="2"/>
  <c r="AM169" i="2" s="1"/>
  <c r="AK170" i="2"/>
  <c r="AM170" i="2" s="1"/>
  <c r="AK171" i="2"/>
  <c r="AM171" i="2" s="1"/>
  <c r="AK172" i="2"/>
  <c r="AM172" i="2" s="1"/>
  <c r="AK173" i="2"/>
  <c r="AM173" i="2" s="1"/>
  <c r="AK174" i="2"/>
  <c r="AM174" i="2" s="1"/>
  <c r="AK175" i="2"/>
  <c r="AM175" i="2" s="1"/>
  <c r="AK176" i="2"/>
  <c r="AM176" i="2" s="1"/>
  <c r="AK177" i="2"/>
  <c r="AM177" i="2" s="1"/>
  <c r="AK178" i="2"/>
  <c r="AM178" i="2" s="1"/>
  <c r="AK179" i="2"/>
  <c r="AM179" i="2" s="1"/>
  <c r="AK180" i="2"/>
  <c r="AM180" i="2" s="1"/>
  <c r="AK181" i="2"/>
  <c r="AM181" i="2" s="1"/>
  <c r="AK182" i="2"/>
  <c r="AM182" i="2" s="1"/>
  <c r="AK183" i="2"/>
  <c r="AM183" i="2" s="1"/>
  <c r="AK184" i="2"/>
  <c r="AM184" i="2" s="1"/>
  <c r="AK185" i="2"/>
  <c r="AM185" i="2" s="1"/>
  <c r="AK186" i="2"/>
  <c r="AM186" i="2" s="1"/>
  <c r="AK187" i="2"/>
  <c r="AM187" i="2" s="1"/>
  <c r="AK188" i="2"/>
  <c r="AM188" i="2" s="1"/>
  <c r="AK189" i="2"/>
  <c r="AM189" i="2" s="1"/>
  <c r="AK190" i="2"/>
  <c r="AM190" i="2" s="1"/>
  <c r="AK191" i="2"/>
  <c r="AM191" i="2" s="1"/>
  <c r="AK192" i="2"/>
  <c r="AM192" i="2" s="1"/>
  <c r="AK193" i="2"/>
  <c r="AM193" i="2" s="1"/>
  <c r="AK194" i="2"/>
  <c r="AM194" i="2" s="1"/>
  <c r="AK195" i="2"/>
  <c r="AM195" i="2" s="1"/>
  <c r="AK196" i="2"/>
  <c r="AM196" i="2" s="1"/>
  <c r="AK197" i="2"/>
  <c r="AM197" i="2" s="1"/>
  <c r="AK198" i="2"/>
  <c r="AM198" i="2" s="1"/>
  <c r="AK199" i="2"/>
  <c r="AM199" i="2" s="1"/>
  <c r="AK200" i="2"/>
  <c r="AM200" i="2" s="1"/>
  <c r="AK201" i="2"/>
  <c r="AM201" i="2" s="1"/>
  <c r="AK202" i="2"/>
  <c r="AM202" i="2" s="1"/>
  <c r="AK203" i="2"/>
  <c r="AM203" i="2" s="1"/>
  <c r="AK204" i="2"/>
  <c r="AM204" i="2" s="1"/>
  <c r="AK205" i="2"/>
  <c r="AM205" i="2" s="1"/>
  <c r="AK206" i="2"/>
  <c r="AM206" i="2" s="1"/>
  <c r="AK207" i="2"/>
  <c r="AM207" i="2" s="1"/>
  <c r="AK208" i="2"/>
  <c r="AM208" i="2" s="1"/>
  <c r="AK209" i="2"/>
  <c r="AM209" i="2" s="1"/>
  <c r="AK210" i="2"/>
  <c r="AM210" i="2" s="1"/>
  <c r="AK211" i="2"/>
  <c r="AM211" i="2" s="1"/>
  <c r="AK212" i="2"/>
  <c r="AM212" i="2" s="1"/>
  <c r="AK213" i="2"/>
  <c r="AM213" i="2" s="1"/>
  <c r="AK214" i="2"/>
  <c r="AM214" i="2" s="1"/>
  <c r="AK215" i="2"/>
  <c r="AM215" i="2" s="1"/>
  <c r="AK216" i="2"/>
  <c r="AM216" i="2" s="1"/>
  <c r="AK217" i="2"/>
  <c r="AM217" i="2" s="1"/>
  <c r="AK218" i="2"/>
  <c r="AM218" i="2" s="1"/>
  <c r="AK219" i="2"/>
  <c r="AM219" i="2" s="1"/>
  <c r="AK220" i="2"/>
  <c r="AM220" i="2" s="1"/>
  <c r="AK221" i="2"/>
  <c r="AM221" i="2" s="1"/>
  <c r="AK222" i="2"/>
  <c r="AM222" i="2" s="1"/>
  <c r="AK223" i="2"/>
  <c r="AM223" i="2" s="1"/>
  <c r="AK224" i="2"/>
  <c r="AM224" i="2" s="1"/>
  <c r="AK225" i="2"/>
  <c r="AM225" i="2" s="1"/>
  <c r="AK226" i="2"/>
  <c r="AM226" i="2" s="1"/>
  <c r="AK227" i="2"/>
  <c r="AM227" i="2" s="1"/>
  <c r="AK228" i="2"/>
  <c r="AM228" i="2" s="1"/>
  <c r="AK229" i="2"/>
  <c r="AM229" i="2" s="1"/>
  <c r="AK230" i="2"/>
  <c r="AM230" i="2" s="1"/>
  <c r="AK231" i="2"/>
  <c r="AM231" i="2" s="1"/>
  <c r="AK232" i="2"/>
  <c r="AM232" i="2" s="1"/>
  <c r="AK233" i="2"/>
  <c r="AM233" i="2" s="1"/>
  <c r="AK234" i="2"/>
  <c r="AM234" i="2" s="1"/>
  <c r="AK235" i="2"/>
  <c r="AM235" i="2" s="1"/>
  <c r="AK236" i="2"/>
  <c r="AM236" i="2" s="1"/>
  <c r="AK237" i="2"/>
  <c r="AM237" i="2" s="1"/>
  <c r="AK238" i="2"/>
  <c r="AM238" i="2" s="1"/>
  <c r="AK239" i="2"/>
  <c r="AM239" i="2" s="1"/>
  <c r="AK240" i="2"/>
  <c r="AM240" i="2" s="1"/>
  <c r="AK241" i="2"/>
  <c r="AM241" i="2" s="1"/>
  <c r="AK242" i="2"/>
  <c r="AM242" i="2" s="1"/>
  <c r="AK243" i="2"/>
  <c r="AM243" i="2" s="1"/>
  <c r="AK244" i="2"/>
  <c r="AM244" i="2" s="1"/>
  <c r="AK245" i="2"/>
  <c r="AM245" i="2" s="1"/>
  <c r="AK246" i="2"/>
  <c r="AM246" i="2" s="1"/>
  <c r="AK247" i="2"/>
  <c r="AM247" i="2" s="1"/>
  <c r="AK248" i="2"/>
  <c r="AM248" i="2" s="1"/>
  <c r="AK249" i="2"/>
  <c r="AM249" i="2" s="1"/>
  <c r="AK250" i="2"/>
  <c r="AM250" i="2" s="1"/>
  <c r="AK251" i="2"/>
  <c r="AM251" i="2" s="1"/>
  <c r="AK252" i="2"/>
  <c r="AM252" i="2" s="1"/>
  <c r="AK253" i="2"/>
  <c r="AM253" i="2" s="1"/>
  <c r="AK254" i="2"/>
  <c r="AM254" i="2" s="1"/>
  <c r="AK255" i="2"/>
  <c r="AM255" i="2" s="1"/>
  <c r="AK256" i="2"/>
  <c r="AM256" i="2" s="1"/>
  <c r="AK257" i="2"/>
  <c r="AM257" i="2" s="1"/>
  <c r="AK258" i="2"/>
  <c r="AM258" i="2" s="1"/>
  <c r="AK259" i="2"/>
  <c r="AM259" i="2" s="1"/>
  <c r="AK260" i="2"/>
  <c r="AM260" i="2" s="1"/>
  <c r="AK261" i="2"/>
  <c r="AM261" i="2" s="1"/>
  <c r="AK262" i="2"/>
  <c r="AM262" i="2" s="1"/>
  <c r="AK263" i="2"/>
  <c r="AM263" i="2" s="1"/>
  <c r="AK264" i="2"/>
  <c r="AM264" i="2" s="1"/>
  <c r="AK265" i="2"/>
  <c r="AM265" i="2" s="1"/>
  <c r="AK266" i="2"/>
  <c r="AM266" i="2" s="1"/>
  <c r="AK267" i="2"/>
  <c r="AM267" i="2" s="1"/>
  <c r="AK268" i="2"/>
  <c r="AM268" i="2" s="1"/>
  <c r="AK269" i="2"/>
  <c r="AM269" i="2" s="1"/>
  <c r="AK270" i="2"/>
  <c r="AM270" i="2" s="1"/>
  <c r="AK271" i="2"/>
  <c r="AM271" i="2" s="1"/>
  <c r="AK272" i="2"/>
  <c r="AM272" i="2" s="1"/>
  <c r="AK273" i="2"/>
  <c r="AM273" i="2" s="1"/>
  <c r="AK274" i="2"/>
  <c r="AM274" i="2" s="1"/>
  <c r="AK275" i="2"/>
  <c r="AM275" i="2" s="1"/>
  <c r="AK276" i="2"/>
  <c r="AM276" i="2" s="1"/>
  <c r="AK277" i="2"/>
  <c r="AM277" i="2" s="1"/>
  <c r="AK278" i="2"/>
  <c r="AM278" i="2" s="1"/>
  <c r="AK279" i="2"/>
  <c r="AM279" i="2" s="1"/>
  <c r="AK280" i="2"/>
  <c r="AM280" i="2" s="1"/>
  <c r="AK281" i="2"/>
  <c r="AM281" i="2" s="1"/>
  <c r="AK282" i="2"/>
  <c r="AM282" i="2" s="1"/>
  <c r="AK283" i="2"/>
  <c r="AM283" i="2" s="1"/>
  <c r="AK284" i="2"/>
  <c r="AM284" i="2" s="1"/>
  <c r="AK285" i="2"/>
  <c r="AM285" i="2" s="1"/>
  <c r="AK286" i="2"/>
  <c r="AM286" i="2" s="1"/>
  <c r="AK287" i="2"/>
  <c r="AM287" i="2" s="1"/>
  <c r="AK288" i="2"/>
  <c r="AM288" i="2" s="1"/>
  <c r="AK289" i="2"/>
  <c r="AM289" i="2" s="1"/>
  <c r="AK290" i="2"/>
  <c r="AM290" i="2" s="1"/>
  <c r="AK291" i="2"/>
  <c r="AM291" i="2" s="1"/>
  <c r="AK292" i="2"/>
  <c r="AM292" i="2" s="1"/>
  <c r="AK293" i="2"/>
  <c r="AM293" i="2" s="1"/>
  <c r="AK294" i="2"/>
  <c r="AM294" i="2" s="1"/>
  <c r="AK295" i="2"/>
  <c r="AM295" i="2" s="1"/>
  <c r="AK296" i="2"/>
  <c r="AM296" i="2" s="1"/>
  <c r="AK297" i="2"/>
  <c r="AM297" i="2" s="1"/>
  <c r="AK298" i="2"/>
  <c r="AM298" i="2" s="1"/>
  <c r="AK299" i="2"/>
  <c r="AM299" i="2" s="1"/>
  <c r="AK300" i="2"/>
  <c r="AM300" i="2" s="1"/>
  <c r="AK301" i="2"/>
  <c r="AM301" i="2" s="1"/>
  <c r="AK302" i="2"/>
  <c r="AM302" i="2" s="1"/>
  <c r="AK303" i="2"/>
  <c r="AM303" i="2" s="1"/>
  <c r="AK304" i="2"/>
  <c r="AM304" i="2" s="1"/>
  <c r="AK305" i="2"/>
  <c r="AM305" i="2" s="1"/>
  <c r="AK306" i="2"/>
  <c r="AM306" i="2" s="1"/>
  <c r="AK307" i="2"/>
  <c r="AM307" i="2" s="1"/>
  <c r="AK308" i="2"/>
  <c r="AM308" i="2" s="1"/>
  <c r="AK309" i="2"/>
  <c r="AM309" i="2" s="1"/>
  <c r="AK310" i="2"/>
  <c r="AM310" i="2" s="1"/>
  <c r="AK311" i="2"/>
  <c r="AM311" i="2" s="1"/>
  <c r="AK312" i="2"/>
  <c r="AM312" i="2" s="1"/>
  <c r="AK313" i="2"/>
  <c r="AM313" i="2" s="1"/>
  <c r="AK314" i="2"/>
  <c r="AM314" i="2" s="1"/>
  <c r="AK315" i="2"/>
  <c r="AM315" i="2" s="1"/>
  <c r="AK316" i="2"/>
  <c r="AM316" i="2" s="1"/>
  <c r="AK317" i="2"/>
  <c r="AM317" i="2" s="1"/>
  <c r="AK318" i="2"/>
  <c r="AM318" i="2" s="1"/>
  <c r="AK319" i="2"/>
  <c r="AM319" i="2" s="1"/>
  <c r="AK320" i="2"/>
  <c r="AM320" i="2" s="1"/>
  <c r="AK321" i="2"/>
  <c r="AM321" i="2" s="1"/>
  <c r="AK322" i="2"/>
  <c r="AM322" i="2" s="1"/>
  <c r="AK323" i="2"/>
  <c r="AM323" i="2" s="1"/>
  <c r="AK324" i="2"/>
  <c r="AM324" i="2" s="1"/>
  <c r="AK325" i="2"/>
  <c r="AM325" i="2" s="1"/>
  <c r="AK326" i="2"/>
  <c r="AM326" i="2" s="1"/>
  <c r="AK327" i="2"/>
  <c r="AM327" i="2" s="1"/>
  <c r="AK328" i="2"/>
  <c r="AM328" i="2" s="1"/>
  <c r="AK329" i="2"/>
  <c r="AM329" i="2" s="1"/>
  <c r="AK330" i="2"/>
  <c r="AM330" i="2" s="1"/>
  <c r="AK331" i="2"/>
  <c r="AM331" i="2" s="1"/>
  <c r="AK332" i="2"/>
  <c r="AM332" i="2" s="1"/>
  <c r="AK333" i="2"/>
  <c r="AM333" i="2" s="1"/>
  <c r="AK334" i="2"/>
  <c r="AM334" i="2" s="1"/>
  <c r="AK335" i="2"/>
  <c r="AM335" i="2" s="1"/>
  <c r="AK336" i="2"/>
  <c r="AM336" i="2" s="1"/>
  <c r="AK337" i="2"/>
  <c r="AM337" i="2" s="1"/>
  <c r="AK338" i="2"/>
  <c r="AM338" i="2" s="1"/>
  <c r="AK339" i="2"/>
  <c r="AM339" i="2" s="1"/>
  <c r="AK340" i="2"/>
  <c r="AM340" i="2" s="1"/>
  <c r="AK341" i="2"/>
  <c r="AM341" i="2" s="1"/>
  <c r="AK342" i="2"/>
  <c r="AM342" i="2" s="1"/>
  <c r="AK343" i="2"/>
  <c r="AM343" i="2" s="1"/>
  <c r="AK344" i="2"/>
  <c r="AM344" i="2" s="1"/>
  <c r="AK345" i="2"/>
  <c r="AM345" i="2" s="1"/>
  <c r="AK346" i="2"/>
  <c r="AM346" i="2" s="1"/>
  <c r="AK347" i="2"/>
  <c r="AM347" i="2" s="1"/>
  <c r="AK348" i="2"/>
  <c r="AM348" i="2" s="1"/>
  <c r="AK349" i="2"/>
  <c r="AM349" i="2" s="1"/>
  <c r="AK350" i="2"/>
  <c r="AM350" i="2" s="1"/>
  <c r="AK351" i="2"/>
  <c r="AM351" i="2" s="1"/>
  <c r="AK352" i="2"/>
  <c r="AM352" i="2" s="1"/>
  <c r="AK353" i="2"/>
  <c r="AM353" i="2" s="1"/>
  <c r="AK354" i="2"/>
  <c r="AM354" i="2" s="1"/>
  <c r="AK355" i="2"/>
  <c r="AM355" i="2" s="1"/>
  <c r="AK356" i="2"/>
  <c r="AM356" i="2" s="1"/>
  <c r="AK357" i="2"/>
  <c r="AM357" i="2" s="1"/>
  <c r="AK358" i="2"/>
  <c r="AM358" i="2" s="1"/>
  <c r="AK359" i="2"/>
  <c r="AM359" i="2" s="1"/>
  <c r="AK360" i="2"/>
  <c r="AM360" i="2" s="1"/>
  <c r="AK361" i="2"/>
  <c r="AM361" i="2" s="1"/>
  <c r="AK362" i="2"/>
  <c r="AM362" i="2" s="1"/>
  <c r="AK363" i="2"/>
  <c r="AM363" i="2" s="1"/>
  <c r="AK364" i="2"/>
  <c r="AM364" i="2" s="1"/>
  <c r="AK365" i="2"/>
  <c r="AM365" i="2" s="1"/>
  <c r="AK366" i="2"/>
  <c r="AM366" i="2" s="1"/>
  <c r="AK367" i="2"/>
  <c r="AM367" i="2" s="1"/>
  <c r="AK368" i="2"/>
  <c r="AM368" i="2" s="1"/>
  <c r="AK369" i="2"/>
  <c r="AM369" i="2" s="1"/>
  <c r="AK370" i="2"/>
  <c r="AM370" i="2" s="1"/>
  <c r="AK371" i="2"/>
  <c r="AM371" i="2" s="1"/>
  <c r="AK372" i="2"/>
  <c r="AM372" i="2" s="1"/>
  <c r="AK373" i="2"/>
  <c r="AM373" i="2" s="1"/>
  <c r="AK374" i="2"/>
  <c r="AM374" i="2" s="1"/>
  <c r="AK375" i="2"/>
  <c r="AM375" i="2" s="1"/>
  <c r="AK376" i="2"/>
  <c r="AM376" i="2" s="1"/>
  <c r="AK377" i="2"/>
  <c r="AM377" i="2" s="1"/>
  <c r="AK378" i="2"/>
  <c r="AM378" i="2" s="1"/>
  <c r="AK379" i="2"/>
  <c r="AM379" i="2" s="1"/>
  <c r="AK380" i="2"/>
  <c r="AM380" i="2" s="1"/>
  <c r="AK381" i="2"/>
  <c r="AM381" i="2" s="1"/>
  <c r="AK382" i="2"/>
  <c r="AM382" i="2" s="1"/>
  <c r="AK383" i="2"/>
  <c r="AM383" i="2" s="1"/>
  <c r="AK384" i="2"/>
  <c r="AM384" i="2" s="1"/>
  <c r="AK385" i="2"/>
  <c r="AM385" i="2" s="1"/>
  <c r="AK386" i="2"/>
  <c r="AM386" i="2" s="1"/>
  <c r="AK387" i="2"/>
  <c r="AM387" i="2" s="1"/>
  <c r="AK388" i="2"/>
  <c r="AM388" i="2" s="1"/>
  <c r="AK389" i="2"/>
  <c r="AM389" i="2" s="1"/>
  <c r="AK390" i="2"/>
  <c r="AM390" i="2" s="1"/>
  <c r="AK391" i="2"/>
  <c r="AM391" i="2" s="1"/>
  <c r="AK392" i="2"/>
  <c r="AM392" i="2" s="1"/>
  <c r="AK393" i="2"/>
  <c r="AM393" i="2" s="1"/>
  <c r="AK394" i="2"/>
  <c r="AM394" i="2" s="1"/>
  <c r="AK395" i="2"/>
  <c r="AM395" i="2" s="1"/>
  <c r="AK396" i="2"/>
  <c r="AM396" i="2" s="1"/>
  <c r="AK397" i="2"/>
  <c r="AM397" i="2" s="1"/>
  <c r="AK398" i="2"/>
  <c r="AM398" i="2" s="1"/>
  <c r="AK399" i="2"/>
  <c r="AM399" i="2" s="1"/>
  <c r="AK400" i="2"/>
  <c r="AM400" i="2" s="1"/>
  <c r="AK401" i="2"/>
  <c r="AM401" i="2" s="1"/>
  <c r="AK402" i="2"/>
  <c r="AM402" i="2" s="1"/>
  <c r="AK403" i="2"/>
  <c r="AM403" i="2" s="1"/>
  <c r="AK404" i="2"/>
  <c r="AM404" i="2" s="1"/>
  <c r="AK405" i="2"/>
  <c r="AM405" i="2" s="1"/>
  <c r="AK406" i="2"/>
  <c r="AM406" i="2" s="1"/>
  <c r="AK407" i="2"/>
  <c r="AM407" i="2" s="1"/>
  <c r="AK408" i="2"/>
  <c r="AM408" i="2" s="1"/>
  <c r="AK409" i="2"/>
  <c r="AM409" i="2" s="1"/>
  <c r="AK410" i="2"/>
  <c r="AM410" i="2" s="1"/>
  <c r="AK411" i="2"/>
  <c r="AM411" i="2" s="1"/>
  <c r="AK412" i="2"/>
  <c r="AM412" i="2" s="1"/>
  <c r="AK413" i="2"/>
  <c r="AM413" i="2" s="1"/>
  <c r="AK414" i="2"/>
  <c r="AM414" i="2" s="1"/>
  <c r="AK415" i="2"/>
  <c r="AM415" i="2" s="1"/>
  <c r="AK416" i="2"/>
  <c r="AM416" i="2" s="1"/>
  <c r="AK417" i="2"/>
  <c r="AM417" i="2" s="1"/>
  <c r="AK418" i="2"/>
  <c r="AM418" i="2" s="1"/>
  <c r="AK419" i="2"/>
  <c r="AM419" i="2" s="1"/>
  <c r="AK420" i="2"/>
  <c r="AM420" i="2" s="1"/>
  <c r="AK421" i="2"/>
  <c r="AM421" i="2" s="1"/>
  <c r="AK422" i="2"/>
  <c r="AM422" i="2" s="1"/>
  <c r="AK423" i="2"/>
  <c r="AM423" i="2" s="1"/>
  <c r="AK424" i="2"/>
  <c r="AM424" i="2" s="1"/>
  <c r="AK425" i="2"/>
  <c r="AM425" i="2" s="1"/>
  <c r="AK426" i="2"/>
  <c r="AM426" i="2" s="1"/>
  <c r="AK427" i="2"/>
  <c r="AM427" i="2" s="1"/>
  <c r="AK428" i="2"/>
  <c r="AM428" i="2" s="1"/>
  <c r="AK429" i="2"/>
  <c r="AM429" i="2" s="1"/>
  <c r="AK430" i="2"/>
  <c r="AM430" i="2" s="1"/>
  <c r="AK431" i="2"/>
  <c r="AM431" i="2" s="1"/>
  <c r="AK432" i="2"/>
  <c r="AM432" i="2" s="1"/>
  <c r="AK433" i="2"/>
  <c r="AM433" i="2" s="1"/>
  <c r="AK434" i="2"/>
  <c r="AM434" i="2" s="1"/>
  <c r="AK435" i="2"/>
  <c r="AM435" i="2" s="1"/>
  <c r="AK436" i="2"/>
  <c r="AM436" i="2" s="1"/>
  <c r="AK437" i="2"/>
  <c r="AM437" i="2" s="1"/>
  <c r="AK438" i="2"/>
  <c r="AM438" i="2" s="1"/>
  <c r="AK439" i="2"/>
  <c r="AM439" i="2" s="1"/>
  <c r="AK440" i="2"/>
  <c r="AM440" i="2" s="1"/>
  <c r="AK441" i="2"/>
  <c r="AM441" i="2" s="1"/>
  <c r="AK442" i="2"/>
  <c r="AM442" i="2" s="1"/>
  <c r="AK443" i="2"/>
  <c r="AM443" i="2" s="1"/>
  <c r="AK444" i="2"/>
  <c r="AM444" i="2" s="1"/>
  <c r="AK445" i="2"/>
  <c r="AM445" i="2" s="1"/>
  <c r="AK446" i="2"/>
  <c r="AM446" i="2" s="1"/>
  <c r="AK447" i="2"/>
  <c r="AM447" i="2" s="1"/>
  <c r="AK448" i="2"/>
  <c r="AM448" i="2" s="1"/>
  <c r="AK449" i="2"/>
  <c r="AM449" i="2" s="1"/>
  <c r="AK450" i="2"/>
  <c r="AM450" i="2" s="1"/>
  <c r="AK451" i="2"/>
  <c r="AM451" i="2" s="1"/>
  <c r="AK452" i="2"/>
  <c r="AM452" i="2" s="1"/>
  <c r="AK453" i="2"/>
  <c r="AM453" i="2" s="1"/>
  <c r="AK454" i="2"/>
  <c r="AM454" i="2" s="1"/>
  <c r="AK455" i="2"/>
  <c r="AM455" i="2" s="1"/>
  <c r="AK456" i="2"/>
  <c r="AM456" i="2" s="1"/>
  <c r="AK457" i="2"/>
  <c r="AM457" i="2" s="1"/>
  <c r="AK458" i="2"/>
  <c r="AM458" i="2" s="1"/>
  <c r="AK459" i="2"/>
  <c r="AM459" i="2" s="1"/>
  <c r="AK460" i="2"/>
  <c r="AM460" i="2" s="1"/>
  <c r="AK461" i="2"/>
  <c r="AM461" i="2" s="1"/>
  <c r="AK462" i="2"/>
  <c r="AM462" i="2" s="1"/>
  <c r="AK463" i="2"/>
  <c r="AM463" i="2" s="1"/>
  <c r="AK464" i="2"/>
  <c r="AM464" i="2" s="1"/>
  <c r="AK465" i="2"/>
  <c r="AM465" i="2" s="1"/>
  <c r="AK466" i="2"/>
  <c r="AM466" i="2" s="1"/>
  <c r="AK467" i="2"/>
  <c r="AM467" i="2" s="1"/>
  <c r="AK468" i="2"/>
  <c r="AM468" i="2" s="1"/>
  <c r="AK469" i="2"/>
  <c r="AM469" i="2" s="1"/>
  <c r="AK470" i="2"/>
  <c r="AM470" i="2" s="1"/>
  <c r="AK471" i="2"/>
  <c r="AM471" i="2" s="1"/>
  <c r="AK472" i="2"/>
  <c r="AM472" i="2" s="1"/>
  <c r="AK473" i="2"/>
  <c r="AM473" i="2" s="1"/>
  <c r="AK474" i="2"/>
  <c r="AM474" i="2" s="1"/>
  <c r="AK475" i="2"/>
  <c r="AM475" i="2" s="1"/>
  <c r="AK476" i="2"/>
  <c r="AM476" i="2" s="1"/>
  <c r="AK477" i="2"/>
  <c r="AM477" i="2" s="1"/>
  <c r="AK478" i="2"/>
  <c r="AM478" i="2" s="1"/>
  <c r="AK479" i="2"/>
  <c r="AM479" i="2" s="1"/>
  <c r="AK480" i="2"/>
  <c r="AM480" i="2" s="1"/>
  <c r="AK481" i="2"/>
  <c r="AM481" i="2" s="1"/>
  <c r="AK482" i="2"/>
  <c r="AM482" i="2" s="1"/>
  <c r="AK483" i="2"/>
  <c r="AM483" i="2" s="1"/>
  <c r="AK484" i="2"/>
  <c r="AM484" i="2" s="1"/>
  <c r="AK485" i="2"/>
  <c r="AM485" i="2" s="1"/>
  <c r="AK486" i="2"/>
  <c r="AM486" i="2" s="1"/>
  <c r="AK487" i="2"/>
  <c r="AM487" i="2" s="1"/>
  <c r="AK488" i="2"/>
  <c r="AM488" i="2" s="1"/>
  <c r="AK489" i="2"/>
  <c r="AM489" i="2" s="1"/>
  <c r="AK490" i="2"/>
  <c r="AM490" i="2" s="1"/>
  <c r="AK491" i="2"/>
  <c r="AM491" i="2" s="1"/>
  <c r="AK492" i="2"/>
  <c r="AM492" i="2" s="1"/>
  <c r="AK493" i="2"/>
  <c r="AM493" i="2" s="1"/>
  <c r="AK494" i="2"/>
  <c r="AM494" i="2" s="1"/>
  <c r="AK495" i="2"/>
  <c r="AM495" i="2" s="1"/>
  <c r="AK496" i="2"/>
  <c r="AM496" i="2" s="1"/>
  <c r="AK497" i="2"/>
  <c r="AM497" i="2" s="1"/>
  <c r="AK498" i="2"/>
  <c r="AM498" i="2" s="1"/>
  <c r="AK499" i="2"/>
  <c r="AM499" i="2" s="1"/>
  <c r="AK500" i="2"/>
  <c r="AM500" i="2" s="1"/>
  <c r="AK501" i="2"/>
  <c r="AM501" i="2" s="1"/>
  <c r="AK502" i="2"/>
  <c r="AM502" i="2" s="1"/>
  <c r="AK503" i="2"/>
  <c r="AM503" i="2" s="1"/>
  <c r="AK504" i="2"/>
  <c r="AM504" i="2" s="1"/>
  <c r="AK505" i="2"/>
  <c r="AM505" i="2" s="1"/>
  <c r="AK506" i="2"/>
  <c r="AM506" i="2" s="1"/>
  <c r="AK507" i="2"/>
  <c r="AM507" i="2" s="1"/>
  <c r="AK508" i="2"/>
  <c r="AM508" i="2" s="1"/>
  <c r="AK509" i="2"/>
  <c r="AM509" i="2" s="1"/>
  <c r="AK510" i="2"/>
  <c r="AM510" i="2" s="1"/>
  <c r="AK511" i="2"/>
  <c r="AM511" i="2" s="1"/>
  <c r="AK512" i="2"/>
  <c r="AM512" i="2" s="1"/>
  <c r="AK513" i="2"/>
  <c r="AM513" i="2" s="1"/>
  <c r="AK514" i="2"/>
  <c r="AM514" i="2" s="1"/>
  <c r="AK515" i="2"/>
  <c r="AM515" i="2" s="1"/>
  <c r="AK516" i="2"/>
  <c r="AM516" i="2" s="1"/>
  <c r="AK517" i="2"/>
  <c r="AM517" i="2" s="1"/>
  <c r="AK518" i="2"/>
  <c r="AM518" i="2" s="1"/>
  <c r="AK519" i="2"/>
  <c r="AM519" i="2" s="1"/>
  <c r="AK520" i="2"/>
  <c r="AM520" i="2" s="1"/>
  <c r="AK521" i="2"/>
  <c r="AM521" i="2" s="1"/>
  <c r="AK522" i="2"/>
  <c r="AM522" i="2" s="1"/>
  <c r="AK523" i="2"/>
  <c r="AM523" i="2" s="1"/>
  <c r="AK524" i="2"/>
  <c r="AM524" i="2" s="1"/>
  <c r="AK525" i="2"/>
  <c r="AM525" i="2" s="1"/>
  <c r="AK526" i="2"/>
  <c r="AM526" i="2" s="1"/>
  <c r="AK527" i="2"/>
  <c r="AM527" i="2" s="1"/>
  <c r="AK528" i="2"/>
  <c r="AM528" i="2" s="1"/>
  <c r="AK529" i="2"/>
  <c r="AM529" i="2" s="1"/>
  <c r="AK530" i="2"/>
  <c r="AM530" i="2" s="1"/>
  <c r="AK531" i="2"/>
  <c r="AM531" i="2" s="1"/>
  <c r="AK532" i="2"/>
  <c r="AM532" i="2" s="1"/>
  <c r="AK533" i="2"/>
  <c r="AM533" i="2" s="1"/>
  <c r="AK534" i="2"/>
  <c r="AM534" i="2" s="1"/>
  <c r="AK535" i="2"/>
  <c r="AM535" i="2" s="1"/>
  <c r="AK536" i="2"/>
  <c r="AM536" i="2" s="1"/>
  <c r="AK537" i="2"/>
  <c r="AM537" i="2" s="1"/>
  <c r="AK538" i="2"/>
  <c r="AM538" i="2" s="1"/>
  <c r="AK539" i="2"/>
  <c r="AM539" i="2" s="1"/>
  <c r="AK540" i="2"/>
  <c r="AM540" i="2" s="1"/>
  <c r="AK541" i="2"/>
  <c r="AM541" i="2" s="1"/>
  <c r="AK542" i="2"/>
  <c r="AM542" i="2" s="1"/>
  <c r="AK543" i="2"/>
  <c r="AM543" i="2" s="1"/>
  <c r="AK544" i="2"/>
  <c r="AM544" i="2" s="1"/>
  <c r="AK545" i="2"/>
  <c r="AM545" i="2" s="1"/>
  <c r="AK546" i="2"/>
  <c r="AM546" i="2" s="1"/>
  <c r="AK547" i="2"/>
  <c r="AM547" i="2" s="1"/>
  <c r="AK548" i="2"/>
  <c r="AM548" i="2" s="1"/>
  <c r="AK549" i="2"/>
  <c r="AM549" i="2" s="1"/>
  <c r="AK550" i="2"/>
  <c r="AM550" i="2" s="1"/>
  <c r="AK551" i="2"/>
  <c r="AM551" i="2" s="1"/>
  <c r="AK552" i="2"/>
  <c r="AM552" i="2" s="1"/>
  <c r="AK553" i="2"/>
  <c r="AM553" i="2" s="1"/>
  <c r="AK554" i="2"/>
  <c r="AM554" i="2" s="1"/>
  <c r="AK555" i="2"/>
  <c r="AM555" i="2" s="1"/>
  <c r="AK556" i="2"/>
  <c r="AM556" i="2" s="1"/>
  <c r="AK557" i="2"/>
  <c r="AM557" i="2" s="1"/>
  <c r="AK558" i="2"/>
  <c r="AM558" i="2" s="1"/>
  <c r="AK559" i="2"/>
  <c r="AM559" i="2" s="1"/>
  <c r="AK560" i="2"/>
  <c r="AM560" i="2" s="1"/>
  <c r="AK561" i="2"/>
  <c r="AM561" i="2" s="1"/>
  <c r="AK562" i="2"/>
  <c r="AM562" i="2" s="1"/>
  <c r="AK563" i="2"/>
  <c r="AM563" i="2" s="1"/>
  <c r="AK564" i="2"/>
  <c r="AM564" i="2" s="1"/>
  <c r="AK565" i="2"/>
  <c r="AM565" i="2" s="1"/>
  <c r="AK566" i="2"/>
  <c r="AM566" i="2" s="1"/>
  <c r="AK567" i="2"/>
  <c r="AM567" i="2" s="1"/>
  <c r="AK568" i="2"/>
  <c r="AM568" i="2" s="1"/>
  <c r="AK569" i="2"/>
  <c r="AM569" i="2" s="1"/>
  <c r="AK570" i="2"/>
  <c r="AM570" i="2" s="1"/>
  <c r="AK571" i="2"/>
  <c r="AM571" i="2" s="1"/>
  <c r="AK572" i="2"/>
  <c r="AM572" i="2" s="1"/>
  <c r="AK573" i="2"/>
  <c r="AM573" i="2" s="1"/>
  <c r="AK574" i="2"/>
  <c r="AM574" i="2" s="1"/>
  <c r="AK575" i="2"/>
  <c r="AM575" i="2" s="1"/>
  <c r="AK576" i="2"/>
  <c r="AM576" i="2" s="1"/>
  <c r="AK577" i="2"/>
  <c r="AM577" i="2" s="1"/>
  <c r="AK578" i="2"/>
  <c r="AM578" i="2" s="1"/>
  <c r="AK579" i="2"/>
  <c r="AM579" i="2" s="1"/>
  <c r="AK580" i="2"/>
  <c r="AM580" i="2" s="1"/>
  <c r="AK581" i="2"/>
  <c r="AM581" i="2" s="1"/>
  <c r="AK582" i="2"/>
  <c r="AM582" i="2" s="1"/>
  <c r="AK583" i="2"/>
  <c r="AM583" i="2" s="1"/>
  <c r="AK584" i="2"/>
  <c r="AM584" i="2" s="1"/>
  <c r="AK585" i="2"/>
  <c r="AM585" i="2" s="1"/>
  <c r="AK586" i="2"/>
  <c r="AM586" i="2" s="1"/>
  <c r="AK587" i="2"/>
  <c r="AM587" i="2" s="1"/>
  <c r="AK588" i="2"/>
  <c r="AM588" i="2" s="1"/>
  <c r="AK589" i="2"/>
  <c r="AM589" i="2" s="1"/>
  <c r="AK590" i="2"/>
  <c r="AM590" i="2" s="1"/>
  <c r="AK591" i="2"/>
  <c r="AM591" i="2" s="1"/>
  <c r="AK592" i="2"/>
  <c r="AM592" i="2" s="1"/>
  <c r="AK593" i="2"/>
  <c r="AM593" i="2" s="1"/>
  <c r="AK594" i="2"/>
  <c r="AM594" i="2" s="1"/>
  <c r="AK595" i="2"/>
  <c r="AM595" i="2" s="1"/>
  <c r="AK596" i="2"/>
  <c r="AM596" i="2" s="1"/>
  <c r="AK597" i="2"/>
  <c r="AM597" i="2" s="1"/>
  <c r="AK598" i="2"/>
  <c r="AM598" i="2" s="1"/>
  <c r="AK599" i="2"/>
  <c r="AM599" i="2" s="1"/>
  <c r="AK600" i="2"/>
  <c r="AM600" i="2" s="1"/>
  <c r="AK601" i="2"/>
  <c r="AM601" i="2" s="1"/>
  <c r="AK602" i="2"/>
  <c r="AM602" i="2" s="1"/>
  <c r="AK603" i="2"/>
  <c r="AM603" i="2" s="1"/>
  <c r="AK604" i="2"/>
  <c r="AM604" i="2" s="1"/>
  <c r="AK605" i="2"/>
  <c r="AM605" i="2" s="1"/>
  <c r="AK606" i="2"/>
  <c r="AM606" i="2" s="1"/>
  <c r="AK607" i="2"/>
  <c r="AM607" i="2" s="1"/>
  <c r="AK608" i="2"/>
  <c r="AM608" i="2" s="1"/>
  <c r="AK609" i="2"/>
  <c r="AM609" i="2" s="1"/>
  <c r="AK610" i="2"/>
  <c r="AM610" i="2" s="1"/>
  <c r="AK611" i="2"/>
  <c r="AM611" i="2" s="1"/>
  <c r="AK612" i="2"/>
  <c r="AM612" i="2" s="1"/>
  <c r="AK613" i="2"/>
  <c r="AM613" i="2" s="1"/>
  <c r="AK614" i="2"/>
  <c r="AM614" i="2" s="1"/>
  <c r="AK615" i="2"/>
  <c r="AM615" i="2" s="1"/>
  <c r="AK616" i="2"/>
  <c r="AM616" i="2" s="1"/>
  <c r="AK617" i="2"/>
  <c r="AM617" i="2" s="1"/>
  <c r="AK618" i="2"/>
  <c r="AM618" i="2" s="1"/>
  <c r="AK619" i="2"/>
  <c r="AM619" i="2" s="1"/>
  <c r="AK620" i="2"/>
  <c r="AM620" i="2" s="1"/>
  <c r="AK621" i="2"/>
  <c r="AM621" i="2" s="1"/>
  <c r="AK622" i="2"/>
  <c r="AM622" i="2" s="1"/>
  <c r="AK623" i="2"/>
  <c r="AM623" i="2" s="1"/>
  <c r="AK624" i="2"/>
  <c r="AM624" i="2" s="1"/>
  <c r="AK625" i="2"/>
  <c r="AM625" i="2" s="1"/>
  <c r="AK626" i="2"/>
  <c r="AM626" i="2" s="1"/>
  <c r="AK627" i="2"/>
  <c r="AM627" i="2" s="1"/>
  <c r="AK628" i="2"/>
  <c r="AM628" i="2" s="1"/>
  <c r="AK629" i="2"/>
  <c r="AM629" i="2" s="1"/>
  <c r="AK630" i="2"/>
  <c r="AM630" i="2" s="1"/>
  <c r="AK631" i="2"/>
  <c r="AM631" i="2" s="1"/>
  <c r="AK632" i="2"/>
  <c r="AM632" i="2" s="1"/>
  <c r="AK633" i="2"/>
  <c r="AM633" i="2" s="1"/>
  <c r="AK634" i="2"/>
  <c r="AM634" i="2" s="1"/>
  <c r="AK635" i="2"/>
  <c r="AM635" i="2" s="1"/>
  <c r="AK636" i="2"/>
  <c r="AM636" i="2" s="1"/>
  <c r="AK637" i="2"/>
  <c r="AM637" i="2" s="1"/>
  <c r="AK638" i="2"/>
  <c r="AM638" i="2" s="1"/>
  <c r="AK639" i="2"/>
  <c r="AM639" i="2" s="1"/>
  <c r="AK640" i="2"/>
  <c r="AM640" i="2" s="1"/>
  <c r="AK641" i="2"/>
  <c r="AM641" i="2" s="1"/>
  <c r="AK642" i="2"/>
  <c r="AM642" i="2" s="1"/>
  <c r="AK643" i="2"/>
  <c r="AM643" i="2" s="1"/>
  <c r="AK644" i="2"/>
  <c r="AM644" i="2" s="1"/>
  <c r="AK645" i="2"/>
  <c r="AM645" i="2" s="1"/>
  <c r="AK646" i="2"/>
  <c r="AM646" i="2" s="1"/>
  <c r="AK647" i="2"/>
  <c r="AM647" i="2" s="1"/>
  <c r="AK648" i="2"/>
  <c r="AM648" i="2" s="1"/>
  <c r="AK649" i="2"/>
  <c r="AM649" i="2" s="1"/>
  <c r="AK650" i="2"/>
  <c r="AM650" i="2" s="1"/>
  <c r="AK651" i="2"/>
  <c r="AM651" i="2" s="1"/>
  <c r="AK652" i="2"/>
  <c r="AM652" i="2" s="1"/>
  <c r="AK653" i="2"/>
  <c r="AM653" i="2" s="1"/>
  <c r="AK654" i="2"/>
  <c r="AM654" i="2" s="1"/>
  <c r="AK655" i="2"/>
  <c r="AM655" i="2" s="1"/>
  <c r="AK656" i="2"/>
  <c r="AM656" i="2" s="1"/>
  <c r="AK657" i="2"/>
  <c r="AM657" i="2" s="1"/>
  <c r="AK658" i="2"/>
  <c r="AM658" i="2" s="1"/>
  <c r="AK659" i="2"/>
  <c r="AM659" i="2" s="1"/>
  <c r="AK660" i="2"/>
  <c r="AM660" i="2" s="1"/>
  <c r="AK661" i="2"/>
  <c r="AM661" i="2" s="1"/>
  <c r="AK662" i="2"/>
  <c r="AM662" i="2" s="1"/>
  <c r="AK663" i="2"/>
  <c r="AM663" i="2" s="1"/>
  <c r="AK664" i="2"/>
  <c r="AM664" i="2" s="1"/>
  <c r="AK665" i="2"/>
  <c r="AM665" i="2" s="1"/>
  <c r="AK666" i="2"/>
  <c r="AM666" i="2" s="1"/>
  <c r="AK667" i="2"/>
  <c r="AM667" i="2" s="1"/>
  <c r="AK668" i="2"/>
  <c r="AM668" i="2" s="1"/>
  <c r="AK669" i="2"/>
  <c r="AM669" i="2" s="1"/>
  <c r="AK670" i="2"/>
  <c r="AM670" i="2" s="1"/>
  <c r="AK671" i="2"/>
  <c r="AM671" i="2" s="1"/>
  <c r="AK672" i="2"/>
  <c r="AM672" i="2" s="1"/>
  <c r="AK673" i="2"/>
  <c r="AM673" i="2" s="1"/>
  <c r="AK674" i="2"/>
  <c r="AM674" i="2" s="1"/>
  <c r="AK675" i="2"/>
  <c r="AM675" i="2" s="1"/>
  <c r="AK676" i="2"/>
  <c r="AM676" i="2" s="1"/>
  <c r="AK677" i="2"/>
  <c r="AM677" i="2" s="1"/>
  <c r="AK678" i="2"/>
  <c r="AM678" i="2" s="1"/>
  <c r="AK679" i="2"/>
  <c r="AM679" i="2" s="1"/>
  <c r="AK680" i="2"/>
  <c r="AM680" i="2" s="1"/>
  <c r="AK681" i="2"/>
  <c r="AM681" i="2" s="1"/>
  <c r="AK682" i="2"/>
  <c r="AM682" i="2" s="1"/>
  <c r="AK683" i="2"/>
  <c r="AM683" i="2" s="1"/>
  <c r="AK684" i="2"/>
  <c r="AM684" i="2" s="1"/>
  <c r="AK685" i="2"/>
  <c r="AM685" i="2" s="1"/>
  <c r="AK686" i="2"/>
  <c r="AM686" i="2" s="1"/>
  <c r="AK687" i="2"/>
  <c r="AM687" i="2" s="1"/>
  <c r="AK688" i="2"/>
  <c r="AM688" i="2" s="1"/>
  <c r="AK689" i="2"/>
  <c r="AM689" i="2" s="1"/>
  <c r="AK690" i="2"/>
  <c r="AM690" i="2" s="1"/>
  <c r="AK691" i="2"/>
  <c r="AM691" i="2" s="1"/>
  <c r="AK692" i="2"/>
  <c r="AM692" i="2" s="1"/>
  <c r="AK693" i="2"/>
  <c r="AM693" i="2" s="1"/>
  <c r="AK694" i="2"/>
  <c r="AM694" i="2" s="1"/>
  <c r="AK695" i="2"/>
  <c r="AM695" i="2" s="1"/>
  <c r="AK696" i="2"/>
  <c r="AM696" i="2" s="1"/>
  <c r="AK697" i="2"/>
  <c r="AM697" i="2" s="1"/>
  <c r="AK698" i="2"/>
  <c r="AM698" i="2" s="1"/>
  <c r="AK699" i="2"/>
  <c r="AM699" i="2" s="1"/>
  <c r="AK700" i="2"/>
  <c r="AM700" i="2" s="1"/>
  <c r="AK701" i="2"/>
  <c r="AM701" i="2" s="1"/>
  <c r="AK702" i="2"/>
  <c r="AM702" i="2" s="1"/>
  <c r="AK703" i="2"/>
  <c r="AM703" i="2" s="1"/>
  <c r="AK704" i="2"/>
  <c r="AM704" i="2" s="1"/>
  <c r="AK705" i="2"/>
  <c r="AM705" i="2" s="1"/>
  <c r="AK706" i="2"/>
  <c r="AM706" i="2" s="1"/>
  <c r="AK707" i="2"/>
  <c r="AM707" i="2" s="1"/>
  <c r="AK708" i="2"/>
  <c r="AM708" i="2" s="1"/>
  <c r="AK709" i="2"/>
  <c r="AM709" i="2" s="1"/>
  <c r="AK710" i="2"/>
  <c r="AM710" i="2" s="1"/>
  <c r="AK711" i="2"/>
  <c r="AM711" i="2" s="1"/>
  <c r="AK712" i="2"/>
  <c r="AM712" i="2" s="1"/>
  <c r="AK713" i="2"/>
  <c r="AM713" i="2" s="1"/>
  <c r="AK714" i="2"/>
  <c r="AM714" i="2" s="1"/>
  <c r="AK715" i="2"/>
  <c r="AM715" i="2" s="1"/>
  <c r="AK716" i="2"/>
  <c r="AM716" i="2" s="1"/>
  <c r="AK717" i="2"/>
  <c r="AM717" i="2" s="1"/>
  <c r="AK718" i="2"/>
  <c r="AM718" i="2" s="1"/>
  <c r="AK719" i="2"/>
  <c r="AM719" i="2" s="1"/>
  <c r="AK720" i="2"/>
  <c r="AM720" i="2" s="1"/>
  <c r="AK721" i="2"/>
  <c r="AM721" i="2" s="1"/>
  <c r="AK722" i="2"/>
  <c r="AM722" i="2" s="1"/>
  <c r="AK723" i="2"/>
  <c r="AM723" i="2" s="1"/>
  <c r="AK724" i="2"/>
  <c r="AM724" i="2" s="1"/>
  <c r="AK725" i="2"/>
  <c r="AM725" i="2" s="1"/>
  <c r="AK726" i="2"/>
  <c r="AM726" i="2" s="1"/>
  <c r="AK727" i="2"/>
  <c r="AM727" i="2" s="1"/>
  <c r="AK728" i="2"/>
  <c r="AM728" i="2" s="1"/>
  <c r="AK729" i="2"/>
  <c r="AM729" i="2" s="1"/>
  <c r="AK730" i="2"/>
  <c r="AM730" i="2" s="1"/>
  <c r="AK731" i="2"/>
  <c r="AM731" i="2" s="1"/>
  <c r="AK732" i="2"/>
  <c r="AM732" i="2" s="1"/>
  <c r="AK733" i="2"/>
  <c r="AM733" i="2" s="1"/>
  <c r="AK734" i="2"/>
  <c r="AM734" i="2" s="1"/>
  <c r="AK735" i="2"/>
  <c r="AM735" i="2" s="1"/>
  <c r="AK736" i="2"/>
  <c r="AM736" i="2" s="1"/>
  <c r="AK737" i="2"/>
  <c r="AM737" i="2" s="1"/>
  <c r="AK738" i="2"/>
  <c r="AM738" i="2" s="1"/>
  <c r="AK739" i="2"/>
  <c r="AM739" i="2" s="1"/>
  <c r="AK740" i="2"/>
  <c r="AM740" i="2" s="1"/>
  <c r="AK741" i="2"/>
  <c r="AM741" i="2" s="1"/>
  <c r="AK742" i="2"/>
  <c r="AM742" i="2" s="1"/>
  <c r="AK743" i="2"/>
  <c r="AM743" i="2" s="1"/>
  <c r="AK744" i="2"/>
  <c r="AM744" i="2" s="1"/>
  <c r="AK745" i="2"/>
  <c r="AM745" i="2" s="1"/>
  <c r="AK746" i="2"/>
  <c r="AM746" i="2" s="1"/>
  <c r="AK747" i="2"/>
  <c r="AM747" i="2" s="1"/>
  <c r="AK748" i="2"/>
  <c r="AM748" i="2" s="1"/>
  <c r="AK749" i="2"/>
  <c r="AM749" i="2" s="1"/>
  <c r="AK750" i="2"/>
  <c r="AM750" i="2" s="1"/>
  <c r="AK751" i="2"/>
  <c r="AM751" i="2" s="1"/>
  <c r="AK752" i="2"/>
  <c r="AM752" i="2" s="1"/>
  <c r="AK753" i="2"/>
  <c r="AM753" i="2" s="1"/>
  <c r="AK754" i="2"/>
  <c r="AM754" i="2" s="1"/>
  <c r="AK755" i="2"/>
  <c r="AM755" i="2" s="1"/>
  <c r="AK756" i="2"/>
  <c r="AM756" i="2" s="1"/>
  <c r="AK757" i="2"/>
  <c r="AM757" i="2" s="1"/>
  <c r="AK758" i="2"/>
  <c r="AM758" i="2" s="1"/>
  <c r="AK759" i="2"/>
  <c r="AM759" i="2" s="1"/>
  <c r="AK760" i="2"/>
  <c r="AM760" i="2" s="1"/>
  <c r="AK761" i="2"/>
  <c r="AM761" i="2" s="1"/>
  <c r="AK762" i="2"/>
  <c r="AM762" i="2" s="1"/>
  <c r="AK763" i="2"/>
  <c r="AM763" i="2" s="1"/>
  <c r="AK764" i="2"/>
  <c r="AM764" i="2" s="1"/>
  <c r="AK765" i="2"/>
  <c r="AM765" i="2" s="1"/>
  <c r="AK766" i="2"/>
  <c r="AM766" i="2" s="1"/>
  <c r="AK767" i="2"/>
  <c r="AM767" i="2" s="1"/>
  <c r="AK768" i="2"/>
  <c r="AM768" i="2" s="1"/>
  <c r="AK769" i="2"/>
  <c r="AM769" i="2" s="1"/>
  <c r="AK770" i="2"/>
  <c r="AM770" i="2" s="1"/>
  <c r="AK771" i="2"/>
  <c r="AM771" i="2" s="1"/>
  <c r="AK772" i="2"/>
  <c r="AM772" i="2" s="1"/>
  <c r="AK773" i="2"/>
  <c r="AM773" i="2" s="1"/>
  <c r="AK774" i="2"/>
  <c r="AM774" i="2" s="1"/>
  <c r="AK775" i="2"/>
  <c r="AM775" i="2" s="1"/>
  <c r="AK776" i="2"/>
  <c r="AM776" i="2" s="1"/>
  <c r="AK777" i="2"/>
  <c r="AM777" i="2" s="1"/>
  <c r="AK778" i="2"/>
  <c r="AM778" i="2" s="1"/>
  <c r="AK779" i="2"/>
  <c r="AM779" i="2" s="1"/>
  <c r="AK780" i="2"/>
  <c r="AM780" i="2" s="1"/>
  <c r="AK781" i="2"/>
  <c r="AM781" i="2" s="1"/>
  <c r="AK782" i="2"/>
  <c r="AM782" i="2" s="1"/>
  <c r="AK783" i="2"/>
  <c r="AM783" i="2" s="1"/>
  <c r="AK784" i="2"/>
  <c r="AM784" i="2" s="1"/>
  <c r="AK785" i="2"/>
  <c r="AM785" i="2" s="1"/>
  <c r="AK786" i="2"/>
  <c r="AM786" i="2" s="1"/>
  <c r="AK787" i="2"/>
  <c r="AM787" i="2" s="1"/>
  <c r="AK788" i="2"/>
  <c r="AM788" i="2" s="1"/>
  <c r="AK789" i="2"/>
  <c r="AM789" i="2" s="1"/>
  <c r="AK790" i="2"/>
  <c r="AM790" i="2" s="1"/>
  <c r="AK791" i="2"/>
  <c r="AM791" i="2" s="1"/>
  <c r="AK792" i="2"/>
  <c r="AM792" i="2" s="1"/>
  <c r="AK793" i="2"/>
  <c r="AM793" i="2" s="1"/>
  <c r="AK794" i="2"/>
  <c r="AM794" i="2" s="1"/>
  <c r="AK795" i="2"/>
  <c r="AM795" i="2" s="1"/>
  <c r="AK796" i="2"/>
  <c r="AM796" i="2" s="1"/>
  <c r="AK797" i="2"/>
  <c r="AM797" i="2" s="1"/>
  <c r="AK798" i="2"/>
  <c r="AM798" i="2" s="1"/>
  <c r="AK799" i="2"/>
  <c r="AM799" i="2" s="1"/>
  <c r="AK800" i="2"/>
  <c r="AM800" i="2" s="1"/>
  <c r="AK801" i="2"/>
  <c r="AM801" i="2" s="1"/>
  <c r="AK802" i="2"/>
  <c r="AM802" i="2" s="1"/>
  <c r="AK803" i="2"/>
  <c r="AM803" i="2" s="1"/>
  <c r="AK804" i="2"/>
  <c r="AM804" i="2" s="1"/>
  <c r="AK805" i="2"/>
  <c r="AM805" i="2" s="1"/>
  <c r="AK806" i="2"/>
  <c r="AM806" i="2" s="1"/>
  <c r="AK807" i="2"/>
  <c r="AM807" i="2" s="1"/>
  <c r="AK808" i="2"/>
  <c r="AM808" i="2" s="1"/>
  <c r="AK809" i="2"/>
  <c r="AM809" i="2" s="1"/>
  <c r="AK810" i="2"/>
  <c r="AM810" i="2" s="1"/>
  <c r="AK811" i="2"/>
  <c r="AM811" i="2" s="1"/>
  <c r="AK812" i="2"/>
  <c r="AM812" i="2" s="1"/>
  <c r="AK813" i="2"/>
  <c r="AM813" i="2" s="1"/>
  <c r="AK814" i="2"/>
  <c r="AM814" i="2" s="1"/>
  <c r="AK815" i="2"/>
  <c r="AM815" i="2" s="1"/>
  <c r="AK816" i="2"/>
  <c r="AM816" i="2" s="1"/>
  <c r="AK817" i="2"/>
  <c r="AM817" i="2" s="1"/>
  <c r="AK818" i="2"/>
  <c r="AM818" i="2" s="1"/>
  <c r="AK819" i="2"/>
  <c r="AM819" i="2" s="1"/>
  <c r="AK820" i="2"/>
  <c r="AM820" i="2" s="1"/>
  <c r="AK821" i="2"/>
  <c r="AM821" i="2" s="1"/>
  <c r="AK822" i="2"/>
  <c r="AM822" i="2" s="1"/>
  <c r="AK823" i="2"/>
  <c r="AM823" i="2" s="1"/>
  <c r="AK824" i="2"/>
  <c r="AM824" i="2" s="1"/>
  <c r="AK825" i="2"/>
  <c r="AM825" i="2" s="1"/>
  <c r="AK826" i="2"/>
  <c r="AM826" i="2" s="1"/>
  <c r="AK827" i="2"/>
  <c r="AM827" i="2" s="1"/>
  <c r="AK828" i="2"/>
  <c r="AM828" i="2" s="1"/>
  <c r="AK829" i="2"/>
  <c r="AM829" i="2" s="1"/>
  <c r="AK830" i="2"/>
  <c r="AM830" i="2" s="1"/>
  <c r="AK831" i="2"/>
  <c r="AM831" i="2" s="1"/>
  <c r="AK832" i="2"/>
  <c r="AM832" i="2" s="1"/>
  <c r="AK833" i="2"/>
  <c r="AM833" i="2" s="1"/>
  <c r="AK834" i="2"/>
  <c r="AM834" i="2" s="1"/>
  <c r="AK835" i="2"/>
  <c r="AM835" i="2" s="1"/>
  <c r="AK836" i="2"/>
  <c r="AM836" i="2" s="1"/>
  <c r="AK837" i="2"/>
  <c r="AM837" i="2" s="1"/>
  <c r="AK838" i="2"/>
  <c r="AM838" i="2" s="1"/>
  <c r="AK839" i="2"/>
  <c r="AM839" i="2" s="1"/>
  <c r="AK840" i="2"/>
  <c r="AM840" i="2" s="1"/>
  <c r="AK841" i="2"/>
  <c r="AM841" i="2" s="1"/>
  <c r="AK842" i="2"/>
  <c r="AM842" i="2" s="1"/>
  <c r="AK843" i="2"/>
  <c r="AM843" i="2" s="1"/>
  <c r="AK844" i="2"/>
  <c r="AM844" i="2" s="1"/>
  <c r="AK845" i="2"/>
  <c r="AM845" i="2" s="1"/>
  <c r="AK846" i="2"/>
  <c r="AM846" i="2" s="1"/>
  <c r="AK847" i="2"/>
  <c r="AM847" i="2" s="1"/>
  <c r="AK848" i="2"/>
  <c r="AM848" i="2" s="1"/>
  <c r="AK849" i="2"/>
  <c r="AM849" i="2" s="1"/>
  <c r="AK850" i="2"/>
  <c r="AM850" i="2" s="1"/>
  <c r="AK851" i="2"/>
  <c r="AM851" i="2" s="1"/>
  <c r="AK852" i="2"/>
  <c r="AM852" i="2" s="1"/>
  <c r="AK853" i="2"/>
  <c r="AM853" i="2" s="1"/>
  <c r="AK854" i="2"/>
  <c r="AM854" i="2" s="1"/>
  <c r="AK855" i="2"/>
  <c r="AM855" i="2" s="1"/>
  <c r="AK856" i="2"/>
  <c r="AM856" i="2" s="1"/>
  <c r="AK857" i="2"/>
  <c r="AM857" i="2" s="1"/>
  <c r="AK858" i="2"/>
  <c r="AM858" i="2" s="1"/>
  <c r="AK859" i="2"/>
  <c r="AM859" i="2" s="1"/>
  <c r="AK860" i="2"/>
  <c r="AM860" i="2" s="1"/>
  <c r="AK861" i="2"/>
  <c r="AM861" i="2" s="1"/>
  <c r="AK862" i="2"/>
  <c r="AM862" i="2" s="1"/>
  <c r="AK863" i="2"/>
  <c r="AM863" i="2" s="1"/>
  <c r="AK864" i="2"/>
  <c r="AM864" i="2" s="1"/>
  <c r="AK865" i="2"/>
  <c r="AM865" i="2" s="1"/>
  <c r="AK866" i="2"/>
  <c r="AM866" i="2" s="1"/>
  <c r="AK867" i="2"/>
  <c r="AM867" i="2" s="1"/>
  <c r="AK868" i="2"/>
  <c r="AM868" i="2" s="1"/>
  <c r="AK869" i="2"/>
  <c r="AM869" i="2" s="1"/>
  <c r="AK870" i="2"/>
  <c r="AM870" i="2" s="1"/>
  <c r="AK871" i="2"/>
  <c r="AM871" i="2" s="1"/>
  <c r="AK872" i="2"/>
  <c r="AM872" i="2" s="1"/>
  <c r="AK873" i="2"/>
  <c r="AM873" i="2" s="1"/>
  <c r="AK874" i="2"/>
  <c r="AM874" i="2" s="1"/>
  <c r="AK875" i="2"/>
  <c r="AM875" i="2" s="1"/>
  <c r="AK876" i="2"/>
  <c r="AM876" i="2" s="1"/>
  <c r="AK877" i="2"/>
  <c r="AM877" i="2" s="1"/>
  <c r="AK878" i="2"/>
  <c r="AM878" i="2" s="1"/>
  <c r="AK879" i="2"/>
  <c r="AM879" i="2" s="1"/>
  <c r="AK880" i="2"/>
  <c r="AM880" i="2" s="1"/>
  <c r="AK881" i="2"/>
  <c r="AM881" i="2" s="1"/>
  <c r="AK882" i="2"/>
  <c r="AM882" i="2" s="1"/>
  <c r="AK883" i="2"/>
  <c r="AM883" i="2" s="1"/>
  <c r="AK884" i="2"/>
  <c r="AM884" i="2" s="1"/>
  <c r="AK885" i="2"/>
  <c r="AM885" i="2" s="1"/>
  <c r="AK886" i="2"/>
  <c r="AM886" i="2" s="1"/>
  <c r="AK887" i="2"/>
  <c r="AM887" i="2" s="1"/>
  <c r="AK888" i="2"/>
  <c r="AM888" i="2" s="1"/>
  <c r="AK889" i="2"/>
  <c r="AM889" i="2" s="1"/>
  <c r="AK890" i="2"/>
  <c r="AM890" i="2" s="1"/>
  <c r="AK891" i="2"/>
  <c r="AM891" i="2" s="1"/>
  <c r="AK892" i="2"/>
  <c r="AM892" i="2" s="1"/>
  <c r="AK893" i="2"/>
  <c r="AM893" i="2" s="1"/>
  <c r="AK894" i="2"/>
  <c r="AM894" i="2" s="1"/>
  <c r="AK895" i="2"/>
  <c r="AM895" i="2" s="1"/>
  <c r="AK896" i="2"/>
  <c r="AM896" i="2" s="1"/>
  <c r="AK897" i="2"/>
  <c r="AM897" i="2" s="1"/>
  <c r="AK898" i="2"/>
  <c r="AM898" i="2" s="1"/>
  <c r="AK899" i="2"/>
  <c r="AM899" i="2" s="1"/>
  <c r="AK900" i="2"/>
  <c r="AM900" i="2" s="1"/>
  <c r="AK901" i="2"/>
  <c r="AM901" i="2" s="1"/>
  <c r="AK902" i="2"/>
  <c r="AM902" i="2" s="1"/>
  <c r="AK903" i="2"/>
  <c r="AM903" i="2" s="1"/>
  <c r="AK904" i="2"/>
  <c r="AM904" i="2" s="1"/>
  <c r="AK905" i="2"/>
  <c r="AM905" i="2" s="1"/>
  <c r="AK906" i="2"/>
  <c r="AM906" i="2" s="1"/>
  <c r="AK907" i="2"/>
  <c r="AM907" i="2" s="1"/>
  <c r="AK908" i="2"/>
  <c r="AM908" i="2" s="1"/>
  <c r="AK909" i="2"/>
  <c r="AM909" i="2" s="1"/>
  <c r="AK910" i="2"/>
  <c r="AM910" i="2" s="1"/>
  <c r="AK911" i="2"/>
  <c r="AM911" i="2" s="1"/>
  <c r="AK912" i="2"/>
  <c r="AM912" i="2" s="1"/>
  <c r="AK913" i="2"/>
  <c r="AM913" i="2" s="1"/>
  <c r="AK914" i="2"/>
  <c r="AM914" i="2" s="1"/>
  <c r="AK915" i="2"/>
  <c r="AM915" i="2" s="1"/>
  <c r="AK916" i="2"/>
  <c r="AM916" i="2" s="1"/>
  <c r="AK917" i="2"/>
  <c r="AM917" i="2" s="1"/>
  <c r="AK918" i="2"/>
  <c r="AM918" i="2" s="1"/>
  <c r="AK919" i="2"/>
  <c r="AM919" i="2" s="1"/>
  <c r="AK920" i="2"/>
  <c r="AM920" i="2" s="1"/>
  <c r="AK921" i="2"/>
  <c r="AM921" i="2" s="1"/>
  <c r="AK922" i="2"/>
  <c r="AM922" i="2" s="1"/>
  <c r="AK923" i="2"/>
  <c r="AM923" i="2" s="1"/>
  <c r="AK924" i="2"/>
  <c r="AM924" i="2" s="1"/>
  <c r="AK925" i="2"/>
  <c r="AM925" i="2" s="1"/>
  <c r="AK926" i="2"/>
  <c r="AM926" i="2" s="1"/>
  <c r="AK927" i="2"/>
  <c r="AM927" i="2" s="1"/>
  <c r="AK928" i="2"/>
  <c r="AM928" i="2" s="1"/>
  <c r="AK929" i="2"/>
  <c r="AM929" i="2" s="1"/>
  <c r="AK930" i="2"/>
  <c r="AM930" i="2" s="1"/>
  <c r="AK931" i="2"/>
  <c r="AM931" i="2" s="1"/>
  <c r="AK932" i="2"/>
  <c r="AM932" i="2" s="1"/>
  <c r="AK933" i="2"/>
  <c r="AM933" i="2" s="1"/>
  <c r="AK934" i="2"/>
  <c r="AM934" i="2" s="1"/>
  <c r="AK935" i="2"/>
  <c r="AM935" i="2" s="1"/>
  <c r="AK936" i="2"/>
  <c r="AM936" i="2" s="1"/>
  <c r="AK937" i="2"/>
  <c r="AM937" i="2" s="1"/>
  <c r="AK938" i="2"/>
  <c r="AM938" i="2" s="1"/>
  <c r="AK939" i="2"/>
  <c r="AM939" i="2" s="1"/>
  <c r="AK940" i="2"/>
  <c r="AM940" i="2" s="1"/>
  <c r="AK941" i="2"/>
  <c r="AM941" i="2" s="1"/>
  <c r="AK942" i="2"/>
  <c r="AM942" i="2" s="1"/>
  <c r="AK943" i="2"/>
  <c r="AM943" i="2" s="1"/>
  <c r="AK944" i="2"/>
  <c r="AM944" i="2" s="1"/>
  <c r="AK945" i="2"/>
  <c r="AM945" i="2" s="1"/>
  <c r="AK946" i="2"/>
  <c r="AM946" i="2" s="1"/>
  <c r="AK947" i="2"/>
  <c r="AM947" i="2" s="1"/>
  <c r="AK948" i="2"/>
  <c r="AM948" i="2" s="1"/>
  <c r="AK949" i="2"/>
  <c r="AM949" i="2" s="1"/>
  <c r="AK950" i="2"/>
  <c r="AM950" i="2" s="1"/>
  <c r="AK951" i="2"/>
  <c r="AM951" i="2" s="1"/>
  <c r="AK952" i="2"/>
  <c r="AM952" i="2" s="1"/>
  <c r="AK953" i="2"/>
  <c r="AM953" i="2" s="1"/>
  <c r="AK954" i="2"/>
  <c r="AM954" i="2" s="1"/>
  <c r="AK955" i="2"/>
  <c r="AM955" i="2" s="1"/>
  <c r="AK956" i="2"/>
  <c r="AM956" i="2" s="1"/>
  <c r="AK957" i="2"/>
  <c r="AM957" i="2" s="1"/>
  <c r="AK958" i="2"/>
  <c r="AM958" i="2" s="1"/>
  <c r="AK959" i="2"/>
  <c r="AM959" i="2" s="1"/>
  <c r="AK960" i="2"/>
  <c r="AM960" i="2" s="1"/>
  <c r="AK961" i="2"/>
  <c r="AM961" i="2" s="1"/>
  <c r="AK962" i="2"/>
  <c r="AM962" i="2" s="1"/>
  <c r="AK963" i="2"/>
  <c r="AM963" i="2" s="1"/>
  <c r="AK964" i="2"/>
  <c r="AM964" i="2" s="1"/>
  <c r="AK965" i="2"/>
  <c r="AM965" i="2" s="1"/>
  <c r="AK966" i="2"/>
  <c r="AM966" i="2" s="1"/>
  <c r="AK967" i="2"/>
  <c r="AM967" i="2" s="1"/>
  <c r="AK968" i="2"/>
  <c r="AM968" i="2" s="1"/>
  <c r="AK969" i="2"/>
  <c r="AM969" i="2" s="1"/>
  <c r="AK970" i="2"/>
  <c r="AM970" i="2" s="1"/>
  <c r="AK971" i="2"/>
  <c r="AM971" i="2" s="1"/>
  <c r="AK972" i="2"/>
  <c r="AM972" i="2" s="1"/>
  <c r="AK973" i="2"/>
  <c r="AM973" i="2" s="1"/>
  <c r="AK974" i="2"/>
  <c r="AM974" i="2" s="1"/>
  <c r="AK975" i="2"/>
  <c r="AM975" i="2" s="1"/>
  <c r="AK976" i="2"/>
  <c r="AM976" i="2" s="1"/>
  <c r="AK977" i="2"/>
  <c r="AM977" i="2" s="1"/>
  <c r="AK978" i="2"/>
  <c r="AM978" i="2" s="1"/>
  <c r="AK979" i="2"/>
  <c r="AM979" i="2" s="1"/>
  <c r="AK980" i="2"/>
  <c r="AM980" i="2" s="1"/>
  <c r="AK981" i="2"/>
  <c r="AM981" i="2" s="1"/>
  <c r="AK982" i="2"/>
  <c r="AM982" i="2" s="1"/>
  <c r="AK983" i="2"/>
  <c r="AM983" i="2" s="1"/>
  <c r="AK984" i="2"/>
  <c r="AM984" i="2" s="1"/>
  <c r="AK985" i="2"/>
  <c r="AM985" i="2" s="1"/>
  <c r="AK986" i="2"/>
  <c r="AM986" i="2" s="1"/>
  <c r="AK987" i="2"/>
  <c r="AM987" i="2" s="1"/>
  <c r="AK988" i="2"/>
  <c r="AM988" i="2" s="1"/>
  <c r="AK989" i="2"/>
  <c r="AM989" i="2" s="1"/>
  <c r="AK990" i="2"/>
  <c r="AM990" i="2" s="1"/>
  <c r="AK991" i="2"/>
  <c r="AM991" i="2" s="1"/>
  <c r="AK992" i="2"/>
  <c r="AM992" i="2" s="1"/>
  <c r="AK993" i="2"/>
  <c r="AM993" i="2" s="1"/>
  <c r="AK994" i="2"/>
  <c r="AM994" i="2" s="1"/>
  <c r="AK995" i="2"/>
  <c r="AM995" i="2" s="1"/>
  <c r="AK996" i="2"/>
  <c r="AM996" i="2" s="1"/>
  <c r="AK997" i="2"/>
  <c r="AM997" i="2" s="1"/>
  <c r="AK998" i="2"/>
  <c r="AM998" i="2" s="1"/>
  <c r="AK999" i="2"/>
  <c r="AM999" i="2" s="1"/>
  <c r="AK1000" i="2"/>
  <c r="AM1000" i="2" s="1"/>
  <c r="AK1001" i="2"/>
  <c r="AM1001" i="2" s="1"/>
  <c r="AK1002" i="2"/>
  <c r="AM1002" i="2" s="1"/>
  <c r="AK1003" i="2"/>
  <c r="AM1003" i="2" s="1"/>
  <c r="AK1004" i="2"/>
  <c r="AM1004" i="2" s="1"/>
  <c r="AK1005" i="2"/>
  <c r="AM1005" i="2" s="1"/>
  <c r="AK1006" i="2"/>
  <c r="AM1006" i="2" s="1"/>
  <c r="AK1007" i="2"/>
  <c r="AM1007" i="2" s="1"/>
  <c r="AK1008" i="2"/>
  <c r="AM1008" i="2" s="1"/>
  <c r="AK1009" i="2"/>
  <c r="AM1009" i="2" s="1"/>
  <c r="AK1010" i="2"/>
  <c r="AM1010" i="2" s="1"/>
  <c r="AK1011" i="2"/>
  <c r="AM1011" i="2" s="1"/>
  <c r="AK1012" i="2"/>
  <c r="AM1012" i="2" s="1"/>
  <c r="AK1013" i="2"/>
  <c r="AM1013" i="2" s="1"/>
  <c r="AK1014" i="2"/>
  <c r="AM1014" i="2" s="1"/>
  <c r="AK1015" i="2"/>
  <c r="AM1015" i="2" s="1"/>
  <c r="AK1016" i="2"/>
  <c r="AM1016" i="2" s="1"/>
  <c r="AK1017" i="2"/>
  <c r="AM1017" i="2" s="1"/>
  <c r="AK1018" i="2"/>
  <c r="AM1018" i="2" s="1"/>
  <c r="AK1019" i="2"/>
  <c r="AM1019" i="2" s="1"/>
  <c r="AK1020" i="2"/>
  <c r="AM1020" i="2" s="1"/>
  <c r="AK1021" i="2"/>
  <c r="AM1021" i="2" s="1"/>
  <c r="AK1022" i="2"/>
  <c r="AM1022" i="2" s="1"/>
  <c r="AK1023" i="2"/>
  <c r="AM1023" i="2" s="1"/>
  <c r="AK1024" i="2"/>
  <c r="AM1024" i="2" s="1"/>
  <c r="AK1025" i="2"/>
  <c r="AM1025" i="2" s="1"/>
  <c r="AK1026" i="2"/>
  <c r="AM1026" i="2" s="1"/>
  <c r="AK1027" i="2"/>
  <c r="AM1027" i="2" s="1"/>
  <c r="AK1028" i="2"/>
  <c r="AM1028" i="2" s="1"/>
  <c r="AK1029" i="2"/>
  <c r="AM1029" i="2" s="1"/>
  <c r="AK1030" i="2"/>
  <c r="AM1030" i="2" s="1"/>
  <c r="AK1031" i="2"/>
  <c r="AM1031" i="2" s="1"/>
  <c r="AK1032" i="2"/>
  <c r="AM1032" i="2" s="1"/>
  <c r="AK1033" i="2"/>
  <c r="AM1033" i="2" s="1"/>
  <c r="AK1034" i="2"/>
  <c r="AM103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104D2-8BEA-4BCE-BA56-30941CFD02E3}" keepAlive="1" name="Query - intersection ss Lden - surface" description="Connection to the 'intersection ss Lden - surface' query in the workbook." type="5" refreshedVersion="8" background="1" saveData="1">
    <dbPr connection="Provider=Microsoft.Mashup.OleDb.1;Data Source=$Workbook$;Location=&quot;intersection ss Lden - surface&quot;;Extended Properties=&quot;&quot;" command="SELECT * FROM [intersection ss Lden - surface]"/>
  </connection>
  <connection id="2" xr16:uid="{0341EB3B-AFF9-4D06-8ABD-B85F4E58FF0B}" keepAlive="1" name="Query - intersection ss Lnight - surface" description="Connection to the 'intersection ss Lnight - surface' query in the workbook." type="5" refreshedVersion="8" background="1" saveData="1">
    <dbPr connection="Provider=Microsoft.Mashup.OleDb.1;Data Source=$Workbook$;Location=&quot;intersection ss Lnight - surface&quot;;Extended Properties=&quot;&quot;" command="SELECT * FROM [intersection ss Lnight - surface]"/>
  </connection>
</connections>
</file>

<file path=xl/sharedStrings.xml><?xml version="1.0" encoding="utf-8"?>
<sst xmlns="http://schemas.openxmlformats.org/spreadsheetml/2006/main" count="41228" uniqueCount="1466">
  <si>
    <t>fid</t>
  </si>
  <si>
    <t>CS01012022</t>
  </si>
  <si>
    <t>T_SEC_NL</t>
  </si>
  <si>
    <t>T_SEC_FR</t>
  </si>
  <si>
    <t>T_SEC_DE</t>
  </si>
  <si>
    <t>C_NIS7</t>
  </si>
  <si>
    <t>C_NIS6</t>
  </si>
  <si>
    <t>T_NIS6_NL</t>
  </si>
  <si>
    <t>T_NIS6_FR</t>
  </si>
  <si>
    <t>MUN_DISTR</t>
  </si>
  <si>
    <t>CNIS5_2022</t>
  </si>
  <si>
    <t>T_MUN_NL</t>
  </si>
  <si>
    <t>T_MUN_FR</t>
  </si>
  <si>
    <t>T_MUN_DE</t>
  </si>
  <si>
    <t>CNIS_ARRD_</t>
  </si>
  <si>
    <t>T_ARRD_NL</t>
  </si>
  <si>
    <t>T_ARRD_FR</t>
  </si>
  <si>
    <t>T_ARRD_DE</t>
  </si>
  <si>
    <t>CNIS_PROVI</t>
  </si>
  <si>
    <t>T_PROVI_NL</t>
  </si>
  <si>
    <t>T_PROVI_FR</t>
  </si>
  <si>
    <t>T_PROVI_DE</t>
  </si>
  <si>
    <t>CNIS_REGIO</t>
  </si>
  <si>
    <t>T_REGIO_NL</t>
  </si>
  <si>
    <t>T_REGIO_FR</t>
  </si>
  <si>
    <t>T_REGIO_DE</t>
  </si>
  <si>
    <t>C_COUNTRY</t>
  </si>
  <si>
    <t>NUTS1_2021</t>
  </si>
  <si>
    <t>NUTS2_2021</t>
  </si>
  <si>
    <t>NUTS3_2021</t>
  </si>
  <si>
    <t>M_AREA_HA</t>
  </si>
  <si>
    <t>M_PERI_M</t>
  </si>
  <si>
    <t>Shape_Leng</t>
  </si>
  <si>
    <t>Shape_Area</t>
  </si>
  <si>
    <t>dB</t>
  </si>
  <si>
    <t>surf m2 bout ss</t>
  </si>
  <si>
    <t/>
  </si>
  <si>
    <t>BE</t>
  </si>
  <si>
    <t>21001A00-</t>
  </si>
  <si>
    <t>VERZET</t>
  </si>
  <si>
    <t>RESISTANCE</t>
  </si>
  <si>
    <t>21001A0</t>
  </si>
  <si>
    <t>21001A</t>
  </si>
  <si>
    <t>ANDERLECHT-CENTRUM</t>
  </si>
  <si>
    <t>ANDERLECHT-CENTRE</t>
  </si>
  <si>
    <t>Anderlecht</t>
  </si>
  <si>
    <t>Arrondissement Brussel-Hoofdstad</t>
  </si>
  <si>
    <t>Arrondissement de Bruxelles-Capitale</t>
  </si>
  <si>
    <t>Bezirk Brüssel-Hauptstadt</t>
  </si>
  <si>
    <t>Brussels Hoofdstedelijk Gewest</t>
  </si>
  <si>
    <t>Région de Bruxelles-Capitale</t>
  </si>
  <si>
    <t>Region Brüssel-Hauptstadt</t>
  </si>
  <si>
    <t>BE1</t>
  </si>
  <si>
    <t>BE10</t>
  </si>
  <si>
    <t>BE100</t>
  </si>
  <si>
    <t>21001A011</t>
  </si>
  <si>
    <t>KLEINMOLEN</t>
  </si>
  <si>
    <t>21001A02-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</si>
  <si>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</si>
  <si>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</si>
  <si>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</si>
  <si>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</si>
  <si>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</si>
  <si>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</si>
  <si>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</si>
  <si>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</si>
  <si>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</si>
  <si>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</si>
  <si>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</si>
  <si>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</si>
  <si>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</si>
  <si>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</si>
  <si>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</si>
  <si>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</si>
  <si>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</si>
  <si>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</t>
  </si>
  <si>
    <t>21001A112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</si>
  <si>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</si>
  <si>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</si>
  <si>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</si>
  <si>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</si>
  <si>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</si>
  <si>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</si>
  <si>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</si>
  <si>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</si>
  <si>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</si>
  <si>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</si>
  <si>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</si>
  <si>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</si>
  <si>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</si>
  <si>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21001A30-</t>
  </si>
  <si>
    <t>BIZET</t>
  </si>
  <si>
    <t>21001A3</t>
  </si>
  <si>
    <t>21001A31-</t>
  </si>
  <si>
    <t>BERGENSESTEENWEG - SINT-LUKAS</t>
  </si>
  <si>
    <t>CHAUSSEE DE MONS - SAINT-LUC</t>
  </si>
  <si>
    <t>21001A32-</t>
  </si>
  <si>
    <t>DAGERAAD</t>
  </si>
  <si>
    <t>AURORE</t>
  </si>
  <si>
    <t>21001A331</t>
  </si>
  <si>
    <t>WALCOURT</t>
  </si>
  <si>
    <t>21001A712</t>
  </si>
  <si>
    <t>SCHEUT - DE SMET</t>
  </si>
  <si>
    <t>21001A7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</si>
  <si>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</si>
  <si>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</si>
  <si>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</si>
  <si>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</si>
  <si>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</si>
  <si>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</si>
  <si>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</si>
  <si>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</si>
  <si>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</si>
  <si>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</si>
  <si>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21001A81-</t>
  </si>
  <si>
    <t>BROEK</t>
  </si>
  <si>
    <t>BROECK</t>
  </si>
  <si>
    <t>21001A8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</si>
  <si>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</si>
  <si>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</si>
  <si>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</si>
  <si>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</si>
  <si>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</si>
  <si>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</si>
  <si>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</si>
  <si>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</si>
  <si>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</si>
  <si>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</si>
  <si>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</si>
  <si>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</si>
  <si>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</si>
  <si>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</si>
  <si>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</si>
  <si>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</si>
  <si>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</si>
  <si>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</si>
  <si>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</si>
  <si>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</si>
  <si>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</si>
  <si>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</si>
  <si>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</si>
  <si>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</si>
  <si>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</si>
  <si>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21001A982</t>
  </si>
  <si>
    <t>BOSPARK</t>
  </si>
  <si>
    <t>PARC FORESTIER</t>
  </si>
  <si>
    <t>21001B10-</t>
  </si>
  <si>
    <t>DAUW-OOST</t>
  </si>
  <si>
    <t>ROSEE-EST</t>
  </si>
  <si>
    <t>21001B1</t>
  </si>
  <si>
    <t>21001B</t>
  </si>
  <si>
    <t>ANDERLECHT-KANAAL-SPOOR OOST</t>
  </si>
  <si>
    <t>ANDERLECHT-CANAL-CHEM.FER 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</si>
  <si>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</si>
  <si>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</si>
  <si>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</si>
  <si>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</si>
  <si>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</si>
  <si>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</si>
  <si>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</si>
  <si>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</si>
  <si>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</si>
  <si>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</si>
  <si>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</si>
  <si>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</si>
  <si>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</si>
  <si>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</si>
  <si>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</si>
  <si>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</si>
  <si>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</si>
  <si>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</si>
  <si>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</si>
  <si>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</si>
  <si>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</si>
  <si>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</si>
  <si>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</si>
  <si>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</si>
  <si>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</si>
  <si>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21001B31-</t>
  </si>
  <si>
    <t>ALBERT I - FLATGEBOUWEN</t>
  </si>
  <si>
    <t>ALBERT I- IMMEUBLES</t>
  </si>
  <si>
    <t>21001B3</t>
  </si>
  <si>
    <t>21001B321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</si>
  <si>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</si>
  <si>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</si>
  <si>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</si>
  <si>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</si>
  <si>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</si>
  <si>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</si>
  <si>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</si>
  <si>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</si>
  <si>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21001B3MJ</t>
  </si>
  <si>
    <t>KLEIN EILAND- RECHTEROEVER</t>
  </si>
  <si>
    <t>PETITE ILE- RIVE DROITE</t>
  </si>
  <si>
    <t>21001C6PB</t>
  </si>
  <si>
    <t>PLATTELAND</t>
  </si>
  <si>
    <t>ZONE RURALE</t>
  </si>
  <si>
    <t>21001C6</t>
  </si>
  <si>
    <t>21001C</t>
  </si>
  <si>
    <t>ANDERLECHT-RING WEST</t>
  </si>
  <si>
    <t>ANDERLECHT-RING OUEST</t>
  </si>
  <si>
    <t>21001C71-</t>
  </si>
  <si>
    <t>GOEDE LUCHT - TUINWIJK</t>
  </si>
  <si>
    <t>BON AIR - CITE JARDIN</t>
  </si>
  <si>
    <t>21001C7</t>
  </si>
  <si>
    <t>21002A01-</t>
  </si>
  <si>
    <t>SINT-ANNA</t>
  </si>
  <si>
    <t>SAINTE-ANNE</t>
  </si>
  <si>
    <t>21002A0</t>
  </si>
  <si>
    <t>21002A</t>
  </si>
  <si>
    <t>OUDERGEM</t>
  </si>
  <si>
    <t>AUDERGHEM</t>
  </si>
  <si>
    <t>Oudergem</t>
  </si>
  <si>
    <t>Auderghem</t>
  </si>
  <si>
    <t>21002A091</t>
  </si>
  <si>
    <t>DRIEKLEUREN</t>
  </si>
  <si>
    <t>TROIS COULEURS</t>
  </si>
  <si>
    <t>21002A12-</t>
  </si>
  <si>
    <t>SCHALLERLAAN</t>
  </si>
  <si>
    <t>AVENUE SCHALLER</t>
  </si>
  <si>
    <t>21002A1</t>
  </si>
  <si>
    <t>21002A130</t>
  </si>
  <si>
    <t>PRINSENPARK</t>
  </si>
  <si>
    <t>PARC DES PRINCES</t>
  </si>
  <si>
    <t>21002A18-</t>
  </si>
  <si>
    <t>ROOD KLOOSTER</t>
  </si>
  <si>
    <t>ROUGE CLOITRE</t>
  </si>
  <si>
    <t>21002A190</t>
  </si>
  <si>
    <t>ZONIENWOUD</t>
  </si>
  <si>
    <t>FORET DE SOIGNES</t>
  </si>
  <si>
    <t>21002A411</t>
  </si>
  <si>
    <t>PUTDAAL</t>
  </si>
  <si>
    <t>21002A4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</si>
  <si>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</si>
  <si>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</si>
  <si>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</si>
  <si>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</si>
  <si>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</si>
  <si>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</si>
  <si>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21002A482</t>
  </si>
  <si>
    <t>HERTOGINNENDAL</t>
  </si>
  <si>
    <t>VAL DUCHESSE</t>
  </si>
  <si>
    <t>21002A492</t>
  </si>
  <si>
    <t>WOLUWE PARK</t>
  </si>
  <si>
    <t>WOLUWE PARC</t>
  </si>
  <si>
    <t>21003A00-</t>
  </si>
  <si>
    <t>CENTRUM</t>
  </si>
  <si>
    <t>CENTRE</t>
  </si>
  <si>
    <t>21003A0</t>
  </si>
  <si>
    <t>21003A</t>
  </si>
  <si>
    <t>SINT-AGATHA-BERCHEM</t>
  </si>
  <si>
    <t>BERCHEM-SAINTE-AGATHE</t>
  </si>
  <si>
    <t>Sint-Agatha-Berchem</t>
  </si>
  <si>
    <t>Berchem-Sainte-Agathe</t>
  </si>
  <si>
    <t>21003A011</t>
  </si>
  <si>
    <t>MOLENBERG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</si>
  <si>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</si>
  <si>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</si>
  <si>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</si>
  <si>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</si>
  <si>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</si>
  <si>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</si>
  <si>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</si>
  <si>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 DE SMET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</si>
  <si>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</si>
  <si>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</si>
  <si>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</si>
  <si>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</si>
  <si>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</si>
  <si>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</si>
  <si>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</si>
  <si>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</si>
  <si>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</t>
  </si>
  <si>
    <t>21003A11-</t>
  </si>
  <si>
    <t>MODERNE WIJK</t>
  </si>
  <si>
    <t>CITE MODERNE</t>
  </si>
  <si>
    <t>21003A212</t>
  </si>
  <si>
    <t>ZAVELENBERGGAARDE</t>
  </si>
  <si>
    <t>CLOS DU ZAVELENBERG</t>
  </si>
  <si>
    <t>21003A2</t>
  </si>
  <si>
    <t>21003A283</t>
  </si>
  <si>
    <t>ZAVELENBERG</t>
  </si>
  <si>
    <t>21003A2MJ</t>
  </si>
  <si>
    <t>STATION</t>
  </si>
  <si>
    <t>GARE</t>
  </si>
  <si>
    <t>21003A312</t>
  </si>
  <si>
    <t>POTAARDE VLAK</t>
  </si>
  <si>
    <t>POTAARDE  VLAK</t>
  </si>
  <si>
    <t>21003A3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</si>
  <si>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</si>
  <si>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</si>
  <si>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</si>
  <si>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</si>
  <si>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</si>
  <si>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</si>
  <si>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</si>
  <si>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</si>
  <si>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</si>
  <si>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</si>
  <si>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</si>
  <si>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</si>
  <si>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21003A4</t>
  </si>
  <si>
    <t>21004A001</t>
  </si>
  <si>
    <t>GROTE MARKT</t>
  </si>
  <si>
    <t>GRAND-PLACE</t>
  </si>
  <si>
    <t>21004A0</t>
  </si>
  <si>
    <t>21004A</t>
  </si>
  <si>
    <t>BRUSSEL PENTAGOON</t>
  </si>
  <si>
    <t>BRUXELLES PENTAGONE</t>
  </si>
  <si>
    <t>Brussel</t>
  </si>
  <si>
    <t>Bruxelles</t>
  </si>
  <si>
    <t>Brüssel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</si>
  <si>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</si>
  <si>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</si>
  <si>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</si>
  <si>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</si>
  <si>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</si>
  <si>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</si>
  <si>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</si>
  <si>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</si>
  <si>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</si>
  <si>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</si>
  <si>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</si>
  <si>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</si>
  <si>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</si>
  <si>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</si>
  <si>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</si>
  <si>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</si>
  <si>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</si>
  <si>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</si>
  <si>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</t>
  </si>
  <si>
    <t>21004A12-</t>
  </si>
  <si>
    <t>REGENTLAAN</t>
  </si>
  <si>
    <t>REGENT (BOULEVARD DU)</t>
  </si>
  <si>
    <t>21004A14-</t>
  </si>
  <si>
    <t>GROTE ZAVEL</t>
  </si>
  <si>
    <t>GRAND SABLON</t>
  </si>
  <si>
    <t>21004A19-</t>
  </si>
  <si>
    <t>21004A1MJ</t>
  </si>
  <si>
    <t>KOLONIENSTRAAT</t>
  </si>
  <si>
    <t>COLONIES (RUE DES)</t>
  </si>
  <si>
    <t>21004A20-</t>
  </si>
  <si>
    <t>BEURS-NOORDWEST</t>
  </si>
  <si>
    <t>BOURSE-NORD-OUEST</t>
  </si>
  <si>
    <t>21004A2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</si>
  <si>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</si>
  <si>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</si>
  <si>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</si>
  <si>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</si>
  <si>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</si>
  <si>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</si>
  <si>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</si>
  <si>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</si>
  <si>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</si>
  <si>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</si>
  <si>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VARKENSMARKT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</si>
  <si>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</si>
  <si>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</si>
  <si>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</si>
  <si>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</si>
  <si>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</si>
  <si>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</si>
  <si>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</si>
  <si>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</si>
  <si>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</si>
  <si>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</si>
  <si>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</si>
  <si>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</si>
  <si>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</si>
  <si>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</si>
  <si>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</si>
  <si>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</si>
  <si>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</si>
  <si>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</si>
  <si>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</si>
  <si>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</si>
  <si>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</si>
  <si>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</si>
  <si>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</si>
  <si>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</si>
  <si>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</si>
  <si>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</si>
  <si>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</si>
  <si>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</si>
  <si>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</si>
  <si>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</si>
  <si>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</si>
  <si>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</si>
  <si>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</si>
  <si>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</si>
  <si>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</si>
  <si>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</si>
  <si>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</si>
  <si>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</si>
  <si>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</si>
  <si>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</si>
  <si>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</si>
  <si>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</si>
  <si>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</si>
  <si>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21004B2MJ</t>
  </si>
  <si>
    <t>SCHUMAN RONDPLEIN</t>
  </si>
  <si>
    <t>SCHUMAN (ROND-POINT)</t>
  </si>
  <si>
    <t>21004B2</t>
  </si>
  <si>
    <t>21004B</t>
  </si>
  <si>
    <t>BRUSSEL-WETSTRAAT</t>
  </si>
  <si>
    <t>BRUXELLES-RUE DE LA LOI</t>
  </si>
  <si>
    <t>21004B411</t>
  </si>
  <si>
    <t>TWEEKERKENSTRAAT</t>
  </si>
  <si>
    <t>DEUX EGLISES (RUE DES)</t>
  </si>
  <si>
    <t>21004B4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</si>
  <si>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</si>
  <si>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</si>
  <si>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</si>
  <si>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</si>
  <si>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</si>
  <si>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</si>
  <si>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</si>
  <si>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</si>
  <si>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</si>
  <si>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</si>
  <si>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21004B49-</t>
  </si>
  <si>
    <t>JUBELPARK</t>
  </si>
  <si>
    <t>CINQUANTENAIRE (PARC DU)</t>
  </si>
  <si>
    <t>21004D600</t>
  </si>
  <si>
    <t>SINT-ROCHUS VOORPLEIN</t>
  </si>
  <si>
    <t>PARVIS SAINT-ROCH</t>
  </si>
  <si>
    <t>21004D6</t>
  </si>
  <si>
    <t>21004D</t>
  </si>
  <si>
    <t>BRUSSEL-ANTWERPSE STWG</t>
  </si>
  <si>
    <t>BRUXELLES-CHAUSSEE D'ANVERS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</si>
  <si>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</si>
  <si>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</si>
  <si>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</si>
  <si>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</si>
  <si>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</si>
  <si>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</si>
  <si>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21004D631</t>
  </si>
  <si>
    <t>GROENDREEF - VERGOTE DOK</t>
  </si>
  <si>
    <t>ALLEE VERTE - BASSIN VERGOTE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</si>
  <si>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</si>
  <si>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</si>
  <si>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</si>
  <si>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</si>
  <si>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</si>
  <si>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</si>
  <si>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</si>
  <si>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</si>
  <si>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</si>
  <si>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21004D6NJ</t>
  </si>
  <si>
    <t>TURN EN TAXI</t>
  </si>
  <si>
    <t>TOUR ET TAXIS</t>
  </si>
  <si>
    <t>21004E101</t>
  </si>
  <si>
    <t>ONZE-LIEVE-VROUWVOORPLEIN</t>
  </si>
  <si>
    <t>PARVIS NOTRE DAME</t>
  </si>
  <si>
    <t>21004E1</t>
  </si>
  <si>
    <t>21004E</t>
  </si>
  <si>
    <t>BRUSSEL-LAKEN</t>
  </si>
  <si>
    <t>BRUXELLES-LAEKEN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</si>
  <si>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</si>
  <si>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</si>
  <si>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</si>
  <si>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</si>
  <si>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</si>
  <si>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</si>
  <si>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</si>
  <si>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HEILIG-HART</t>
  </si>
  <si>
    <t>SACRE-COEUR</t>
  </si>
  <si>
    <t>21004E14-</t>
  </si>
  <si>
    <t>KADETTENSCHOOL</t>
  </si>
  <si>
    <t>ECOLE DES CADETS</t>
  </si>
  <si>
    <t>21004E180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</si>
  <si>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</si>
  <si>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</si>
  <si>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</si>
  <si>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</si>
  <si>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</si>
  <si>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</si>
  <si>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</si>
  <si>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</si>
  <si>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</si>
  <si>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</si>
  <si>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</si>
  <si>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</si>
  <si>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</si>
  <si>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</si>
  <si>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</si>
  <si>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</si>
  <si>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</si>
  <si>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</si>
  <si>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</si>
  <si>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</si>
  <si>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</si>
  <si>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</si>
  <si>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</si>
  <si>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</si>
  <si>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</si>
  <si>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</si>
  <si>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</si>
  <si>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</si>
  <si>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</si>
  <si>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</si>
  <si>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</si>
  <si>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</si>
  <si>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</si>
  <si>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</si>
  <si>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</si>
  <si>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</si>
  <si>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</si>
  <si>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</si>
  <si>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</si>
  <si>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</si>
  <si>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</si>
  <si>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</si>
  <si>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</si>
  <si>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</si>
  <si>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</si>
  <si>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</si>
  <si>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</si>
  <si>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</si>
  <si>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</si>
  <si>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</si>
  <si>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</si>
  <si>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</si>
  <si>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</si>
  <si>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</si>
  <si>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21004F5</t>
  </si>
  <si>
    <t>21004F</t>
  </si>
  <si>
    <t>BRUSSEL-NEDER-OVERHEEMBEEK</t>
  </si>
  <si>
    <t>BRUXELLES-NEDER-OVERHEEMBEEK</t>
  </si>
  <si>
    <t>21004F522</t>
  </si>
  <si>
    <t>VERSAILLESLAAN</t>
  </si>
  <si>
    <t>AVENUE DE VERSAILLES</t>
  </si>
  <si>
    <t>21004F531</t>
  </si>
  <si>
    <t>BEUKENOOTJESSTRAAT</t>
  </si>
  <si>
    <t>RUE DES FAINES</t>
  </si>
  <si>
    <t>21004F572</t>
  </si>
  <si>
    <t>MARLY-ZUID</t>
  </si>
  <si>
    <t>MARLY-SUD</t>
  </si>
  <si>
    <t>21004F901</t>
  </si>
  <si>
    <t>PETER BENOIT PLEIN</t>
  </si>
  <si>
    <t>PLACE PETER BENOIT</t>
  </si>
  <si>
    <t>21004F9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</si>
  <si>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</si>
  <si>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</si>
  <si>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</si>
  <si>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</si>
  <si>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</si>
  <si>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</si>
  <si>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</si>
  <si>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</si>
  <si>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</si>
  <si>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</si>
  <si>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</si>
  <si>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</si>
  <si>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</si>
  <si>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</si>
  <si>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</si>
  <si>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</si>
  <si>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</si>
  <si>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</si>
  <si>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</si>
  <si>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</si>
  <si>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21004F9MJ</t>
  </si>
  <si>
    <t>NEDER-HEEMBEEK-NOORD</t>
  </si>
  <si>
    <t>NEDER-HEEMBEEK-NORD</t>
  </si>
  <si>
    <t>21004G30-</t>
  </si>
  <si>
    <t>SINT-ELISABETH</t>
  </si>
  <si>
    <t>SAINTE-ELISABETH</t>
  </si>
  <si>
    <t>21004G3</t>
  </si>
  <si>
    <t>21004G</t>
  </si>
  <si>
    <t>BRUSSEL-HAREN</t>
  </si>
  <si>
    <t>BRUXELLES-HAREN</t>
  </si>
  <si>
    <t>21004G310</t>
  </si>
  <si>
    <t>HAREN-ZUIDWEST</t>
  </si>
  <si>
    <t>HAREN-SUD-OUEST</t>
  </si>
  <si>
    <t>21004G321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</si>
  <si>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</si>
  <si>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</si>
  <si>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</si>
  <si>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</si>
  <si>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</si>
  <si>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</si>
  <si>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</si>
  <si>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21004G3NJ</t>
  </si>
  <si>
    <t>HAREN-ZUID</t>
  </si>
  <si>
    <t>HAREN-SUD</t>
  </si>
  <si>
    <t>21005A01-</t>
  </si>
  <si>
    <t>SINT-GERTRUDIS</t>
  </si>
  <si>
    <t>SAINTE-GERTRUDE</t>
  </si>
  <si>
    <t>21005A0</t>
  </si>
  <si>
    <t>21005A</t>
  </si>
  <si>
    <t>ETTERBEEK</t>
  </si>
  <si>
    <t>Etterbeek</t>
  </si>
  <si>
    <t>21005A051</t>
  </si>
  <si>
    <t>RINSDELLE</t>
  </si>
  <si>
    <t>21005A082</t>
  </si>
  <si>
    <t>ST.-MICHIELSWARANDE</t>
  </si>
  <si>
    <t>COURS ST-MICHEL</t>
  </si>
  <si>
    <t>21005A14-</t>
  </si>
  <si>
    <t>LEGERLAAN</t>
  </si>
  <si>
    <t>ARMEE (AVENUE DE L')</t>
  </si>
  <si>
    <t>21005A1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</si>
  <si>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</si>
  <si>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</si>
  <si>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</si>
  <si>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</si>
  <si>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</si>
  <si>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</si>
  <si>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</si>
  <si>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</si>
  <si>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</si>
  <si>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</si>
  <si>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</si>
  <si>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</si>
  <si>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</si>
  <si>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</si>
  <si>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</si>
  <si>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21006A001</t>
  </si>
  <si>
    <t>OUD EVERE</t>
  </si>
  <si>
    <t>VIEIL EVERE</t>
  </si>
  <si>
    <t>21006A0</t>
  </si>
  <si>
    <t>21006A</t>
  </si>
  <si>
    <t>EVERE</t>
  </si>
  <si>
    <t>Evere</t>
  </si>
  <si>
    <t>21006A011</t>
  </si>
  <si>
    <t>21006A02-</t>
  </si>
  <si>
    <t>IEDER ZIJN HUIS - STROOBANTS</t>
  </si>
  <si>
    <t>21006A03-</t>
  </si>
  <si>
    <t>BLOKKEN SINT-VINCENTIUS</t>
  </si>
  <si>
    <t>BLOCS SAINT-VINCENT</t>
  </si>
  <si>
    <t>21006A042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</si>
  <si>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</si>
  <si>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</si>
  <si>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</si>
  <si>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</si>
  <si>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</si>
  <si>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</si>
  <si>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</si>
  <si>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</si>
  <si>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</si>
  <si>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</si>
  <si>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</si>
  <si>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</si>
  <si>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</si>
  <si>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</si>
  <si>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</si>
  <si>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</si>
  <si>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</si>
  <si>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GEMEENTEHUIS</t>
  </si>
  <si>
    <t>MAISON COMMUNALE</t>
  </si>
  <si>
    <t>21006A142</t>
  </si>
  <si>
    <t>ED. DEKNOOPSTRAAT</t>
  </si>
  <si>
    <t>ED. DEKNOOP (RUE)</t>
  </si>
  <si>
    <t>21006A153</t>
  </si>
  <si>
    <t>KEET</t>
  </si>
  <si>
    <t>21006A171</t>
  </si>
  <si>
    <t>OUDSTRIJDERSLAAN</t>
  </si>
  <si>
    <t>ANCIEN COMBATTANTS (AVENUE)</t>
  </si>
  <si>
    <t>21006A201</t>
  </si>
  <si>
    <t>HOOG-EVERE</t>
  </si>
  <si>
    <t>HAUT-EVERE</t>
  </si>
  <si>
    <t>21006A2</t>
  </si>
  <si>
    <t>21006A21-</t>
  </si>
  <si>
    <t>BRABANTS THUIS</t>
  </si>
  <si>
    <t>HOME FAMILIAL BRABANT</t>
  </si>
  <si>
    <t>21006A22-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</si>
  <si>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</si>
  <si>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</si>
  <si>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</si>
  <si>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</si>
  <si>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</si>
  <si>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</si>
  <si>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</si>
  <si>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</si>
  <si>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21006A272</t>
  </si>
  <si>
    <t>GROSJEANWIJK</t>
  </si>
  <si>
    <t>QUARTIER GROSJEAN</t>
  </si>
  <si>
    <t>21006A312</t>
  </si>
  <si>
    <t>J. BORDET LAAN</t>
  </si>
  <si>
    <t>J. BORDET (AVENUE DE)</t>
  </si>
  <si>
    <t>21006A3</t>
  </si>
  <si>
    <t>21006A323</t>
  </si>
  <si>
    <t>GERMINAL II</t>
  </si>
  <si>
    <t>21006A37-</t>
  </si>
  <si>
    <t>INDUSTRIEZONE</t>
  </si>
  <si>
    <t>ZONE INDUSTRIELLE</t>
  </si>
  <si>
    <t>21006A403</t>
  </si>
  <si>
    <t>CICEROWIJK</t>
  </si>
  <si>
    <t>QUARTIER CICERO</t>
  </si>
  <si>
    <t>21006A4</t>
  </si>
  <si>
    <t>21006A414</t>
  </si>
  <si>
    <t>P. DUPONTSTRAAT</t>
  </si>
  <si>
    <t>P. DUPONT (RUE)</t>
  </si>
  <si>
    <t>21006A474</t>
  </si>
  <si>
    <t>GEMEENSCHAPPEN</t>
  </si>
  <si>
    <t>COMMUNAUTES</t>
  </si>
  <si>
    <t>21006A48-</t>
  </si>
  <si>
    <t>KERKHOF BRUSSEL</t>
  </si>
  <si>
    <t>CIMETIERE BRUXELLES</t>
  </si>
  <si>
    <t>21006A515</t>
  </si>
  <si>
    <t>CARLI</t>
  </si>
  <si>
    <t>21006A5</t>
  </si>
  <si>
    <t>21007A071</t>
  </si>
  <si>
    <t>BOLLINCKX</t>
  </si>
  <si>
    <t>21007A0</t>
  </si>
  <si>
    <t>21007A</t>
  </si>
  <si>
    <t>VORST</t>
  </si>
  <si>
    <t>FOREST</t>
  </si>
  <si>
    <t>Vorst</t>
  </si>
  <si>
    <t>Forest</t>
  </si>
  <si>
    <t>21007A373</t>
  </si>
  <si>
    <t>GERIJSTRAAT</t>
  </si>
  <si>
    <t>CHARROI (RUE DE)</t>
  </si>
  <si>
    <t>21007A3</t>
  </si>
  <si>
    <t>21007A40-</t>
  </si>
  <si>
    <t>LUTTREBRUG</t>
  </si>
  <si>
    <t>PONT DE LUTTRE</t>
  </si>
  <si>
    <t>21007A4</t>
  </si>
  <si>
    <t>21007A41-</t>
  </si>
  <si>
    <t>LUTTREBRUG-WEST</t>
  </si>
  <si>
    <t>PONT DE LUTTRE-OUEST</t>
  </si>
  <si>
    <t>21007A50-</t>
  </si>
  <si>
    <t>BERANGER</t>
  </si>
  <si>
    <t>21007A5</t>
  </si>
  <si>
    <t>21007A52-</t>
  </si>
  <si>
    <t>VAN VOLXEM - KLEIN INDUSTRIE</t>
  </si>
  <si>
    <t>VAN VOLXEM - PETITE INDUSTRIE</t>
  </si>
  <si>
    <t>21007A53-</t>
  </si>
  <si>
    <t>WIELEMANS CEUPPENS</t>
  </si>
  <si>
    <t>21007A60-</t>
  </si>
  <si>
    <t>SINT-ANTONIUS</t>
  </si>
  <si>
    <t>SAINT-ANTOINE</t>
  </si>
  <si>
    <t>21007A6</t>
  </si>
  <si>
    <t>21007A61-</t>
  </si>
  <si>
    <t>MONTENEGROSTRAAT</t>
  </si>
  <si>
    <t>MONTENEGRO (RUE)</t>
  </si>
  <si>
    <t>21008A00-</t>
  </si>
  <si>
    <t>21008A0</t>
  </si>
  <si>
    <t>21008A</t>
  </si>
  <si>
    <t>GANSHOREN</t>
  </si>
  <si>
    <t>Ganshoren</t>
  </si>
  <si>
    <t>21008A01-</t>
  </si>
  <si>
    <t>VAN PAGE-ZUID</t>
  </si>
  <si>
    <t>VAN PAGE-SUD</t>
  </si>
  <si>
    <t>21008A02-</t>
  </si>
  <si>
    <t>SIPPELBERG</t>
  </si>
  <si>
    <t>21008A10-</t>
  </si>
  <si>
    <t>PLATEAU</t>
  </si>
  <si>
    <t>21008A1</t>
  </si>
  <si>
    <t>21008A19-</t>
  </si>
  <si>
    <t>BASILIEK</t>
  </si>
  <si>
    <t>BASILIQUE</t>
  </si>
  <si>
    <t>21008A20-</t>
  </si>
  <si>
    <t>KEIZER-KAREL</t>
  </si>
  <si>
    <t>CHARLES-QUINT</t>
  </si>
  <si>
    <t>21008A2</t>
  </si>
  <si>
    <t>21008A21-</t>
  </si>
  <si>
    <t>MAIL</t>
  </si>
  <si>
    <t>21008A220</t>
  </si>
  <si>
    <t>VILLAS VAN GANSHOREN (WEST)</t>
  </si>
  <si>
    <t>VILLAS DE GANSHOREN (OUEST)</t>
  </si>
  <si>
    <t>21008A23-</t>
  </si>
  <si>
    <t>DE MESMAEKER</t>
  </si>
  <si>
    <t>21008A240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</si>
  <si>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</si>
  <si>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</si>
  <si>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</si>
  <si>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</si>
  <si>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</si>
  <si>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</si>
  <si>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</si>
  <si>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</si>
  <si>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</si>
  <si>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</si>
  <si>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</si>
  <si>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</si>
  <si>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</si>
  <si>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</si>
  <si>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</si>
  <si>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</si>
  <si>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</si>
  <si>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21008A34-</t>
  </si>
  <si>
    <t>ALBERTPARK</t>
  </si>
  <si>
    <t>PARC ALBERT</t>
  </si>
  <si>
    <t>21008A35-</t>
  </si>
  <si>
    <t>KEURE</t>
  </si>
  <si>
    <t>CHARTE</t>
  </si>
  <si>
    <t>21008A38-</t>
  </si>
  <si>
    <t>DE RIVIERENPARK</t>
  </si>
  <si>
    <t>PARC DE RIVIEREN</t>
  </si>
  <si>
    <t>21010A00-</t>
  </si>
  <si>
    <t>21010A0</t>
  </si>
  <si>
    <t>21010A</t>
  </si>
  <si>
    <t>JETTE</t>
  </si>
  <si>
    <t>Jette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</si>
  <si>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</si>
  <si>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</si>
  <si>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</si>
  <si>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</si>
  <si>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</si>
  <si>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</si>
  <si>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</si>
  <si>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</si>
  <si>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</si>
  <si>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</si>
  <si>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</si>
  <si>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</si>
  <si>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</si>
  <si>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</si>
  <si>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</si>
  <si>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</si>
  <si>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21010A10-</t>
  </si>
  <si>
    <t>OUDE AFSPANNING</t>
  </si>
  <si>
    <t>ANCIENNE BARRIERE</t>
  </si>
  <si>
    <t>21010A1</t>
  </si>
  <si>
    <t>21010A111</t>
  </si>
  <si>
    <t>HEYMBOSCH</t>
  </si>
  <si>
    <t>21010A121</t>
  </si>
  <si>
    <t>F. MOHRFELDSTRAAT</t>
  </si>
  <si>
    <t>F. MOHRFELD (RUE DE)</t>
  </si>
  <si>
    <t>21010A13-</t>
  </si>
  <si>
    <t>TUINWIJK</t>
  </si>
  <si>
    <t>CITE-JARDIN</t>
  </si>
  <si>
    <t>21010A141</t>
  </si>
  <si>
    <t>BRUGMANN</t>
  </si>
  <si>
    <t>21010A182</t>
  </si>
  <si>
    <t>DIELEGEMBOS</t>
  </si>
  <si>
    <t>DIELEGEM (BOIS DE)</t>
  </si>
  <si>
    <t>21010A1AJ</t>
  </si>
  <si>
    <t>DIKKE BEUK</t>
  </si>
  <si>
    <t>ARBRE BALLON</t>
  </si>
  <si>
    <t>21010A21-</t>
  </si>
  <si>
    <t>MAGDALENA</t>
  </si>
  <si>
    <t>MADELEINE</t>
  </si>
  <si>
    <t>21010A2</t>
  </si>
  <si>
    <t>21010A312</t>
  </si>
  <si>
    <t>BAECK DUPRE</t>
  </si>
  <si>
    <t>21010A3</t>
  </si>
  <si>
    <t>21010A393</t>
  </si>
  <si>
    <t>HEILIG HART</t>
  </si>
  <si>
    <t>21010A493</t>
  </si>
  <si>
    <t>LAARBEEKBOS</t>
  </si>
  <si>
    <t>LAERBEEK (BOIS DE)</t>
  </si>
  <si>
    <t>21010A4</t>
  </si>
  <si>
    <t>21010A4MJ</t>
  </si>
  <si>
    <t>VUB</t>
  </si>
  <si>
    <t>21011A00-</t>
  </si>
  <si>
    <t>VANHUFFEL</t>
  </si>
  <si>
    <t>21011A0</t>
  </si>
  <si>
    <t>21011A</t>
  </si>
  <si>
    <t>KOEKELBERG</t>
  </si>
  <si>
    <t>Koekelberg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</si>
  <si>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</si>
  <si>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</si>
  <si>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</si>
  <si>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</si>
  <si>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</si>
  <si>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</si>
  <si>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</si>
  <si>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</t>
  </si>
  <si>
    <t>21011A11-</t>
  </si>
  <si>
    <t>LEPREUX</t>
  </si>
  <si>
    <t>21011A12-</t>
  </si>
  <si>
    <t>21011A20-</t>
  </si>
  <si>
    <t>21011A2</t>
  </si>
  <si>
    <t>21011A29-</t>
  </si>
  <si>
    <t>ELISABETHPARK</t>
  </si>
  <si>
    <t>PARC ELISABETH</t>
  </si>
  <si>
    <t>21011A30-</t>
  </si>
  <si>
    <t>BOOGSCHUTTERS - FOUREZ</t>
  </si>
  <si>
    <t>ARCHERS - FOUREZ</t>
  </si>
  <si>
    <t>21011A3</t>
  </si>
  <si>
    <t>21012A00-</t>
  </si>
  <si>
    <t>21012A0</t>
  </si>
  <si>
    <t>21012A</t>
  </si>
  <si>
    <t>SINT-JANS-MOLENBEEK</t>
  </si>
  <si>
    <t>MOLENBEEK-SAINT-JEAN</t>
  </si>
  <si>
    <t>Sint-Jans-Molenbeek</t>
  </si>
  <si>
    <t>Molenbeek-Saint-Jean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</si>
  <si>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</si>
  <si>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</si>
  <si>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</si>
  <si>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</si>
  <si>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</si>
  <si>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</si>
  <si>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</si>
  <si>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</si>
  <si>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</si>
  <si>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</si>
  <si>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</si>
  <si>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</si>
  <si>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SINT-JOZEF</t>
  </si>
  <si>
    <t>SAINT-JOSEPH</t>
  </si>
  <si>
    <t>21012A10-</t>
  </si>
  <si>
    <t>HERTOGIN VAN BRABANT</t>
  </si>
  <si>
    <t>DUCHESSE DE BRABANT</t>
  </si>
  <si>
    <t>21012A1</t>
  </si>
  <si>
    <t>21012A11-</t>
  </si>
  <si>
    <t>INDUSTRIE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</si>
  <si>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</si>
  <si>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</si>
  <si>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</si>
  <si>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</si>
  <si>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</si>
  <si>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</si>
  <si>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</si>
  <si>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</si>
  <si>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</si>
  <si>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</si>
  <si>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</si>
  <si>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</si>
  <si>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</si>
  <si>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</si>
  <si>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</si>
  <si>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</si>
  <si>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</si>
  <si>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</t>
  </si>
  <si>
    <t>21012A21-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</si>
  <si>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</si>
  <si>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</si>
  <si>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</si>
  <si>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</si>
  <si>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</si>
  <si>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</si>
  <si>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</si>
  <si>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</si>
  <si>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</si>
  <si>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</si>
  <si>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</si>
  <si>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</si>
  <si>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</si>
  <si>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</si>
  <si>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</si>
  <si>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</si>
  <si>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</si>
  <si>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</si>
  <si>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SPOORWEG</t>
  </si>
  <si>
    <t>CHEMIN DE FER</t>
  </si>
  <si>
    <t>21012A30-</t>
  </si>
  <si>
    <t>METTEWIE - IDYLLE</t>
  </si>
  <si>
    <t>21012A3</t>
  </si>
  <si>
    <t>21012A39-</t>
  </si>
  <si>
    <t>DE RAEDT</t>
  </si>
  <si>
    <t>21012A41-</t>
  </si>
  <si>
    <t>21012A4</t>
  </si>
  <si>
    <t>21012A50-</t>
  </si>
  <si>
    <t>BENES</t>
  </si>
  <si>
    <t>21012A5</t>
  </si>
  <si>
    <t>21012A511</t>
  </si>
  <si>
    <t>STIJNS</t>
  </si>
  <si>
    <t>STEYNS</t>
  </si>
  <si>
    <t>21012A52-</t>
  </si>
  <si>
    <t>NEEPWIJK</t>
  </si>
  <si>
    <t>NEEP (QUARTIER DU)</t>
  </si>
  <si>
    <t>21012A53-</t>
  </si>
  <si>
    <t>21012A54-</t>
  </si>
  <si>
    <t>DELHAIZE</t>
  </si>
  <si>
    <t>21012A552</t>
  </si>
  <si>
    <t>PFEIFFER</t>
  </si>
  <si>
    <t>21012A59-</t>
  </si>
  <si>
    <t>KARREVELD</t>
  </si>
  <si>
    <t>21012A60-</t>
  </si>
  <si>
    <t>LAKENVELD</t>
  </si>
  <si>
    <t>LAEKENVELD</t>
  </si>
  <si>
    <t>21012A6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</si>
  <si>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</si>
  <si>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</si>
  <si>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</si>
  <si>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</si>
  <si>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</si>
  <si>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</si>
  <si>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</si>
  <si>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</si>
  <si>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</si>
  <si>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</si>
  <si>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</si>
  <si>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</si>
  <si>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</si>
  <si>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</si>
  <si>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</si>
  <si>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</si>
  <si>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</si>
  <si>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</si>
  <si>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</si>
  <si>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</si>
  <si>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</si>
  <si>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</si>
  <si>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</si>
  <si>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</si>
  <si>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</si>
  <si>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</si>
  <si>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</si>
  <si>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</si>
  <si>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</si>
  <si>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</si>
  <si>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</si>
  <si>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</si>
  <si>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21013A201</t>
  </si>
  <si>
    <t>ENGELANDSTRAAT</t>
  </si>
  <si>
    <t>ANGLETERRE (RUE D')</t>
  </si>
  <si>
    <t>21013A2</t>
  </si>
  <si>
    <t>21013A</t>
  </si>
  <si>
    <t>SINT-GILLIS</t>
  </si>
  <si>
    <t>SAINT-GILLES</t>
  </si>
  <si>
    <t>Sint-Gillis</t>
  </si>
  <si>
    <t>Saint-Gilles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</si>
  <si>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</si>
  <si>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</si>
  <si>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</si>
  <si>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</si>
  <si>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</si>
  <si>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</si>
  <si>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</si>
  <si>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</si>
  <si>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</si>
  <si>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</si>
  <si>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</si>
  <si>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</si>
  <si>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</si>
  <si>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</si>
  <si>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</si>
  <si>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</si>
  <si>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</si>
  <si>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21013A612</t>
  </si>
  <si>
    <t>JAMAR</t>
  </si>
  <si>
    <t>21013A6</t>
  </si>
  <si>
    <t>21013A623</t>
  </si>
  <si>
    <t>FRANKRIJKSTRAAT</t>
  </si>
  <si>
    <t>FRANCE (RUE DE)</t>
  </si>
  <si>
    <t>21014A00-</t>
  </si>
  <si>
    <t>SINT-JOOST PLAATS</t>
  </si>
  <si>
    <t>PLACE SAINT-JOSSE</t>
  </si>
  <si>
    <t>21014A0</t>
  </si>
  <si>
    <t>21014A</t>
  </si>
  <si>
    <t>SINT-JOOST-TEN-NODE</t>
  </si>
  <si>
    <t>SAINT-JOSSE-TEN-NOODE</t>
  </si>
  <si>
    <t>Sint-Joost-ten-Node</t>
  </si>
  <si>
    <t>Saint-Josse-ten-Noode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</si>
  <si>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</si>
  <si>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</si>
  <si>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</si>
  <si>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</si>
  <si>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</si>
  <si>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</si>
  <si>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</si>
  <si>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</si>
  <si>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</si>
  <si>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</si>
  <si>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</si>
  <si>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</si>
  <si>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</si>
  <si>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</si>
  <si>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</si>
  <si>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</si>
  <si>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</si>
  <si>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</si>
  <si>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</si>
  <si>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</si>
  <si>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</si>
  <si>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</si>
  <si>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</si>
  <si>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</si>
  <si>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</si>
  <si>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</si>
  <si>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</si>
  <si>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</si>
  <si>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</si>
  <si>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</si>
  <si>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21014A2</t>
  </si>
  <si>
    <t>21014A3MJ</t>
  </si>
  <si>
    <t>MANHATTAN</t>
  </si>
  <si>
    <t>21014A3</t>
  </si>
  <si>
    <t>21014A41-</t>
  </si>
  <si>
    <t>BOSSUET</t>
  </si>
  <si>
    <t>21014A4</t>
  </si>
  <si>
    <t>21015A00-</t>
  </si>
  <si>
    <t>COLIGNONPLEIN</t>
  </si>
  <si>
    <t>COLIGNON (PLACE)</t>
  </si>
  <si>
    <t>21015A0</t>
  </si>
  <si>
    <t>21015A</t>
  </si>
  <si>
    <t>SCHAARBEEK</t>
  </si>
  <si>
    <t>SCHAERBEEK</t>
  </si>
  <si>
    <t>Schaarbeek</t>
  </si>
  <si>
    <t>Schaerbeek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</si>
  <si>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</si>
  <si>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</si>
  <si>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</si>
  <si>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</si>
  <si>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</si>
  <si>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</si>
  <si>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</si>
  <si>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</si>
  <si>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</si>
  <si>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</si>
  <si>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</si>
  <si>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</si>
  <si>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</si>
  <si>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</si>
  <si>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</si>
  <si>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</si>
  <si>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</si>
  <si>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</si>
  <si>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</si>
  <si>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</si>
  <si>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</si>
  <si>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</si>
  <si>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</si>
  <si>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</si>
  <si>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</si>
  <si>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</si>
  <si>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</si>
  <si>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</si>
  <si>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</si>
  <si>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</si>
  <si>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</si>
  <si>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</si>
  <si>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</si>
  <si>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</si>
  <si>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</si>
  <si>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</si>
  <si>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</si>
  <si>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</si>
  <si>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</si>
  <si>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</si>
  <si>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</si>
  <si>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</si>
  <si>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</si>
  <si>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</si>
  <si>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</si>
  <si>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</si>
  <si>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</si>
  <si>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</si>
  <si>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</si>
  <si>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</si>
  <si>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</si>
  <si>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</si>
  <si>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</si>
  <si>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</si>
  <si>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</si>
  <si>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</si>
  <si>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</si>
  <si>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</si>
  <si>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</si>
  <si>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</si>
  <si>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</si>
  <si>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</si>
  <si>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</si>
  <si>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</si>
  <si>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</si>
  <si>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</si>
  <si>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</si>
  <si>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</si>
  <si>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</si>
  <si>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</si>
  <si>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</si>
  <si>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</si>
  <si>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</si>
  <si>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</si>
  <si>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</si>
  <si>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</si>
  <si>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</si>
  <si>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</si>
  <si>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</si>
  <si>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</si>
  <si>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</si>
  <si>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</si>
  <si>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</si>
  <si>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</si>
  <si>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</si>
  <si>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</si>
  <si>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</si>
  <si>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</si>
  <si>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</si>
  <si>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</si>
  <si>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</si>
  <si>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</si>
  <si>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</si>
  <si>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</si>
  <si>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</si>
  <si>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</si>
  <si>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</si>
  <si>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</si>
  <si>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</si>
  <si>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</si>
  <si>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</si>
  <si>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</si>
  <si>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</si>
  <si>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</si>
  <si>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</si>
  <si>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</si>
  <si>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</si>
  <si>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</si>
  <si>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</si>
  <si>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</si>
  <si>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</si>
  <si>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</si>
  <si>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</si>
  <si>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</si>
  <si>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</si>
  <si>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</si>
  <si>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</si>
  <si>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</si>
  <si>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</si>
  <si>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</si>
  <si>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</si>
  <si>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</si>
  <si>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</si>
  <si>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</si>
  <si>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</si>
  <si>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</si>
  <si>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</si>
  <si>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</si>
  <si>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</si>
  <si>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</si>
  <si>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</si>
  <si>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</si>
  <si>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</si>
  <si>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21015A77-</t>
  </si>
  <si>
    <t>B.R.T.</t>
  </si>
  <si>
    <t>R.T.B.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</si>
  <si>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</si>
  <si>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</si>
  <si>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</si>
  <si>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</si>
  <si>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</si>
  <si>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</si>
  <si>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</si>
  <si>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</si>
  <si>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</t>
  </si>
  <si>
    <t>21015A822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</si>
  <si>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</si>
  <si>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</si>
  <si>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</si>
  <si>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</si>
  <si>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</si>
  <si>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</si>
  <si>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</si>
  <si>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</si>
  <si>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21017A09-</t>
  </si>
  <si>
    <t>21017A0</t>
  </si>
  <si>
    <t>21017A</t>
  </si>
  <si>
    <t>WATERMAAL-BOSVOORDE</t>
  </si>
  <si>
    <t>WATERMAEL-BOITSFORT</t>
  </si>
  <si>
    <t>Watermaal-Bosvoorde</t>
  </si>
  <si>
    <t>Watermael-Boitsfort</t>
  </si>
  <si>
    <t>21018A00-</t>
  </si>
  <si>
    <t>TOMBERG</t>
  </si>
  <si>
    <t>21018A0</t>
  </si>
  <si>
    <t>21018A</t>
  </si>
  <si>
    <t>SINT-LAMBRECHTS-WOLUWE</t>
  </si>
  <si>
    <t>WOLUWE-SAINT-LAMBERT</t>
  </si>
  <si>
    <t>Sint-Lambrechts-Woluwe</t>
  </si>
  <si>
    <t>Woluwe-Saint-Lambert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</si>
  <si>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</si>
  <si>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</si>
  <si>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</si>
  <si>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</si>
  <si>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</si>
  <si>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</si>
  <si>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</si>
  <si>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</si>
  <si>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</si>
  <si>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</si>
  <si>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</si>
  <si>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DRIES</t>
  </si>
  <si>
    <t>21018A09-</t>
  </si>
  <si>
    <t>RASANTE</t>
  </si>
  <si>
    <t>21018A12-</t>
  </si>
  <si>
    <t>STOKKELSESTEENWEG</t>
  </si>
  <si>
    <t>STOCKEL (CHAUSSEE DE)</t>
  </si>
  <si>
    <t>21018A1</t>
  </si>
  <si>
    <t>21018A13-</t>
  </si>
  <si>
    <t>GROOTVELD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</si>
  <si>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</si>
  <si>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</si>
  <si>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</si>
  <si>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</si>
  <si>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</si>
  <si>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</si>
  <si>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</si>
  <si>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</si>
  <si>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</si>
  <si>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</si>
  <si>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</si>
  <si>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</si>
  <si>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</si>
  <si>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</si>
  <si>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</si>
  <si>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</si>
  <si>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</si>
  <si>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</si>
  <si>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</si>
  <si>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</si>
  <si>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</si>
  <si>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</si>
  <si>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</si>
  <si>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</si>
  <si>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</si>
  <si>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</si>
  <si>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</si>
  <si>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</si>
  <si>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</si>
  <si>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</si>
  <si>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</si>
  <si>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</si>
  <si>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21018A34-</t>
  </si>
  <si>
    <t>HOF TEN BERG-ZUID</t>
  </si>
  <si>
    <t>HOF TEN BERG-SUD</t>
  </si>
  <si>
    <t>21018A35-</t>
  </si>
  <si>
    <t>HOF TEN BERG-NOORD</t>
  </si>
  <si>
    <t>HOF TEN BERG-NORD</t>
  </si>
  <si>
    <t>21018A37-</t>
  </si>
  <si>
    <t>21018A3MJ</t>
  </si>
  <si>
    <t>GULLEDELLE</t>
  </si>
  <si>
    <t>21018A41-</t>
  </si>
  <si>
    <t>EUROPA</t>
  </si>
  <si>
    <t>EUROPE</t>
  </si>
  <si>
    <t>21018A4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</si>
  <si>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</si>
  <si>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</si>
  <si>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</si>
  <si>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</si>
  <si>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</si>
  <si>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</si>
  <si>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</si>
  <si>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21018A5</t>
  </si>
  <si>
    <t>21018A60-</t>
  </si>
  <si>
    <t>ROODEBEEK PARK</t>
  </si>
  <si>
    <t>ROODEBEEK PARC</t>
  </si>
  <si>
    <t>21018A6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</si>
  <si>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</si>
  <si>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</si>
  <si>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</si>
  <si>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</si>
  <si>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</si>
  <si>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</si>
  <si>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</si>
  <si>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</si>
  <si>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</si>
  <si>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</si>
  <si>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</si>
  <si>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</si>
  <si>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</si>
  <si>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</si>
  <si>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</si>
  <si>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21018A7</t>
  </si>
  <si>
    <t>21018A81-</t>
  </si>
  <si>
    <t>KAPELLEVELD-ZUID</t>
  </si>
  <si>
    <t>KAPELLEVELD-SUD</t>
  </si>
  <si>
    <t>21018A8</t>
  </si>
  <si>
    <t>21018A82-</t>
  </si>
  <si>
    <t>LENNEKE MARE</t>
  </si>
  <si>
    <t>MARIE LA MISERABLE</t>
  </si>
  <si>
    <t>21018A83-</t>
  </si>
  <si>
    <t>KLAKKEDELLE</t>
  </si>
  <si>
    <t>21018A84-</t>
  </si>
  <si>
    <t>KAPELLEVELD-NOORDOOST</t>
  </si>
  <si>
    <t>KAPELLEVELD-NORD-EST</t>
  </si>
  <si>
    <t>21018A87-</t>
  </si>
  <si>
    <t>SINT-LUCAS</t>
  </si>
  <si>
    <t>SAINT-LUC</t>
  </si>
  <si>
    <t>21019A001</t>
  </si>
  <si>
    <t>21019A0</t>
  </si>
  <si>
    <t>21019A</t>
  </si>
  <si>
    <t>SINT-PIETERS-WOLUWE</t>
  </si>
  <si>
    <t>WOLUWE-SAINT-PIERRE</t>
  </si>
  <si>
    <t>Sint-Pieters-Woluwe</t>
  </si>
  <si>
    <t>Woluwe-Saint-Pierre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</si>
  <si>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</si>
  <si>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</si>
  <si>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</si>
  <si>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</si>
  <si>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</si>
  <si>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</si>
  <si>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</si>
  <si>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</si>
  <si>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</si>
  <si>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</si>
  <si>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</si>
  <si>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</si>
  <si>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</si>
  <si>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</si>
  <si>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</si>
  <si>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</si>
  <si>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</si>
  <si>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</si>
  <si>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</si>
  <si>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</si>
  <si>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</t>
  </si>
  <si>
    <t>21019A11-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</si>
  <si>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</si>
  <si>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</si>
  <si>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</si>
  <si>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</si>
  <si>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</si>
  <si>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</si>
  <si>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</si>
  <si>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</si>
  <si>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</si>
  <si>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</si>
  <si>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</si>
  <si>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KAPELLEVELD</t>
  </si>
  <si>
    <t>21019A20-</t>
  </si>
  <si>
    <t>SINT-PAULUS</t>
  </si>
  <si>
    <t>SAINT-PAUL</t>
  </si>
  <si>
    <t>21019A2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</si>
  <si>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</si>
  <si>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</si>
  <si>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</si>
  <si>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</si>
  <si>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</si>
  <si>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</si>
  <si>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</si>
  <si>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</si>
  <si>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</si>
  <si>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</si>
  <si>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</si>
  <si>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</si>
  <si>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</si>
  <si>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</si>
  <si>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</si>
  <si>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</si>
  <si>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</t>
  </si>
  <si>
    <t>21019A31-</t>
  </si>
  <si>
    <t>BEMEL</t>
  </si>
  <si>
    <t>21019A32-</t>
  </si>
  <si>
    <t>VOGELZANG</t>
  </si>
  <si>
    <t>CHANT D'OISEAU</t>
  </si>
  <si>
    <t>21019A34-</t>
  </si>
  <si>
    <t>EUROPAWIJK</t>
  </si>
  <si>
    <t>EUROPE (QUARTIER DE L')</t>
  </si>
  <si>
    <t>21019A35-</t>
  </si>
  <si>
    <t>HORIZONLAAN</t>
  </si>
  <si>
    <t>HORIZON (AVENUE)</t>
  </si>
  <si>
    <t>21019A40-</t>
  </si>
  <si>
    <t>SINT-ALEIDIS</t>
  </si>
  <si>
    <t>SAINTE-ALIX</t>
  </si>
  <si>
    <t>21019A4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</si>
  <si>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</si>
  <si>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</si>
  <si>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</si>
  <si>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</si>
  <si>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</si>
  <si>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</si>
  <si>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</si>
  <si>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</si>
  <si>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</si>
  <si>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</si>
  <si>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</si>
  <si>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</si>
  <si>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</si>
  <si>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</si>
  <si>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</si>
  <si>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</si>
  <si>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</si>
  <si>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</si>
  <si>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</si>
  <si>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</si>
  <si>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</si>
  <si>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</t>
  </si>
  <si>
    <t>21019A52-</t>
  </si>
  <si>
    <t>HERTOGSTRAAT</t>
  </si>
  <si>
    <t>DUC (RUE)</t>
  </si>
  <si>
    <t>Part de la surface du qs dans le noise contour</t>
  </si>
  <si>
    <t>Population totale 2024 ss</t>
  </si>
  <si>
    <t>Population dans le contour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</si>
</sst>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 cent" xfId="1" builtinId="5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61BB0-EB5B-4F94-A7B6-0D8553CEF1A1}" autoFormatId="16" applyNumberFormats="0" applyBorderFormats="0" applyFontFormats="0" applyPatternFormats="0" applyAlignmentFormats="0" applyWidthHeightFormats="0">
  <queryTableRefresh nextId="41" unboundColumnsRight="3">
    <queryTableFields count="39">
      <queryTableField id="1" name="fid" tableColumnId="1"/>
      <queryTableField id="2" name="CS01012022" tableColumnId="2"/>
      <queryTableField id="3" name="T_SEC_NL" tableColumnId="3"/>
      <queryTableField id="4" name="T_SEC_FR" tableColumnId="4"/>
      <queryTableField id="5" name="T_SEC_DE" tableColumnId="5"/>
      <queryTableField id="6" name="C_NIS7" tableColumnId="6"/>
      <queryTableField id="7" name="C_NIS6" tableColumnId="7"/>
      <queryTableField id="8" name="T_NIS6_NL" tableColumnId="8"/>
      <queryTableField id="9" name="T_NIS6_FR" tableColumnId="9"/>
      <queryTableField id="10" name="MUN_DISTR" tableColumnId="10"/>
      <queryTableField id="11" name="CNIS5_2022" tableColumnId="11"/>
      <queryTableField id="12" name="T_MUN_NL" tableColumnId="12"/>
      <queryTableField id="13" name="T_MUN_FR" tableColumnId="13"/>
      <queryTableField id="14" name="T_MUN_DE" tableColumnId="14"/>
      <queryTableField id="15" name="CNIS_ARRD_" tableColumnId="15"/>
      <queryTableField id="16" name="T_ARRD_NL" tableColumnId="16"/>
      <queryTableField id="17" name="T_ARRD_FR" tableColumnId="17"/>
      <queryTableField id="18" name="T_ARRD_DE" tableColumnId="18"/>
      <queryTableField id="19" name="CNIS_PROVI" tableColumnId="19"/>
      <queryTableField id="20" name="T_PROVI_NL" tableColumnId="20"/>
      <queryTableField id="21" name="T_PROVI_FR" tableColumnId="21"/>
      <queryTableField id="22" name="T_PROVI_DE" tableColumnId="22"/>
      <queryTableField id="23" name="CNIS_REGIO" tableColumnId="23"/>
      <queryTableField id="24" name="T_REGIO_NL" tableColumnId="24"/>
      <queryTableField id="25" name="T_REGIO_FR" tableColumnId="25"/>
      <queryTableField id="26" name="T_REGIO_DE" tableColumnId="26"/>
      <queryTableField id="27" name="C_COUNTRY" tableColumnId="27"/>
      <queryTableField id="28" name="NUTS1_2021" tableColumnId="28"/>
      <queryTableField id="29" name="NUTS2_2021" tableColumnId="29"/>
      <queryTableField id="30" name="NUTS3_2021" tableColumnId="30"/>
      <queryTableField id="31" name="M_AREA_HA" tableColumnId="31"/>
      <queryTableField id="32" name="M_PERI_M" tableColumnId="32"/>
      <queryTableField id="33" name="Shape_Leng" tableColumnId="33"/>
      <queryTableField id="34" name="Shape_Area" tableColumnId="34"/>
      <queryTableField id="35" name="dB" tableColumnId="35"/>
      <queryTableField id="36" name="surf m2 bout ss" tableColumnId="36"/>
      <queryTableField id="37" dataBound="0" tableColumnId="37"/>
      <queryTableField id="39" dataBound="0" tableColumnId="39"/>
      <queryTableField id="40" dataBound="0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78590D-7200-4717-A599-5C76E7B430D1}" autoFormatId="16" applyNumberFormats="0" applyBorderFormats="0" applyFontFormats="0" applyPatternFormats="0" applyAlignmentFormats="0" applyWidthHeightFormats="0">
  <queryTableRefresh nextId="40" unboundColumnsRight="3">
    <queryTableFields count="39">
      <queryTableField id="1" name="fid" tableColumnId="1"/>
      <queryTableField id="2" name="CS01012022" tableColumnId="2"/>
      <queryTableField id="3" name="T_SEC_NL" tableColumnId="3"/>
      <queryTableField id="4" name="T_SEC_FR" tableColumnId="4"/>
      <queryTableField id="5" name="T_SEC_DE" tableColumnId="5"/>
      <queryTableField id="6" name="C_NIS7" tableColumnId="6"/>
      <queryTableField id="7" name="C_NIS6" tableColumnId="7"/>
      <queryTableField id="8" name="T_NIS6_NL" tableColumnId="8"/>
      <queryTableField id="9" name="T_NIS6_FR" tableColumnId="9"/>
      <queryTableField id="10" name="MUN_DISTR" tableColumnId="10"/>
      <queryTableField id="11" name="CNIS5_2022" tableColumnId="11"/>
      <queryTableField id="12" name="T_MUN_NL" tableColumnId="12"/>
      <queryTableField id="13" name="T_MUN_FR" tableColumnId="13"/>
      <queryTableField id="14" name="T_MUN_DE" tableColumnId="14"/>
      <queryTableField id="15" name="CNIS_ARRD_" tableColumnId="15"/>
      <queryTableField id="16" name="T_ARRD_NL" tableColumnId="16"/>
      <queryTableField id="17" name="T_ARRD_FR" tableColumnId="17"/>
      <queryTableField id="18" name="T_ARRD_DE" tableColumnId="18"/>
      <queryTableField id="19" name="CNIS_PROVI" tableColumnId="19"/>
      <queryTableField id="20" name="T_PROVI_NL" tableColumnId="20"/>
      <queryTableField id="21" name="T_PROVI_FR" tableColumnId="21"/>
      <queryTableField id="22" name="T_PROVI_DE" tableColumnId="22"/>
      <queryTableField id="23" name="CNIS_REGIO" tableColumnId="23"/>
      <queryTableField id="24" name="T_REGIO_NL" tableColumnId="24"/>
      <queryTableField id="25" name="T_REGIO_FR" tableColumnId="25"/>
      <queryTableField id="26" name="T_REGIO_DE" tableColumnId="26"/>
      <queryTableField id="27" name="C_COUNTRY" tableColumnId="27"/>
      <queryTableField id="28" name="NUTS1_2021" tableColumnId="28"/>
      <queryTableField id="29" name="NUTS2_2021" tableColumnId="29"/>
      <queryTableField id="30" name="NUTS3_2021" tableColumnId="30"/>
      <queryTableField id="31" name="M_AREA_HA" tableColumnId="31"/>
      <queryTableField id="32" name="M_PERI_M" tableColumnId="32"/>
      <queryTableField id="33" name="Shape_Leng" tableColumnId="33"/>
      <queryTableField id="34" name="Shape_Area" tableColumnId="34"/>
      <queryTableField id="35" name="dB" tableColumnId="35"/>
      <queryTableField id="36" name="surf m2 bout ss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2B423-3155-4B87-A4FC-F8018D27A0FC}" name="intersection_ss_Lden___surface" displayName="intersection_ss_Lden___surface" ref="A1:AM1034" tableType="queryTable" totalsRowShown="0">
  <autoFilter ref="A1:AM1034" xr:uid="{C1F2B423-3155-4B87-A4FC-F8018D27A0FC}"/>
  <tableColumns count="39">
    <tableColumn id="1" xr3:uid="{CE54EF37-B470-4B21-B223-9AC3AA5DDF96}" uniqueName="1" name="fid" queryTableFieldId="1"/>
    <tableColumn id="2" xr3:uid="{8AF65091-DBEC-4FB4-A0AA-E8DFEC1E6361}" uniqueName="2" name="CS01012022" queryTableFieldId="2" dataDxfId="53"/>
    <tableColumn id="3" xr3:uid="{DE474095-872E-4A7C-AC6D-B92A38AF996E}" uniqueName="3" name="T_SEC_NL" queryTableFieldId="3" dataDxfId="52"/>
    <tableColumn id="4" xr3:uid="{061CC587-42CC-4CF4-94F1-7606B3211EA9}" uniqueName="4" name="T_SEC_FR" queryTableFieldId="4" dataDxfId="51"/>
    <tableColumn id="5" xr3:uid="{CAD568EF-8D90-4E2F-B2C3-0BAE5FD51EEC}" uniqueName="5" name="T_SEC_DE" queryTableFieldId="5" dataDxfId="50"/>
    <tableColumn id="6" xr3:uid="{C27F77CF-660E-45A9-92AB-FB737F8F8D66}" uniqueName="6" name="C_NIS7" queryTableFieldId="6" dataDxfId="49"/>
    <tableColumn id="7" xr3:uid="{28D19BE5-03FF-4BDF-B75C-AB8E95B96CE0}" uniqueName="7" name="C_NIS6" queryTableFieldId="7" dataDxfId="48"/>
    <tableColumn id="8" xr3:uid="{32DF61D2-8960-45C8-9413-6095080A9541}" uniqueName="8" name="T_NIS6_NL" queryTableFieldId="8" dataDxfId="47"/>
    <tableColumn id="9" xr3:uid="{BA679E95-244F-40E2-AE98-DAE37E59103C}" uniqueName="9" name="T_NIS6_FR" queryTableFieldId="9" dataDxfId="46"/>
    <tableColumn id="10" xr3:uid="{735FB4D7-20E6-453B-A4B7-B56D91F6C439}" uniqueName="10" name="MUN_DISTR" queryTableFieldId="10" dataDxfId="45"/>
    <tableColumn id="11" xr3:uid="{3F4C5D1B-A42E-4A50-89B0-3107E03B7612}" uniqueName="11" name="CNIS5_2022" queryTableFieldId="11"/>
    <tableColumn id="12" xr3:uid="{A6DCBCBF-BF1D-422E-AC6A-93AFBAD387C7}" uniqueName="12" name="T_MUN_NL" queryTableFieldId="12" dataDxfId="44"/>
    <tableColumn id="13" xr3:uid="{4BCAF145-92DE-4CD2-8181-8C02A5933BD4}" uniqueName="13" name="T_MUN_FR" queryTableFieldId="13" dataDxfId="43"/>
    <tableColumn id="14" xr3:uid="{8DF603F0-9616-4DD1-AA06-99D33F54A6C0}" uniqueName="14" name="T_MUN_DE" queryTableFieldId="14" dataDxfId="42"/>
    <tableColumn id="15" xr3:uid="{09BF3731-EA5C-4034-95A4-1CDBE233BBBF}" uniqueName="15" name="CNIS_ARRD_" queryTableFieldId="15"/>
    <tableColumn id="16" xr3:uid="{A008165C-284A-491E-B2EB-C9E4AA2202DA}" uniqueName="16" name="T_ARRD_NL" queryTableFieldId="16" dataDxfId="41"/>
    <tableColumn id="17" xr3:uid="{6E9AE8DB-0350-4415-89FC-B65AB13F1019}" uniqueName="17" name="T_ARRD_FR" queryTableFieldId="17" dataDxfId="40"/>
    <tableColumn id="18" xr3:uid="{8EBD4799-2284-4FB9-BB04-151468CA4674}" uniqueName="18" name="T_ARRD_DE" queryTableFieldId="18" dataDxfId="39"/>
    <tableColumn id="19" xr3:uid="{F8B923FB-0225-47E0-8153-84F278E6C46B}" uniqueName="19" name="CNIS_PROVI" queryTableFieldId="19"/>
    <tableColumn id="20" xr3:uid="{A7D5CEF0-15F4-4A9C-9D50-354BE0F70BCA}" uniqueName="20" name="T_PROVI_NL" queryTableFieldId="20" dataDxfId="38"/>
    <tableColumn id="21" xr3:uid="{6ADCDB24-CF1A-47E3-BA43-50275553950B}" uniqueName="21" name="T_PROVI_FR" queryTableFieldId="21" dataDxfId="37"/>
    <tableColumn id="22" xr3:uid="{50D2E5C9-BB2C-45BD-88F4-0F29779DD853}" uniqueName="22" name="T_PROVI_DE" queryTableFieldId="22" dataDxfId="36"/>
    <tableColumn id="23" xr3:uid="{B811A719-98B5-44C3-AB4D-77BA6E2403F8}" uniqueName="23" name="CNIS_REGIO" queryTableFieldId="23"/>
    <tableColumn id="24" xr3:uid="{E59EC043-AC2B-4C8A-A9EB-EAB5C1ECE7B4}" uniqueName="24" name="T_REGIO_NL" queryTableFieldId="24" dataDxfId="35"/>
    <tableColumn id="25" xr3:uid="{56E6B8B0-FC78-45B3-8A03-9AA58B1F6A9A}" uniqueName="25" name="T_REGIO_FR" queryTableFieldId="25" dataDxfId="34"/>
    <tableColumn id="26" xr3:uid="{0B84A1C8-6AB6-40A3-889D-498C3871DE1A}" uniqueName="26" name="T_REGIO_DE" queryTableFieldId="26" dataDxfId="33"/>
    <tableColumn id="27" xr3:uid="{494E48DA-5CBC-4CAF-8369-F567D57F5D46}" uniqueName="27" name="C_COUNTRY" queryTableFieldId="27" dataDxfId="32"/>
    <tableColumn id="28" xr3:uid="{6849B404-1B1D-4C59-B2BD-DFEC6010D2A3}" uniqueName="28" name="NUTS1_2021" queryTableFieldId="28" dataDxfId="31"/>
    <tableColumn id="29" xr3:uid="{F9B6451D-1EA6-446E-A1C8-577E6E8033A4}" uniqueName="29" name="NUTS2_2021" queryTableFieldId="29" dataDxfId="30"/>
    <tableColumn id="30" xr3:uid="{F0661F5B-EA41-439C-A974-AB06808E67E9}" uniqueName="30" name="NUTS3_2021" queryTableFieldId="30" dataDxfId="29"/>
    <tableColumn id="31" xr3:uid="{17940C02-909D-40A2-A0BE-E8456BF9B517}" uniqueName="31" name="M_AREA_HA" queryTableFieldId="31"/>
    <tableColumn id="32" xr3:uid="{3D5E96E8-0052-413D-A3B0-DBFF00B3E076}" uniqueName="32" name="M_PERI_M" queryTableFieldId="32"/>
    <tableColumn id="33" xr3:uid="{58510EFB-8839-4A95-8E46-C4D4BE22AD5D}" uniqueName="33" name="Shape_Leng" queryTableFieldId="33"/>
    <tableColumn id="34" xr3:uid="{5BA60793-E0C7-4CF2-8BC9-98ED89E3EC6A}" uniqueName="34" name="Shape_Area" queryTableFieldId="34"/>
    <tableColumn id="35" xr3:uid="{5DA94D1B-85DD-4458-8A78-0E263CA099EF}" uniqueName="35" name="dB" queryTableFieldId="35"/>
    <tableColumn id="36" xr3:uid="{B8AD988F-BF81-4600-8781-5598B2227876}" uniqueName="36" name="surf m2 bout ss" queryTableFieldId="36"/>
    <tableColumn id="37" xr3:uid="{E0AAD741-C7C4-4FAF-906E-FF0617CED7DB}" uniqueName="37" name="Part de la surface du qs dans le noise contour" queryTableFieldId="37"/>
    <tableColumn id="39" xr3:uid="{37EFDA28-3293-4DBD-AD0A-2CA3B6036D21}" uniqueName="39" name="Population totale 2024 ss" queryTableFieldId="39" dataDxfId="28"/>
    <tableColumn id="40" xr3:uid="{322F660F-0BC2-4A72-97FD-127E9EE7739D}" uniqueName="40" name="Population dans le contour" queryTableFieldId="40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9CD22-D2B7-4AEB-8A46-1323C5DF1362}" name="intersection_ss_Lnight___surface" displayName="intersection_ss_Lnight___surface" ref="A1:AM614" tableType="queryTable" totalsRowShown="0">
  <autoFilter ref="A1:AM614" xr:uid="{7679CD22-D2B7-4AEB-8A46-1323C5DF1362}"/>
  <tableColumns count="39">
    <tableColumn id="1" xr3:uid="{6D907B07-2070-4207-AE36-5D0F71B81223}" uniqueName="1" name="fid" queryTableFieldId="1"/>
    <tableColumn id="2" xr3:uid="{CA2DF406-F66A-45A6-8323-E8D680967A9A}" uniqueName="2" name="CS01012022" queryTableFieldId="2" dataDxfId="26"/>
    <tableColumn id="3" xr3:uid="{EB427602-6286-4B4B-AA48-D04B55981012}" uniqueName="3" name="T_SEC_NL" queryTableFieldId="3" dataDxfId="25"/>
    <tableColumn id="4" xr3:uid="{00D70D38-DA4C-4C40-84D3-5B0806C28247}" uniqueName="4" name="T_SEC_FR" queryTableFieldId="4" dataDxfId="24"/>
    <tableColumn id="5" xr3:uid="{D1D03D3D-D0DC-40E7-96E8-181DD35FC69E}" uniqueName="5" name="T_SEC_DE" queryTableFieldId="5" dataDxfId="23"/>
    <tableColumn id="6" xr3:uid="{7E5CD3D0-FFAB-418D-93B0-CEF348E83C85}" uniqueName="6" name="C_NIS7" queryTableFieldId="6" dataDxfId="22"/>
    <tableColumn id="7" xr3:uid="{EFFC1CC9-CAA2-4F7F-8876-FF36D246D3E5}" uniqueName="7" name="C_NIS6" queryTableFieldId="7" dataDxfId="21"/>
    <tableColumn id="8" xr3:uid="{7684D167-E27D-4528-A1F4-84B56170E863}" uniqueName="8" name="T_NIS6_NL" queryTableFieldId="8" dataDxfId="20"/>
    <tableColumn id="9" xr3:uid="{DED028BC-BB92-414B-A236-BC8E698E20A5}" uniqueName="9" name="T_NIS6_FR" queryTableFieldId="9" dataDxfId="19"/>
    <tableColumn id="10" xr3:uid="{E13DEA55-E9EF-44F7-A6C8-B040F6EB9565}" uniqueName="10" name="MUN_DISTR" queryTableFieldId="10" dataDxfId="18"/>
    <tableColumn id="11" xr3:uid="{43BC3D89-0265-4D15-B932-49B364337648}" uniqueName="11" name="CNIS5_2022" queryTableFieldId="11"/>
    <tableColumn id="12" xr3:uid="{8368D0F3-0031-44DC-B7D7-34187E00388C}" uniqueName="12" name="T_MUN_NL" queryTableFieldId="12" dataDxfId="17"/>
    <tableColumn id="13" xr3:uid="{F1908544-9C44-4943-85A9-8DB415AF2729}" uniqueName="13" name="T_MUN_FR" queryTableFieldId="13" dataDxfId="16"/>
    <tableColumn id="14" xr3:uid="{87D68BCE-CD43-48E1-96EC-F33969E3D598}" uniqueName="14" name="T_MUN_DE" queryTableFieldId="14" dataDxfId="15"/>
    <tableColumn id="15" xr3:uid="{3751D3D9-4C04-4B14-A8DF-F9EDB59D79A5}" uniqueName="15" name="CNIS_ARRD_" queryTableFieldId="15"/>
    <tableColumn id="16" xr3:uid="{6DEDDB39-0E53-410F-9F28-8C2F31EC5D6B}" uniqueName="16" name="T_ARRD_NL" queryTableFieldId="16" dataDxfId="14"/>
    <tableColumn id="17" xr3:uid="{1C015B64-C0D8-46B3-BAE8-59337E9C8A4F}" uniqueName="17" name="T_ARRD_FR" queryTableFieldId="17" dataDxfId="13"/>
    <tableColumn id="18" xr3:uid="{BAE1D201-FED1-4431-8F42-5052E1911A3A}" uniqueName="18" name="T_ARRD_DE" queryTableFieldId="18" dataDxfId="12"/>
    <tableColumn id="19" xr3:uid="{E3AEE3AE-42D0-4CD2-AE63-3A877DF531EC}" uniqueName="19" name="CNIS_PROVI" queryTableFieldId="19"/>
    <tableColumn id="20" xr3:uid="{0A6ABE29-437D-42C5-BBFB-9265B2F1EAD2}" uniqueName="20" name="T_PROVI_NL" queryTableFieldId="20" dataDxfId="11"/>
    <tableColumn id="21" xr3:uid="{7BD518D3-DC8C-462F-8BCF-2886918154BA}" uniqueName="21" name="T_PROVI_FR" queryTableFieldId="21" dataDxfId="10"/>
    <tableColumn id="22" xr3:uid="{ED67B9B0-6D32-4D78-85E1-3E26D8DC7DFE}" uniqueName="22" name="T_PROVI_DE" queryTableFieldId="22" dataDxfId="9"/>
    <tableColumn id="23" xr3:uid="{7848C0A1-B01A-4532-8A89-7537F25B74C5}" uniqueName="23" name="CNIS_REGIO" queryTableFieldId="23"/>
    <tableColumn id="24" xr3:uid="{BC79CB0C-8509-4ABC-BF9B-480A9E3BDB1F}" uniqueName="24" name="T_REGIO_NL" queryTableFieldId="24" dataDxfId="8"/>
    <tableColumn id="25" xr3:uid="{6A00FE11-0D43-46C6-AD2A-B07F53C64054}" uniqueName="25" name="T_REGIO_FR" queryTableFieldId="25" dataDxfId="7"/>
    <tableColumn id="26" xr3:uid="{74DC3804-5355-44E6-9C90-F5283955D5C5}" uniqueName="26" name="T_REGIO_DE" queryTableFieldId="26" dataDxfId="6"/>
    <tableColumn id="27" xr3:uid="{751ECAF0-30DD-43DF-96DE-5214F343880C}" uniqueName="27" name="C_COUNTRY" queryTableFieldId="27" dataDxfId="5"/>
    <tableColumn id="28" xr3:uid="{F57EB75C-BD6F-497B-B4E7-7FE4B1D8845C}" uniqueName="28" name="NUTS1_2021" queryTableFieldId="28" dataDxfId="4"/>
    <tableColumn id="29" xr3:uid="{BD19080D-3E48-44AD-8C90-76F483CE3633}" uniqueName="29" name="NUTS2_2021" queryTableFieldId="29" dataDxfId="3"/>
    <tableColumn id="30" xr3:uid="{DD9B6154-0991-4DBD-9C38-FDA21E0CC0F4}" uniqueName="30" name="NUTS3_2021" queryTableFieldId="30" dataDxfId="2"/>
    <tableColumn id="31" xr3:uid="{3B707A1E-711E-4B98-9653-6AAE6B491CE4}" uniqueName="31" name="M_AREA_HA" queryTableFieldId="31"/>
    <tableColumn id="32" xr3:uid="{9DBAA8EE-DFA8-4FB3-B2BA-A5D6A49224E4}" uniqueName="32" name="M_PERI_M" queryTableFieldId="32"/>
    <tableColumn id="33" xr3:uid="{C558E534-556C-4254-9C7E-7830D9E4E4A4}" uniqueName="33" name="Shape_Leng" queryTableFieldId="33"/>
    <tableColumn id="34" xr3:uid="{ECD1DDF7-2F32-449B-B9CF-5B513C10CB97}" uniqueName="34" name="Shape_Area" queryTableFieldId="34"/>
    <tableColumn id="35" xr3:uid="{0438FE7F-5132-4D4F-8DCA-5AE72891DB07}" uniqueName="35" name="dB" queryTableFieldId="35"/>
    <tableColumn id="36" xr3:uid="{F2A02664-A235-442D-8DF0-94C016C9057F}" uniqueName="36" name="surf m2 bout ss" queryTableFieldId="36"/>
    <tableColumn id="37" xr3:uid="{87053590-794F-408F-B5B9-096053C9FF9D}" uniqueName="37" name="Part de la surface du qs dans le noise contour" queryTableFieldId="37"/>
    <tableColumn id="38" xr3:uid="{3EB9E564-C4BB-4734-92D4-18EE67EB1B8E}" uniqueName="38" name="Population totale 2024 ss" queryTableFieldId="38" dataDxfId="1"/>
    <tableColumn id="39" xr3:uid="{412A3B2E-10E8-48AF-8236-016C306B2AC2}" uniqueName="39" name="Population dans le contour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A4C4-A976-493F-B84A-A0F644ADC38A}">
  <dimension ref="A1:AM10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5" width="56.5546875" bestFit="1" customWidth="1"/>
    <col min="6" max="7" width="9.44140625" bestFit="1" customWidth="1"/>
    <col min="8" max="9" width="46.109375" bestFit="1" customWidth="1"/>
    <col min="10" max="10" width="13.44140625" bestFit="1" customWidth="1"/>
    <col min="11" max="11" width="13.33203125" bestFit="1" customWidth="1"/>
    <col min="12" max="12" width="22.77734375" bestFit="1" customWidth="1"/>
    <col min="13" max="14" width="21.33203125" bestFit="1" customWidth="1"/>
    <col min="15" max="15" width="14.33203125" bestFit="1" customWidth="1"/>
    <col min="16" max="16" width="31.6640625" bestFit="1" customWidth="1"/>
    <col min="17" max="17" width="33.88671875" bestFit="1" customWidth="1"/>
    <col min="18" max="18" width="23.44140625" bestFit="1" customWidth="1"/>
    <col min="19" max="19" width="13.88671875" bestFit="1" customWidth="1"/>
    <col min="20" max="20" width="23.77734375" bestFit="1" customWidth="1"/>
    <col min="21" max="21" width="26.33203125" bestFit="1" customWidth="1"/>
    <col min="22" max="22" width="25.44140625" bestFit="1" customWidth="1"/>
    <col min="23" max="23" width="14.109375" bestFit="1" customWidth="1"/>
    <col min="24" max="24" width="28.21875" bestFit="1" customWidth="1"/>
    <col min="25" max="25" width="25.77734375" bestFit="1" customWidth="1"/>
    <col min="26" max="26" width="24.109375" bestFit="1" customWidth="1"/>
    <col min="27" max="27" width="14.109375" bestFit="1" customWidth="1"/>
    <col min="28" max="30" width="13.5546875" bestFit="1" customWidth="1"/>
    <col min="31" max="31" width="13.44140625" bestFit="1" customWidth="1"/>
    <col min="32" max="32" width="11.88671875" bestFit="1" customWidth="1"/>
    <col min="33" max="33" width="13.5546875" bestFit="1" customWidth="1"/>
    <col min="34" max="34" width="13.33203125" bestFit="1" customWidth="1"/>
    <col min="35" max="35" width="5.44140625" bestFit="1" customWidth="1"/>
    <col min="36" max="36" width="21.664062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1463</v>
      </c>
      <c r="AL1" t="s">
        <v>1464</v>
      </c>
      <c r="AM1" t="s">
        <v>1465</v>
      </c>
    </row>
    <row r="2" spans="1:39" x14ac:dyDescent="0.3">
      <c r="A2">
        <v>32</v>
      </c>
      <c r="B2" t="s">
        <v>38</v>
      </c>
      <c r="C2" t="s">
        <v>39</v>
      </c>
      <c r="D2" t="s">
        <v>40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36</v>
      </c>
      <c r="K2">
        <v>21001</v>
      </c>
      <c r="L2" t="s">
        <v>45</v>
      </c>
      <c r="M2" t="s">
        <v>45</v>
      </c>
      <c r="N2" t="s">
        <v>45</v>
      </c>
      <c r="O2">
        <v>21000</v>
      </c>
      <c r="P2" t="s">
        <v>46</v>
      </c>
      <c r="Q2" t="s">
        <v>47</v>
      </c>
      <c r="R2" t="s">
        <v>48</v>
      </c>
      <c r="T2" t="s">
        <v>36</v>
      </c>
      <c r="U2" t="s">
        <v>36</v>
      </c>
      <c r="V2" t="s">
        <v>36</v>
      </c>
      <c r="W2">
        <v>4000</v>
      </c>
      <c r="X2" t="s">
        <v>49</v>
      </c>
      <c r="Y2" t="s">
        <v>50</v>
      </c>
      <c r="Z2" t="s">
        <v>51</v>
      </c>
      <c r="AA2" t="s">
        <v>37</v>
      </c>
      <c r="AB2" t="s">
        <v>52</v>
      </c>
      <c r="AC2" t="s">
        <v>53</v>
      </c>
      <c r="AD2" t="s">
        <v>54</v>
      </c>
      <c r="AE2">
        <v>12.5144219999</v>
      </c>
      <c r="AF2">
        <v>1730</v>
      </c>
      <c r="AG2">
        <v>1729.76898069</v>
      </c>
      <c r="AH2">
        <v>125146.233674</v>
      </c>
      <c r="AI2">
        <v>45</v>
      </c>
      <c r="AJ2">
        <v>103172.21971114101</v>
      </c>
      <c r="AK2" s="1">
        <f>intersection_ss_Lden___surface[[#This Row],[surf m2 bout ss]]/intersection_ss_Lden___surface[[#This Row],[Shape_Area]]</f>
        <v>0.82441330180099337</v>
      </c>
      <c r="AL2">
        <v>2812</v>
      </c>
      <c r="AM2">
        <f>intersection_ss_Lden___surface[[#This Row],[Population totale 2024 ss]]*intersection_ss_Lden___surface[[#This Row],[Part de la surface du qs dans le noise contour]]</f>
        <v>2318.2502046643936</v>
      </c>
    </row>
    <row r="3" spans="1:39" x14ac:dyDescent="0.3">
      <c r="A3">
        <v>33</v>
      </c>
      <c r="B3" t="s">
        <v>38</v>
      </c>
      <c r="C3" t="s">
        <v>39</v>
      </c>
      <c r="D3" t="s">
        <v>40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36</v>
      </c>
      <c r="K3">
        <v>21001</v>
      </c>
      <c r="L3" t="s">
        <v>45</v>
      </c>
      <c r="M3" t="s">
        <v>45</v>
      </c>
      <c r="N3" t="s">
        <v>45</v>
      </c>
      <c r="O3">
        <v>21000</v>
      </c>
      <c r="P3" t="s">
        <v>46</v>
      </c>
      <c r="Q3" t="s">
        <v>47</v>
      </c>
      <c r="R3" t="s">
        <v>48</v>
      </c>
      <c r="T3" t="s">
        <v>36</v>
      </c>
      <c r="U3" t="s">
        <v>36</v>
      </c>
      <c r="V3" t="s">
        <v>36</v>
      </c>
      <c r="W3">
        <v>4000</v>
      </c>
      <c r="X3" t="s">
        <v>49</v>
      </c>
      <c r="Y3" t="s">
        <v>50</v>
      </c>
      <c r="Z3" t="s">
        <v>51</v>
      </c>
      <c r="AA3" t="s">
        <v>37</v>
      </c>
      <c r="AB3" t="s">
        <v>52</v>
      </c>
      <c r="AC3" t="s">
        <v>53</v>
      </c>
      <c r="AD3" t="s">
        <v>54</v>
      </c>
      <c r="AE3">
        <v>12.5144219999</v>
      </c>
      <c r="AF3">
        <v>1730</v>
      </c>
      <c r="AG3">
        <v>1729.76898069</v>
      </c>
      <c r="AH3">
        <v>125146.233674</v>
      </c>
      <c r="AI3">
        <v>46</v>
      </c>
      <c r="AJ3">
        <v>21986.6125045316</v>
      </c>
      <c r="AK3" s="1">
        <f>intersection_ss_Lden___surface[[#This Row],[surf m2 bout ss]]/intersection_ss_Lden___surface[[#This Row],[Shape_Area]]</f>
        <v>0.17568736876097832</v>
      </c>
      <c r="AL3">
        <v>2812</v>
      </c>
      <c r="AM3">
        <f>intersection_ss_Lden___surface[[#This Row],[Population totale 2024 ss]]*intersection_ss_Lden___surface[[#This Row],[Part de la surface du qs dans le noise contour]]</f>
        <v>494.03288095587101</v>
      </c>
    </row>
    <row r="4" spans="1:39" x14ac:dyDescent="0.3">
      <c r="A4">
        <v>34</v>
      </c>
      <c r="B4" t="s">
        <v>55</v>
      </c>
      <c r="C4" t="s">
        <v>56</v>
      </c>
      <c r="D4" t="s">
        <v>56</v>
      </c>
      <c r="E4" t="s">
        <v>56</v>
      </c>
      <c r="F4" t="s">
        <v>41</v>
      </c>
      <c r="G4" t="s">
        <v>42</v>
      </c>
      <c r="H4" t="s">
        <v>43</v>
      </c>
      <c r="I4" t="s">
        <v>44</v>
      </c>
      <c r="J4" t="s">
        <v>36</v>
      </c>
      <c r="K4">
        <v>21001</v>
      </c>
      <c r="L4" t="s">
        <v>45</v>
      </c>
      <c r="M4" t="s">
        <v>45</v>
      </c>
      <c r="N4" t="s">
        <v>45</v>
      </c>
      <c r="O4">
        <v>21000</v>
      </c>
      <c r="P4" t="s">
        <v>46</v>
      </c>
      <c r="Q4" t="s">
        <v>47</v>
      </c>
      <c r="R4" t="s">
        <v>48</v>
      </c>
      <c r="T4" t="s">
        <v>36</v>
      </c>
      <c r="U4" t="s">
        <v>36</v>
      </c>
      <c r="V4" t="s">
        <v>36</v>
      </c>
      <c r="W4">
        <v>4000</v>
      </c>
      <c r="X4" t="s">
        <v>49</v>
      </c>
      <c r="Y4" t="s">
        <v>50</v>
      </c>
      <c r="Z4" t="s">
        <v>51</v>
      </c>
      <c r="AA4" t="s">
        <v>37</v>
      </c>
      <c r="AB4" t="s">
        <v>52</v>
      </c>
      <c r="AC4" t="s">
        <v>53</v>
      </c>
      <c r="AD4" t="s">
        <v>54</v>
      </c>
      <c r="AE4">
        <v>17.884032618199999</v>
      </c>
      <c r="AF4">
        <v>1952</v>
      </c>
      <c r="AG4">
        <v>1952.44501618</v>
      </c>
      <c r="AH4">
        <v>178843.19167</v>
      </c>
      <c r="AI4">
        <v>46</v>
      </c>
      <c r="AJ4">
        <v>178861.130198306</v>
      </c>
      <c r="AK4" s="1">
        <f>intersection_ss_Lden___surface[[#This Row],[surf m2 bout ss]]/intersection_ss_Lden___surface[[#This Row],[Shape_Area]]</f>
        <v>1.0001003031098836</v>
      </c>
      <c r="AL4">
        <v>3624</v>
      </c>
      <c r="AM4">
        <f>intersection_ss_Lden___surface[[#This Row],[Population totale 2024 ss]]*intersection_ss_Lden___surface[[#This Row],[Part de la surface du qs dans le noise contour]]</f>
        <v>3624.3634984702185</v>
      </c>
    </row>
    <row r="5" spans="1:39" x14ac:dyDescent="0.3">
      <c r="A5">
        <v>35</v>
      </c>
      <c r="B5" t="s">
        <v>57</v>
      </c>
      <c r="C5" t="s">
        <v>58</v>
      </c>
      <c r="D5" t="s">
        <v>58</v>
      </c>
      <c r="E5" t="s">
        <v>58</v>
      </c>
      <c r="F5" t="s">
        <v>41</v>
      </c>
      <c r="G5" t="s">
        <v>42</v>
      </c>
      <c r="H5" t="s">
        <v>43</v>
      </c>
      <c r="I5" t="s">
        <v>44</v>
      </c>
      <c r="J5" t="s">
        <v>36</v>
      </c>
      <c r="K5">
        <v>21001</v>
      </c>
      <c r="L5" t="s">
        <v>45</v>
      </c>
      <c r="M5" t="s">
        <v>45</v>
      </c>
      <c r="N5" t="s">
        <v>45</v>
      </c>
      <c r="O5">
        <v>21000</v>
      </c>
      <c r="P5" t="s">
        <v>46</v>
      </c>
      <c r="Q5" t="s">
        <v>47</v>
      </c>
      <c r="R5" t="s">
        <v>48</v>
      </c>
      <c r="T5" t="s">
        <v>36</v>
      </c>
      <c r="U5" t="s">
        <v>36</v>
      </c>
      <c r="V5" t="s">
        <v>36</v>
      </c>
      <c r="W5">
        <v>4000</v>
      </c>
      <c r="X5" t="s">
        <v>49</v>
      </c>
      <c r="Y5" t="s">
        <v>50</v>
      </c>
      <c r="Z5" t="s">
        <v>51</v>
      </c>
      <c r="AA5" t="s">
        <v>37</v>
      </c>
      <c r="AB5" t="s">
        <v>52</v>
      </c>
      <c r="AC5" t="s">
        <v>53</v>
      </c>
      <c r="AD5" t="s">
        <v>54</v>
      </c>
      <c r="AE5">
        <v>3.8753652753800001</v>
      </c>
      <c r="AF5">
        <v>1680</v>
      </c>
      <c r="AG5">
        <v>1679.53010853</v>
      </c>
      <c r="AH5">
        <v>38754.283454600001</v>
      </c>
      <c r="AI5">
        <v>45</v>
      </c>
      <c r="AJ5">
        <v>24762.820678644701</v>
      </c>
      <c r="AK5" s="1">
        <f>intersection_ss_Lden___surface[[#This Row],[surf m2 bout ss]]/intersection_ss_Lden___surface[[#This Row],[Shape_Area]]</f>
        <v>0.63896990142145016</v>
      </c>
      <c r="AL5">
        <v>1114</v>
      </c>
      <c r="AM5">
        <f>intersection_ss_Lden___surface[[#This Row],[Population totale 2024 ss]]*intersection_ss_Lden___surface[[#This Row],[Part de la surface du qs dans le noise contour]]</f>
        <v>711.81247018349552</v>
      </c>
    </row>
    <row r="6" spans="1:39" x14ac:dyDescent="0.3">
      <c r="A6">
        <v>36</v>
      </c>
      <c r="B6" t="s">
        <v>57</v>
      </c>
      <c r="C6" t="s">
        <v>58</v>
      </c>
      <c r="D6" t="s">
        <v>58</v>
      </c>
      <c r="E6" t="s">
        <v>58</v>
      </c>
      <c r="F6" t="s">
        <v>41</v>
      </c>
      <c r="G6" t="s">
        <v>42</v>
      </c>
      <c r="H6" t="s">
        <v>43</v>
      </c>
      <c r="I6" t="s">
        <v>44</v>
      </c>
      <c r="J6" t="s">
        <v>36</v>
      </c>
      <c r="K6">
        <v>21001</v>
      </c>
      <c r="L6" t="s">
        <v>45</v>
      </c>
      <c r="M6" t="s">
        <v>45</v>
      </c>
      <c r="N6" t="s">
        <v>45</v>
      </c>
      <c r="O6">
        <v>21000</v>
      </c>
      <c r="P6" t="s">
        <v>46</v>
      </c>
      <c r="Q6" t="s">
        <v>47</v>
      </c>
      <c r="R6" t="s">
        <v>48</v>
      </c>
      <c r="T6" t="s">
        <v>36</v>
      </c>
      <c r="U6" t="s">
        <v>36</v>
      </c>
      <c r="V6" t="s">
        <v>36</v>
      </c>
      <c r="W6">
        <v>4000</v>
      </c>
      <c r="X6" t="s">
        <v>49</v>
      </c>
      <c r="Y6" t="s">
        <v>50</v>
      </c>
      <c r="Z6" t="s">
        <v>51</v>
      </c>
      <c r="AA6" t="s">
        <v>37</v>
      </c>
      <c r="AB6" t="s">
        <v>52</v>
      </c>
      <c r="AC6" t="s">
        <v>53</v>
      </c>
      <c r="AD6" t="s">
        <v>54</v>
      </c>
      <c r="AE6">
        <v>3.8753652753800001</v>
      </c>
      <c r="AF6">
        <v>1680</v>
      </c>
      <c r="AG6">
        <v>1679.53010853</v>
      </c>
      <c r="AH6">
        <v>38754.283454600001</v>
      </c>
      <c r="AI6">
        <v>46</v>
      </c>
      <c r="AJ6">
        <v>13995.3731187878</v>
      </c>
      <c r="AK6" s="1">
        <f>intersection_ss_Lden___surface[[#This Row],[surf m2 bout ss]]/intersection_ss_Lden___surface[[#This Row],[Shape_Area]]</f>
        <v>0.36113099949798189</v>
      </c>
      <c r="AL6">
        <v>1114</v>
      </c>
      <c r="AM6">
        <f>intersection_ss_Lden___surface[[#This Row],[Population totale 2024 ss]]*intersection_ss_Lden___surface[[#This Row],[Part de la surface du qs dans le noise contour]]</f>
        <v>402.29993344075183</v>
      </c>
    </row>
    <row r="7" spans="1:39" x14ac:dyDescent="0.3">
      <c r="A7">
        <v>37</v>
      </c>
      <c r="B7" t="s">
        <v>59</v>
      </c>
      <c r="C7" t="s">
        <v>60</v>
      </c>
      <c r="D7" t="s">
        <v>61</v>
      </c>
      <c r="E7" t="s">
        <v>61</v>
      </c>
      <c r="F7" t="s">
        <v>41</v>
      </c>
      <c r="G7" t="s">
        <v>42</v>
      </c>
      <c r="H7" t="s">
        <v>43</v>
      </c>
      <c r="I7" t="s">
        <v>44</v>
      </c>
      <c r="J7" t="s">
        <v>36</v>
      </c>
      <c r="K7">
        <v>21001</v>
      </c>
      <c r="L7" t="s">
        <v>45</v>
      </c>
      <c r="M7" t="s">
        <v>45</v>
      </c>
      <c r="N7" t="s">
        <v>45</v>
      </c>
      <c r="O7">
        <v>21000</v>
      </c>
      <c r="P7" t="s">
        <v>46</v>
      </c>
      <c r="Q7" t="s">
        <v>47</v>
      </c>
      <c r="R7" t="s">
        <v>48</v>
      </c>
      <c r="T7" t="s">
        <v>36</v>
      </c>
      <c r="U7" t="s">
        <v>36</v>
      </c>
      <c r="V7" t="s">
        <v>36</v>
      </c>
      <c r="W7">
        <v>4000</v>
      </c>
      <c r="X7" t="s">
        <v>49</v>
      </c>
      <c r="Y7" t="s">
        <v>50</v>
      </c>
      <c r="Z7" t="s">
        <v>51</v>
      </c>
      <c r="AA7" t="s">
        <v>37</v>
      </c>
      <c r="AB7" t="s">
        <v>52</v>
      </c>
      <c r="AC7" t="s">
        <v>53</v>
      </c>
      <c r="AD7" t="s">
        <v>54</v>
      </c>
      <c r="AE7">
        <v>10.893588622699999</v>
      </c>
      <c r="AF7">
        <v>1539</v>
      </c>
      <c r="AG7">
        <v>1538.79013865</v>
      </c>
      <c r="AH7">
        <v>108937.635756</v>
      </c>
      <c r="AI7">
        <v>45</v>
      </c>
      <c r="AJ7">
        <v>108948.731777608</v>
      </c>
      <c r="AK7" s="1">
        <f>intersection_ss_Lden___surface[[#This Row],[surf m2 bout ss]]/intersection_ss_Lden___surface[[#This Row],[Shape_Area]]</f>
        <v>1.000101856640554</v>
      </c>
      <c r="AL7">
        <v>2017</v>
      </c>
      <c r="AM7">
        <f>intersection_ss_Lden___surface[[#This Row],[Population totale 2024 ss]]*intersection_ss_Lden___surface[[#This Row],[Part de la surface du qs dans le noise contour]]</f>
        <v>2017.2054448439974</v>
      </c>
    </row>
    <row r="8" spans="1:39" x14ac:dyDescent="0.3">
      <c r="A8">
        <v>38</v>
      </c>
      <c r="B8" t="s">
        <v>62</v>
      </c>
      <c r="C8" t="s">
        <v>63</v>
      </c>
      <c r="D8" t="s">
        <v>64</v>
      </c>
      <c r="E8" t="s">
        <v>64</v>
      </c>
      <c r="F8" t="s">
        <v>41</v>
      </c>
      <c r="G8" t="s">
        <v>42</v>
      </c>
      <c r="H8" t="s">
        <v>43</v>
      </c>
      <c r="I8" t="s">
        <v>44</v>
      </c>
      <c r="J8" t="s">
        <v>36</v>
      </c>
      <c r="K8">
        <v>21001</v>
      </c>
      <c r="L8" t="s">
        <v>45</v>
      </c>
      <c r="M8" t="s">
        <v>45</v>
      </c>
      <c r="N8" t="s">
        <v>45</v>
      </c>
      <c r="O8">
        <v>21000</v>
      </c>
      <c r="P8" t="s">
        <v>46</v>
      </c>
      <c r="Q8" t="s">
        <v>47</v>
      </c>
      <c r="R8" t="s">
        <v>48</v>
      </c>
      <c r="T8" t="s">
        <v>36</v>
      </c>
      <c r="U8" t="s">
        <v>36</v>
      </c>
      <c r="V8" t="s">
        <v>36</v>
      </c>
      <c r="W8">
        <v>4000</v>
      </c>
      <c r="X8" t="s">
        <v>49</v>
      </c>
      <c r="Y8" t="s">
        <v>50</v>
      </c>
      <c r="Z8" t="s">
        <v>51</v>
      </c>
      <c r="AA8" t="s">
        <v>37</v>
      </c>
      <c r="AB8" t="s">
        <v>52</v>
      </c>
      <c r="AC8" t="s">
        <v>53</v>
      </c>
      <c r="AD8" t="s">
        <v>54</v>
      </c>
      <c r="AE8">
        <v>15.7461916921</v>
      </c>
      <c r="AF8">
        <v>1693</v>
      </c>
      <c r="AG8">
        <v>1693.17930432</v>
      </c>
      <c r="AH8">
        <v>157464.453224</v>
      </c>
      <c r="AI8">
        <v>45</v>
      </c>
      <c r="AJ8">
        <v>61097.597855063199</v>
      </c>
      <c r="AK8" s="1">
        <f>intersection_ss_Lden___surface[[#This Row],[surf m2 bout ss]]/intersection_ss_Lden___surface[[#This Row],[Shape_Area]]</f>
        <v>0.38800882741547532</v>
      </c>
      <c r="AL8">
        <v>2696</v>
      </c>
      <c r="AM8">
        <f>intersection_ss_Lden___surface[[#This Row],[Population totale 2024 ss]]*intersection_ss_Lden___surface[[#This Row],[Part de la surface du qs dans le noise contour]]</f>
        <v>1046.0717987121216</v>
      </c>
    </row>
    <row r="9" spans="1:39" x14ac:dyDescent="0.3">
      <c r="A9">
        <v>39</v>
      </c>
      <c r="B9" t="s">
        <v>65</v>
      </c>
      <c r="C9" t="s">
        <v>66</v>
      </c>
      <c r="D9" t="s">
        <v>67</v>
      </c>
      <c r="E9" t="s">
        <v>67</v>
      </c>
      <c r="F9" t="s">
        <v>41</v>
      </c>
      <c r="G9" t="s">
        <v>42</v>
      </c>
      <c r="H9" t="s">
        <v>43</v>
      </c>
      <c r="I9" t="s">
        <v>44</v>
      </c>
      <c r="J9" t="s">
        <v>36</v>
      </c>
      <c r="K9">
        <v>21001</v>
      </c>
      <c r="L9" t="s">
        <v>45</v>
      </c>
      <c r="M9" t="s">
        <v>45</v>
      </c>
      <c r="N9" t="s">
        <v>45</v>
      </c>
      <c r="O9">
        <v>21000</v>
      </c>
      <c r="P9" t="s">
        <v>46</v>
      </c>
      <c r="Q9" t="s">
        <v>47</v>
      </c>
      <c r="R9" t="s">
        <v>48</v>
      </c>
      <c r="T9" t="s">
        <v>36</v>
      </c>
      <c r="U9" t="s">
        <v>36</v>
      </c>
      <c r="V9" t="s">
        <v>36</v>
      </c>
      <c r="W9">
        <v>4000</v>
      </c>
      <c r="X9" t="s">
        <v>49</v>
      </c>
      <c r="Y9" t="s">
        <v>50</v>
      </c>
      <c r="Z9" t="s">
        <v>51</v>
      </c>
      <c r="AA9" t="s">
        <v>37</v>
      </c>
      <c r="AB9" t="s">
        <v>52</v>
      </c>
      <c r="AC9" t="s">
        <v>53</v>
      </c>
      <c r="AD9" t="s">
        <v>54</v>
      </c>
      <c r="AE9">
        <v>10.419746094900001</v>
      </c>
      <c r="AF9">
        <v>1361</v>
      </c>
      <c r="AG9">
        <v>1360.58231901</v>
      </c>
      <c r="AH9">
        <v>104199.14127399999</v>
      </c>
      <c r="AI9">
        <v>45</v>
      </c>
      <c r="AJ9">
        <v>95971.6460231331</v>
      </c>
      <c r="AK9" s="1">
        <f>intersection_ss_Lden___surface[[#This Row],[surf m2 bout ss]]/intersection_ss_Lden___surface[[#This Row],[Shape_Area]]</f>
        <v>0.92104066165735443</v>
      </c>
      <c r="AL9">
        <v>1533</v>
      </c>
      <c r="AM9">
        <f>intersection_ss_Lden___surface[[#This Row],[Population totale 2024 ss]]*intersection_ss_Lden___surface[[#This Row],[Part de la surface du qs dans le noise contour]]</f>
        <v>1411.9553343207244</v>
      </c>
    </row>
    <row r="10" spans="1:39" x14ac:dyDescent="0.3">
      <c r="A10">
        <v>40</v>
      </c>
      <c r="B10" t="s">
        <v>68</v>
      </c>
      <c r="C10" t="s">
        <v>69</v>
      </c>
      <c r="D10" t="s">
        <v>69</v>
      </c>
      <c r="E10" t="s">
        <v>69</v>
      </c>
      <c r="F10" t="s">
        <v>41</v>
      </c>
      <c r="G10" t="s">
        <v>42</v>
      </c>
      <c r="H10" t="s">
        <v>43</v>
      </c>
      <c r="I10" t="s">
        <v>44</v>
      </c>
      <c r="J10" t="s">
        <v>36</v>
      </c>
      <c r="K10">
        <v>21001</v>
      </c>
      <c r="L10" t="s">
        <v>45</v>
      </c>
      <c r="M10" t="s">
        <v>45</v>
      </c>
      <c r="N10" t="s">
        <v>45</v>
      </c>
      <c r="O10">
        <v>21000</v>
      </c>
      <c r="P10" t="s">
        <v>46</v>
      </c>
      <c r="Q10" t="s">
        <v>47</v>
      </c>
      <c r="R10" t="s">
        <v>48</v>
      </c>
      <c r="T10" t="s">
        <v>36</v>
      </c>
      <c r="U10" t="s">
        <v>36</v>
      </c>
      <c r="V10" t="s">
        <v>36</v>
      </c>
      <c r="W10">
        <v>4000</v>
      </c>
      <c r="X10" t="s">
        <v>49</v>
      </c>
      <c r="Y10" t="s">
        <v>50</v>
      </c>
      <c r="Z10" t="s">
        <v>51</v>
      </c>
      <c r="AA10" t="s">
        <v>37</v>
      </c>
      <c r="AB10" t="s">
        <v>52</v>
      </c>
      <c r="AC10" t="s">
        <v>53</v>
      </c>
      <c r="AD10" t="s">
        <v>54</v>
      </c>
      <c r="AE10">
        <v>25.355546030399999</v>
      </c>
      <c r="AF10">
        <v>2474</v>
      </c>
      <c r="AG10">
        <v>2473.5846229200001</v>
      </c>
      <c r="AH10">
        <v>253559.54608500001</v>
      </c>
      <c r="AI10">
        <v>46</v>
      </c>
      <c r="AJ10">
        <v>154891.84721945599</v>
      </c>
      <c r="AK10" s="1">
        <f>intersection_ss_Lden___surface[[#This Row],[surf m2 bout ss]]/intersection_ss_Lden___surface[[#This Row],[Shape_Area]]</f>
        <v>0.61086971329224593</v>
      </c>
      <c r="AL10">
        <v>356</v>
      </c>
      <c r="AM10">
        <f>intersection_ss_Lden___surface[[#This Row],[Population totale 2024 ss]]*intersection_ss_Lden___surface[[#This Row],[Part de la surface du qs dans le noise contour]]</f>
        <v>217.46961793203954</v>
      </c>
    </row>
    <row r="11" spans="1:39" x14ac:dyDescent="0.3">
      <c r="A11">
        <v>41</v>
      </c>
      <c r="B11" t="s">
        <v>68</v>
      </c>
      <c r="C11" t="s">
        <v>69</v>
      </c>
      <c r="D11" t="s">
        <v>69</v>
      </c>
      <c r="E11" t="s">
        <v>69</v>
      </c>
      <c r="F11" t="s">
        <v>41</v>
      </c>
      <c r="G11" t="s">
        <v>42</v>
      </c>
      <c r="H11" t="s">
        <v>43</v>
      </c>
      <c r="I11" t="s">
        <v>44</v>
      </c>
      <c r="J11" t="s">
        <v>36</v>
      </c>
      <c r="K11">
        <v>21001</v>
      </c>
      <c r="L11" t="s">
        <v>45</v>
      </c>
      <c r="M11" t="s">
        <v>45</v>
      </c>
      <c r="N11" t="s">
        <v>45</v>
      </c>
      <c r="O11">
        <v>21000</v>
      </c>
      <c r="P11" t="s">
        <v>46</v>
      </c>
      <c r="Q11" t="s">
        <v>47</v>
      </c>
      <c r="R11" t="s">
        <v>48</v>
      </c>
      <c r="T11" t="s">
        <v>36</v>
      </c>
      <c r="U11" t="s">
        <v>36</v>
      </c>
      <c r="V11" t="s">
        <v>36</v>
      </c>
      <c r="W11">
        <v>4000</v>
      </c>
      <c r="X11" t="s">
        <v>49</v>
      </c>
      <c r="Y11" t="s">
        <v>50</v>
      </c>
      <c r="Z11" t="s">
        <v>51</v>
      </c>
      <c r="AA11" t="s">
        <v>37</v>
      </c>
      <c r="AB11" t="s">
        <v>52</v>
      </c>
      <c r="AC11" t="s">
        <v>53</v>
      </c>
      <c r="AD11" t="s">
        <v>54</v>
      </c>
      <c r="AE11">
        <v>25.355546030399999</v>
      </c>
      <c r="AF11">
        <v>2474</v>
      </c>
      <c r="AG11">
        <v>2473.5846229200001</v>
      </c>
      <c r="AH11">
        <v>253559.54608500001</v>
      </c>
      <c r="AI11">
        <v>47</v>
      </c>
      <c r="AJ11">
        <v>98692.884003867905</v>
      </c>
      <c r="AK11" s="1">
        <f>intersection_ss_Lden___surface[[#This Row],[surf m2 bout ss]]/intersection_ss_Lden___surface[[#This Row],[Shape_Area]]</f>
        <v>0.38922961303449954</v>
      </c>
      <c r="AL11">
        <v>356</v>
      </c>
      <c r="AM11">
        <f>intersection_ss_Lden___surface[[#This Row],[Population totale 2024 ss]]*intersection_ss_Lden___surface[[#This Row],[Part de la surface du qs dans le noise contour]]</f>
        <v>138.56574224028185</v>
      </c>
    </row>
    <row r="12" spans="1:39" x14ac:dyDescent="0.3">
      <c r="A12">
        <v>42</v>
      </c>
      <c r="B12" t="s">
        <v>70</v>
      </c>
      <c r="C12" t="s">
        <v>71</v>
      </c>
      <c r="D12" t="s">
        <v>72</v>
      </c>
      <c r="E12" t="s">
        <v>72</v>
      </c>
      <c r="F12" t="s">
        <v>41</v>
      </c>
      <c r="G12" t="s">
        <v>42</v>
      </c>
      <c r="H12" t="s">
        <v>43</v>
      </c>
      <c r="I12" t="s">
        <v>44</v>
      </c>
      <c r="J12" t="s">
        <v>36</v>
      </c>
      <c r="K12">
        <v>21001</v>
      </c>
      <c r="L12" t="s">
        <v>45</v>
      </c>
      <c r="M12" t="s">
        <v>45</v>
      </c>
      <c r="N12" t="s">
        <v>45</v>
      </c>
      <c r="O12">
        <v>21000</v>
      </c>
      <c r="P12" t="s">
        <v>46</v>
      </c>
      <c r="Q12" t="s">
        <v>47</v>
      </c>
      <c r="R12" t="s">
        <v>48</v>
      </c>
      <c r="T12" t="s">
        <v>36</v>
      </c>
      <c r="U12" t="s">
        <v>36</v>
      </c>
      <c r="V12" t="s">
        <v>36</v>
      </c>
      <c r="W12">
        <v>4000</v>
      </c>
      <c r="X12" t="s">
        <v>49</v>
      </c>
      <c r="Y12" t="s">
        <v>50</v>
      </c>
      <c r="Z12" t="s">
        <v>51</v>
      </c>
      <c r="AA12" t="s">
        <v>37</v>
      </c>
      <c r="AB12" t="s">
        <v>52</v>
      </c>
      <c r="AC12" t="s">
        <v>53</v>
      </c>
      <c r="AD12" t="s">
        <v>54</v>
      </c>
      <c r="AE12">
        <v>16.494425832699999</v>
      </c>
      <c r="AF12">
        <v>1545</v>
      </c>
      <c r="AG12">
        <v>1544.8481331099999</v>
      </c>
      <c r="AH12">
        <v>164946.90997899999</v>
      </c>
      <c r="AI12">
        <v>45</v>
      </c>
      <c r="AJ12">
        <v>4675.8242166796699</v>
      </c>
      <c r="AK12" s="1">
        <f>intersection_ss_Lden___surface[[#This Row],[surf m2 bout ss]]/intersection_ss_Lden___surface[[#This Row],[Shape_Area]]</f>
        <v>2.8347449596206237E-2</v>
      </c>
      <c r="AL12">
        <v>4</v>
      </c>
      <c r="AM12">
        <f>intersection_ss_Lden___surface[[#This Row],[Population totale 2024 ss]]*intersection_ss_Lden___surface[[#This Row],[Part de la surface du qs dans le noise contour]]</f>
        <v>0.11338979838482495</v>
      </c>
    </row>
    <row r="13" spans="1:39" x14ac:dyDescent="0.3">
      <c r="A13">
        <v>43</v>
      </c>
      <c r="B13" t="s">
        <v>73</v>
      </c>
      <c r="C13" t="s">
        <v>74</v>
      </c>
      <c r="D13" t="s">
        <v>74</v>
      </c>
      <c r="E13" t="s">
        <v>74</v>
      </c>
      <c r="F13" t="s">
        <v>75</v>
      </c>
      <c r="G13" t="s">
        <v>42</v>
      </c>
      <c r="H13" t="s">
        <v>43</v>
      </c>
      <c r="I13" t="s">
        <v>44</v>
      </c>
      <c r="J13" t="s">
        <v>36</v>
      </c>
      <c r="K13">
        <v>21001</v>
      </c>
      <c r="L13" t="s">
        <v>45</v>
      </c>
      <c r="M13" t="s">
        <v>45</v>
      </c>
      <c r="N13" t="s">
        <v>45</v>
      </c>
      <c r="O13">
        <v>21000</v>
      </c>
      <c r="P13" t="s">
        <v>46</v>
      </c>
      <c r="Q13" t="s">
        <v>47</v>
      </c>
      <c r="R13" t="s">
        <v>48</v>
      </c>
      <c r="T13" t="s">
        <v>36</v>
      </c>
      <c r="U13" t="s">
        <v>36</v>
      </c>
      <c r="V13" t="s">
        <v>36</v>
      </c>
      <c r="W13">
        <v>4000</v>
      </c>
      <c r="X13" t="s">
        <v>49</v>
      </c>
      <c r="Y13" t="s">
        <v>50</v>
      </c>
      <c r="Z13" t="s">
        <v>51</v>
      </c>
      <c r="AA13" t="s">
        <v>37</v>
      </c>
      <c r="AB13" t="s">
        <v>52</v>
      </c>
      <c r="AC13" t="s">
        <v>53</v>
      </c>
      <c r="AD13" t="s">
        <v>54</v>
      </c>
      <c r="AE13">
        <v>8.0049313507100006</v>
      </c>
      <c r="AF13">
        <v>1437</v>
      </c>
      <c r="AG13">
        <v>1436.6411074600001</v>
      </c>
      <c r="AH13">
        <v>80050.6037392</v>
      </c>
      <c r="AI13">
        <v>45</v>
      </c>
      <c r="AJ13">
        <v>80058.686572410807</v>
      </c>
      <c r="AK13" s="1">
        <f>intersection_ss_Lden___surface[[#This Row],[surf m2 bout ss]]/intersection_ss_Lden___surface[[#This Row],[Shape_Area]]</f>
        <v>1.0001009715459128</v>
      </c>
      <c r="AL13">
        <v>1071</v>
      </c>
      <c r="AM13">
        <f>intersection_ss_Lden___surface[[#This Row],[Population totale 2024 ss]]*intersection_ss_Lden___surface[[#This Row],[Part de la surface du qs dans le noise contour]]</f>
        <v>1071.1081405256725</v>
      </c>
    </row>
    <row r="14" spans="1:39" x14ac:dyDescent="0.3">
      <c r="A14">
        <v>44</v>
      </c>
      <c r="B14" t="s">
        <v>76</v>
      </c>
      <c r="C14" t="s">
        <v>77</v>
      </c>
      <c r="D14" t="s">
        <v>77</v>
      </c>
      <c r="E14" t="s">
        <v>77</v>
      </c>
      <c r="F14" t="s">
        <v>75</v>
      </c>
      <c r="G14" t="s">
        <v>42</v>
      </c>
      <c r="H14" t="s">
        <v>43</v>
      </c>
      <c r="I14" t="s">
        <v>44</v>
      </c>
      <c r="J14" t="s">
        <v>36</v>
      </c>
      <c r="K14">
        <v>21001</v>
      </c>
      <c r="L14" t="s">
        <v>45</v>
      </c>
      <c r="M14" t="s">
        <v>45</v>
      </c>
      <c r="N14" t="s">
        <v>45</v>
      </c>
      <c r="O14">
        <v>21000</v>
      </c>
      <c r="P14" t="s">
        <v>46</v>
      </c>
      <c r="Q14" t="s">
        <v>47</v>
      </c>
      <c r="R14" t="s">
        <v>48</v>
      </c>
      <c r="T14" t="s">
        <v>36</v>
      </c>
      <c r="U14" t="s">
        <v>36</v>
      </c>
      <c r="V14" t="s">
        <v>36</v>
      </c>
      <c r="W14">
        <v>4000</v>
      </c>
      <c r="X14" t="s">
        <v>49</v>
      </c>
      <c r="Y14" t="s">
        <v>50</v>
      </c>
      <c r="Z14" t="s">
        <v>51</v>
      </c>
      <c r="AA14" t="s">
        <v>37</v>
      </c>
      <c r="AB14" t="s">
        <v>52</v>
      </c>
      <c r="AC14" t="s">
        <v>53</v>
      </c>
      <c r="AD14" t="s">
        <v>54</v>
      </c>
      <c r="AE14">
        <v>15.560894698</v>
      </c>
      <c r="AF14">
        <v>1957</v>
      </c>
      <c r="AG14">
        <v>1956.8694118200001</v>
      </c>
      <c r="AH14">
        <v>155611.455464</v>
      </c>
      <c r="AI14">
        <v>45</v>
      </c>
      <c r="AJ14">
        <v>113092.952420267</v>
      </c>
      <c r="AK14" s="1">
        <f>intersection_ss_Lden___surface[[#This Row],[surf m2 bout ss]]/intersection_ss_Lden___surface[[#This Row],[Shape_Area]]</f>
        <v>0.72676495495172933</v>
      </c>
      <c r="AL14">
        <v>2680</v>
      </c>
      <c r="AM14">
        <f>intersection_ss_Lden___surface[[#This Row],[Population totale 2024 ss]]*intersection_ss_Lden___surface[[#This Row],[Part de la surface du qs dans le noise contour]]</f>
        <v>1947.7300792706346</v>
      </c>
    </row>
    <row r="15" spans="1:39" x14ac:dyDescent="0.3">
      <c r="A15">
        <v>45</v>
      </c>
      <c r="B15" t="s">
        <v>76</v>
      </c>
      <c r="C15" t="s">
        <v>77</v>
      </c>
      <c r="D15" t="s">
        <v>77</v>
      </c>
      <c r="E15" t="s">
        <v>77</v>
      </c>
      <c r="F15" t="s">
        <v>75</v>
      </c>
      <c r="G15" t="s">
        <v>42</v>
      </c>
      <c r="H15" t="s">
        <v>43</v>
      </c>
      <c r="I15" t="s">
        <v>44</v>
      </c>
      <c r="J15" t="s">
        <v>36</v>
      </c>
      <c r="K15">
        <v>21001</v>
      </c>
      <c r="L15" t="s">
        <v>45</v>
      </c>
      <c r="M15" t="s">
        <v>45</v>
      </c>
      <c r="N15" t="s">
        <v>45</v>
      </c>
      <c r="O15">
        <v>21000</v>
      </c>
      <c r="P15" t="s">
        <v>46</v>
      </c>
      <c r="Q15" t="s">
        <v>47</v>
      </c>
      <c r="R15" t="s">
        <v>48</v>
      </c>
      <c r="T15" t="s">
        <v>36</v>
      </c>
      <c r="U15" t="s">
        <v>36</v>
      </c>
      <c r="V15" t="s">
        <v>36</v>
      </c>
      <c r="W15">
        <v>4000</v>
      </c>
      <c r="X15" t="s">
        <v>49</v>
      </c>
      <c r="Y15" t="s">
        <v>50</v>
      </c>
      <c r="Z15" t="s">
        <v>51</v>
      </c>
      <c r="AA15" t="s">
        <v>37</v>
      </c>
      <c r="AB15" t="s">
        <v>52</v>
      </c>
      <c r="AC15" t="s">
        <v>53</v>
      </c>
      <c r="AD15" t="s">
        <v>54</v>
      </c>
      <c r="AE15">
        <v>15.560894698</v>
      </c>
      <c r="AF15">
        <v>1957</v>
      </c>
      <c r="AG15">
        <v>1956.8694118200001</v>
      </c>
      <c r="AH15">
        <v>155611.455464</v>
      </c>
      <c r="AI15">
        <v>46</v>
      </c>
      <c r="AJ15">
        <v>42534.247230643901</v>
      </c>
      <c r="AK15" s="1">
        <f>intersection_ss_Lden___surface[[#This Row],[surf m2 bout ss]]/intersection_ss_Lden___surface[[#This Row],[Shape_Area]]</f>
        <v>0.27333622132005575</v>
      </c>
      <c r="AL15">
        <v>2680</v>
      </c>
      <c r="AM15">
        <f>intersection_ss_Lden___surface[[#This Row],[Population totale 2024 ss]]*intersection_ss_Lden___surface[[#This Row],[Part de la surface du qs dans le noise contour]]</f>
        <v>732.54107313774944</v>
      </c>
    </row>
    <row r="16" spans="1:39" x14ac:dyDescent="0.3">
      <c r="A16">
        <v>46</v>
      </c>
      <c r="B16" t="s">
        <v>78</v>
      </c>
      <c r="C16" t="s">
        <v>79</v>
      </c>
      <c r="D16" t="s">
        <v>80</v>
      </c>
      <c r="E16" t="s">
        <v>80</v>
      </c>
      <c r="F16" t="s">
        <v>75</v>
      </c>
      <c r="G16" t="s">
        <v>42</v>
      </c>
      <c r="H16" t="s">
        <v>43</v>
      </c>
      <c r="I16" t="s">
        <v>44</v>
      </c>
      <c r="J16" t="s">
        <v>36</v>
      </c>
      <c r="K16">
        <v>21001</v>
      </c>
      <c r="L16" t="s">
        <v>45</v>
      </c>
      <c r="M16" t="s">
        <v>45</v>
      </c>
      <c r="N16" t="s">
        <v>45</v>
      </c>
      <c r="O16">
        <v>21000</v>
      </c>
      <c r="P16" t="s">
        <v>46</v>
      </c>
      <c r="Q16" t="s">
        <v>47</v>
      </c>
      <c r="R16" t="s">
        <v>48</v>
      </c>
      <c r="T16" t="s">
        <v>36</v>
      </c>
      <c r="U16" t="s">
        <v>36</v>
      </c>
      <c r="V16" t="s">
        <v>36</v>
      </c>
      <c r="W16">
        <v>4000</v>
      </c>
      <c r="X16" t="s">
        <v>49</v>
      </c>
      <c r="Y16" t="s">
        <v>50</v>
      </c>
      <c r="Z16" t="s">
        <v>51</v>
      </c>
      <c r="AA16" t="s">
        <v>37</v>
      </c>
      <c r="AB16" t="s">
        <v>52</v>
      </c>
      <c r="AC16" t="s">
        <v>53</v>
      </c>
      <c r="AD16" t="s">
        <v>54</v>
      </c>
      <c r="AE16">
        <v>12.7801412311</v>
      </c>
      <c r="AF16">
        <v>1501</v>
      </c>
      <c r="AG16">
        <v>1501.4794535599999</v>
      </c>
      <c r="AH16">
        <v>127803.452118</v>
      </c>
      <c r="AI16">
        <v>45</v>
      </c>
      <c r="AJ16">
        <v>112202.529519476</v>
      </c>
      <c r="AK16" s="1">
        <f>intersection_ss_Lden___surface[[#This Row],[surf m2 bout ss]]/intersection_ss_Lden___surface[[#This Row],[Shape_Area]]</f>
        <v>0.87793035055015745</v>
      </c>
      <c r="AL16">
        <v>3280</v>
      </c>
      <c r="AM16">
        <f>intersection_ss_Lden___surface[[#This Row],[Population totale 2024 ss]]*intersection_ss_Lden___surface[[#This Row],[Part de la surface du qs dans le noise contour]]</f>
        <v>2879.6115498045165</v>
      </c>
    </row>
    <row r="17" spans="1:39" x14ac:dyDescent="0.3">
      <c r="A17">
        <v>47</v>
      </c>
      <c r="B17" t="s">
        <v>78</v>
      </c>
      <c r="C17" t="s">
        <v>79</v>
      </c>
      <c r="D17" t="s">
        <v>80</v>
      </c>
      <c r="E17" t="s">
        <v>80</v>
      </c>
      <c r="F17" t="s">
        <v>75</v>
      </c>
      <c r="G17" t="s">
        <v>42</v>
      </c>
      <c r="H17" t="s">
        <v>43</v>
      </c>
      <c r="I17" t="s">
        <v>44</v>
      </c>
      <c r="J17" t="s">
        <v>36</v>
      </c>
      <c r="K17">
        <v>21001</v>
      </c>
      <c r="L17" t="s">
        <v>45</v>
      </c>
      <c r="M17" t="s">
        <v>45</v>
      </c>
      <c r="N17" t="s">
        <v>45</v>
      </c>
      <c r="O17">
        <v>21000</v>
      </c>
      <c r="P17" t="s">
        <v>46</v>
      </c>
      <c r="Q17" t="s">
        <v>47</v>
      </c>
      <c r="R17" t="s">
        <v>48</v>
      </c>
      <c r="T17" t="s">
        <v>36</v>
      </c>
      <c r="U17" t="s">
        <v>36</v>
      </c>
      <c r="V17" t="s">
        <v>36</v>
      </c>
      <c r="W17">
        <v>4000</v>
      </c>
      <c r="X17" t="s">
        <v>49</v>
      </c>
      <c r="Y17" t="s">
        <v>50</v>
      </c>
      <c r="Z17" t="s">
        <v>51</v>
      </c>
      <c r="AA17" t="s">
        <v>37</v>
      </c>
      <c r="AB17" t="s">
        <v>52</v>
      </c>
      <c r="AC17" t="s">
        <v>53</v>
      </c>
      <c r="AD17" t="s">
        <v>54</v>
      </c>
      <c r="AE17">
        <v>12.7801412311</v>
      </c>
      <c r="AF17">
        <v>1501</v>
      </c>
      <c r="AG17">
        <v>1501.4794535599999</v>
      </c>
      <c r="AH17">
        <v>127803.452118</v>
      </c>
      <c r="AI17">
        <v>46</v>
      </c>
      <c r="AJ17">
        <v>15613.747482762699</v>
      </c>
      <c r="AK17" s="1">
        <f>intersection_ss_Lden___surface[[#This Row],[surf m2 bout ss]]/intersection_ss_Lden___surface[[#This Row],[Shape_Area]]</f>
        <v>0.12216999794611681</v>
      </c>
      <c r="AL17">
        <v>3280</v>
      </c>
      <c r="AM17">
        <f>intersection_ss_Lden___surface[[#This Row],[Population totale 2024 ss]]*intersection_ss_Lden___surface[[#This Row],[Part de la surface du qs dans le noise contour]]</f>
        <v>400.71759326326315</v>
      </c>
    </row>
    <row r="18" spans="1:39" x14ac:dyDescent="0.3">
      <c r="A18">
        <v>48</v>
      </c>
      <c r="B18" t="s">
        <v>81</v>
      </c>
      <c r="C18" t="s">
        <v>82</v>
      </c>
      <c r="D18" t="s">
        <v>83</v>
      </c>
      <c r="E18" t="s">
        <v>83</v>
      </c>
      <c r="F18" t="s">
        <v>75</v>
      </c>
      <c r="G18" t="s">
        <v>42</v>
      </c>
      <c r="H18" t="s">
        <v>43</v>
      </c>
      <c r="I18" t="s">
        <v>44</v>
      </c>
      <c r="J18" t="s">
        <v>36</v>
      </c>
      <c r="K18">
        <v>21001</v>
      </c>
      <c r="L18" t="s">
        <v>45</v>
      </c>
      <c r="M18" t="s">
        <v>45</v>
      </c>
      <c r="N18" t="s">
        <v>45</v>
      </c>
      <c r="O18">
        <v>21000</v>
      </c>
      <c r="P18" t="s">
        <v>46</v>
      </c>
      <c r="Q18" t="s">
        <v>47</v>
      </c>
      <c r="R18" t="s">
        <v>48</v>
      </c>
      <c r="T18" t="s">
        <v>36</v>
      </c>
      <c r="U18" t="s">
        <v>36</v>
      </c>
      <c r="V18" t="s">
        <v>36</v>
      </c>
      <c r="W18">
        <v>4000</v>
      </c>
      <c r="X18" t="s">
        <v>49</v>
      </c>
      <c r="Y18" t="s">
        <v>50</v>
      </c>
      <c r="Z18" t="s">
        <v>51</v>
      </c>
      <c r="AA18" t="s">
        <v>37</v>
      </c>
      <c r="AB18" t="s">
        <v>52</v>
      </c>
      <c r="AC18" t="s">
        <v>53</v>
      </c>
      <c r="AD18" t="s">
        <v>54</v>
      </c>
      <c r="AE18">
        <v>7.6153641951899997</v>
      </c>
      <c r="AF18">
        <v>1174</v>
      </c>
      <c r="AG18">
        <v>1174.3795783400001</v>
      </c>
      <c r="AH18">
        <v>76154.855524600003</v>
      </c>
      <c r="AI18">
        <v>45</v>
      </c>
      <c r="AJ18">
        <v>76162.576476521805</v>
      </c>
      <c r="AK18" s="1">
        <f>intersection_ss_Lden___surface[[#This Row],[surf m2 bout ss]]/intersection_ss_Lden___surface[[#This Row],[Shape_Area]]</f>
        <v>1.0001013848935647</v>
      </c>
      <c r="AL18">
        <v>1076</v>
      </c>
      <c r="AM18">
        <f>intersection_ss_Lden___surface[[#This Row],[Population totale 2024 ss]]*intersection_ss_Lden___surface[[#This Row],[Part de la surface du qs dans le noise contour]]</f>
        <v>1076.1090901454756</v>
      </c>
    </row>
    <row r="19" spans="1:39" x14ac:dyDescent="0.3">
      <c r="A19">
        <v>49</v>
      </c>
      <c r="B19" t="s">
        <v>84</v>
      </c>
      <c r="C19" t="s">
        <v>85</v>
      </c>
      <c r="D19" t="s">
        <v>86</v>
      </c>
      <c r="E19" t="s">
        <v>86</v>
      </c>
      <c r="F19" t="s">
        <v>75</v>
      </c>
      <c r="G19" t="s">
        <v>42</v>
      </c>
      <c r="H19" t="s">
        <v>43</v>
      </c>
      <c r="I19" t="s">
        <v>44</v>
      </c>
      <c r="J19" t="s">
        <v>36</v>
      </c>
      <c r="K19">
        <v>21001</v>
      </c>
      <c r="L19" t="s">
        <v>45</v>
      </c>
      <c r="M19" t="s">
        <v>45</v>
      </c>
      <c r="N19" t="s">
        <v>45</v>
      </c>
      <c r="O19">
        <v>21000</v>
      </c>
      <c r="P19" t="s">
        <v>46</v>
      </c>
      <c r="Q19" t="s">
        <v>47</v>
      </c>
      <c r="R19" t="s">
        <v>48</v>
      </c>
      <c r="T19" t="s">
        <v>36</v>
      </c>
      <c r="U19" t="s">
        <v>36</v>
      </c>
      <c r="V19" t="s">
        <v>36</v>
      </c>
      <c r="W19">
        <v>4000</v>
      </c>
      <c r="X19" t="s">
        <v>49</v>
      </c>
      <c r="Y19" t="s">
        <v>50</v>
      </c>
      <c r="Z19" t="s">
        <v>51</v>
      </c>
      <c r="AA19" t="s">
        <v>37</v>
      </c>
      <c r="AB19" t="s">
        <v>52</v>
      </c>
      <c r="AC19" t="s">
        <v>53</v>
      </c>
      <c r="AD19" t="s">
        <v>54</v>
      </c>
      <c r="AE19">
        <v>8.8273169668999998</v>
      </c>
      <c r="AF19">
        <v>1364</v>
      </c>
      <c r="AG19">
        <v>1363.60713528</v>
      </c>
      <c r="AH19">
        <v>88274.587847600007</v>
      </c>
      <c r="AI19">
        <v>45</v>
      </c>
      <c r="AJ19">
        <v>88283.551578885905</v>
      </c>
      <c r="AK19" s="1">
        <f>intersection_ss_Lden___surface[[#This Row],[surf m2 bout ss]]/intersection_ss_Lden___surface[[#This Row],[Shape_Area]]</f>
        <v>1.00010154373421</v>
      </c>
      <c r="AL19">
        <v>1248</v>
      </c>
      <c r="AM19">
        <f>intersection_ss_Lden___surface[[#This Row],[Population totale 2024 ss]]*intersection_ss_Lden___surface[[#This Row],[Part de la surface du qs dans le noise contour]]</f>
        <v>1248.1267265802942</v>
      </c>
    </row>
    <row r="20" spans="1:39" x14ac:dyDescent="0.3">
      <c r="A20">
        <v>50</v>
      </c>
      <c r="B20" t="s">
        <v>87</v>
      </c>
      <c r="C20" t="s">
        <v>88</v>
      </c>
      <c r="D20" t="s">
        <v>89</v>
      </c>
      <c r="E20" t="s">
        <v>89</v>
      </c>
      <c r="F20" t="s">
        <v>75</v>
      </c>
      <c r="G20" t="s">
        <v>42</v>
      </c>
      <c r="H20" t="s">
        <v>43</v>
      </c>
      <c r="I20" t="s">
        <v>44</v>
      </c>
      <c r="J20" t="s">
        <v>36</v>
      </c>
      <c r="K20">
        <v>21001</v>
      </c>
      <c r="L20" t="s">
        <v>45</v>
      </c>
      <c r="M20" t="s">
        <v>45</v>
      </c>
      <c r="N20" t="s">
        <v>45</v>
      </c>
      <c r="O20">
        <v>21000</v>
      </c>
      <c r="P20" t="s">
        <v>46</v>
      </c>
      <c r="Q20" t="s">
        <v>47</v>
      </c>
      <c r="R20" t="s">
        <v>48</v>
      </c>
      <c r="T20" t="s">
        <v>36</v>
      </c>
      <c r="U20" t="s">
        <v>36</v>
      </c>
      <c r="V20" t="s">
        <v>36</v>
      </c>
      <c r="W20">
        <v>4000</v>
      </c>
      <c r="X20" t="s">
        <v>49</v>
      </c>
      <c r="Y20" t="s">
        <v>50</v>
      </c>
      <c r="Z20" t="s">
        <v>51</v>
      </c>
      <c r="AA20" t="s">
        <v>37</v>
      </c>
      <c r="AB20" t="s">
        <v>52</v>
      </c>
      <c r="AC20" t="s">
        <v>53</v>
      </c>
      <c r="AD20" t="s">
        <v>54</v>
      </c>
      <c r="AE20">
        <v>7.5488970815199998</v>
      </c>
      <c r="AF20">
        <v>1201</v>
      </c>
      <c r="AG20">
        <v>1200.6079700099999</v>
      </c>
      <c r="AH20">
        <v>75490.174606400004</v>
      </c>
      <c r="AI20">
        <v>45</v>
      </c>
      <c r="AJ20">
        <v>1422.20869471878</v>
      </c>
      <c r="AK20" s="1">
        <f>intersection_ss_Lden___surface[[#This Row],[surf m2 bout ss]]/intersection_ss_Lden___surface[[#This Row],[Shape_Area]]</f>
        <v>1.8839653002977769E-2</v>
      </c>
      <c r="AL20">
        <v>1445</v>
      </c>
      <c r="AM20">
        <f>intersection_ss_Lden___surface[[#This Row],[Population totale 2024 ss]]*intersection_ss_Lden___surface[[#This Row],[Part de la surface du qs dans le noise contour]]</f>
        <v>27.223298589302875</v>
      </c>
    </row>
    <row r="21" spans="1:39" x14ac:dyDescent="0.3">
      <c r="A21">
        <v>51</v>
      </c>
      <c r="B21" t="s">
        <v>90</v>
      </c>
      <c r="C21" t="s">
        <v>91</v>
      </c>
      <c r="D21" t="s">
        <v>91</v>
      </c>
      <c r="E21" t="s">
        <v>91</v>
      </c>
      <c r="F21" t="s">
        <v>92</v>
      </c>
      <c r="G21" t="s">
        <v>42</v>
      </c>
      <c r="H21" t="s">
        <v>43</v>
      </c>
      <c r="I21" t="s">
        <v>44</v>
      </c>
      <c r="J21" t="s">
        <v>36</v>
      </c>
      <c r="K21">
        <v>21001</v>
      </c>
      <c r="L21" t="s">
        <v>45</v>
      </c>
      <c r="M21" t="s">
        <v>45</v>
      </c>
      <c r="N21" t="s">
        <v>45</v>
      </c>
      <c r="O21">
        <v>21000</v>
      </c>
      <c r="P21" t="s">
        <v>46</v>
      </c>
      <c r="Q21" t="s">
        <v>47</v>
      </c>
      <c r="R21" t="s">
        <v>48</v>
      </c>
      <c r="T21" t="s">
        <v>36</v>
      </c>
      <c r="U21" t="s">
        <v>36</v>
      </c>
      <c r="V21" t="s">
        <v>36</v>
      </c>
      <c r="W21">
        <v>4000</v>
      </c>
      <c r="X21" t="s">
        <v>49</v>
      </c>
      <c r="Y21" t="s">
        <v>50</v>
      </c>
      <c r="Z21" t="s">
        <v>51</v>
      </c>
      <c r="AA21" t="s">
        <v>37</v>
      </c>
      <c r="AB21" t="s">
        <v>52</v>
      </c>
      <c r="AC21" t="s">
        <v>53</v>
      </c>
      <c r="AD21" t="s">
        <v>54</v>
      </c>
      <c r="AE21">
        <v>19.4475634689</v>
      </c>
      <c r="AF21">
        <v>2628</v>
      </c>
      <c r="AG21">
        <v>2627.7491532200002</v>
      </c>
      <c r="AH21">
        <v>194478.77643299999</v>
      </c>
      <c r="AI21">
        <v>45</v>
      </c>
      <c r="AJ21">
        <v>19153.23976687</v>
      </c>
      <c r="AK21" s="1">
        <f>intersection_ss_Lden___surface[[#This Row],[surf m2 bout ss]]/intersection_ss_Lden___surface[[#This Row],[Shape_Area]]</f>
        <v>9.8484986990179338E-2</v>
      </c>
      <c r="AL21">
        <v>2878</v>
      </c>
      <c r="AM21">
        <f>intersection_ss_Lden___surface[[#This Row],[Population totale 2024 ss]]*intersection_ss_Lden___surface[[#This Row],[Part de la surface du qs dans le noise contour]]</f>
        <v>283.43979255773615</v>
      </c>
    </row>
    <row r="22" spans="1:39" x14ac:dyDescent="0.3">
      <c r="A22">
        <v>52</v>
      </c>
      <c r="B22" t="s">
        <v>93</v>
      </c>
      <c r="C22" t="s">
        <v>94</v>
      </c>
      <c r="D22" t="s">
        <v>95</v>
      </c>
      <c r="E22" t="s">
        <v>95</v>
      </c>
      <c r="F22" t="s">
        <v>92</v>
      </c>
      <c r="G22" t="s">
        <v>42</v>
      </c>
      <c r="H22" t="s">
        <v>43</v>
      </c>
      <c r="I22" t="s">
        <v>44</v>
      </c>
      <c r="J22" t="s">
        <v>36</v>
      </c>
      <c r="K22">
        <v>21001</v>
      </c>
      <c r="L22" t="s">
        <v>45</v>
      </c>
      <c r="M22" t="s">
        <v>45</v>
      </c>
      <c r="N22" t="s">
        <v>45</v>
      </c>
      <c r="O22">
        <v>21000</v>
      </c>
      <c r="P22" t="s">
        <v>46</v>
      </c>
      <c r="Q22" t="s">
        <v>47</v>
      </c>
      <c r="R22" t="s">
        <v>48</v>
      </c>
      <c r="T22" t="s">
        <v>36</v>
      </c>
      <c r="U22" t="s">
        <v>36</v>
      </c>
      <c r="V22" t="s">
        <v>36</v>
      </c>
      <c r="W22">
        <v>4000</v>
      </c>
      <c r="X22" t="s">
        <v>49</v>
      </c>
      <c r="Y22" t="s">
        <v>50</v>
      </c>
      <c r="Z22" t="s">
        <v>51</v>
      </c>
      <c r="AA22" t="s">
        <v>37</v>
      </c>
      <c r="AB22" t="s">
        <v>52</v>
      </c>
      <c r="AC22" t="s">
        <v>53</v>
      </c>
      <c r="AD22" t="s">
        <v>54</v>
      </c>
      <c r="AE22">
        <v>9.4668235014800004</v>
      </c>
      <c r="AF22">
        <v>1912</v>
      </c>
      <c r="AG22">
        <v>1911.55953905</v>
      </c>
      <c r="AH22">
        <v>94669.7816723</v>
      </c>
      <c r="AI22">
        <v>45</v>
      </c>
      <c r="AJ22">
        <v>94679.438142521307</v>
      </c>
      <c r="AK22" s="1">
        <f>intersection_ss_Lden___surface[[#This Row],[surf m2 bout ss]]/intersection_ss_Lden___surface[[#This Row],[Shape_Area]]</f>
        <v>1.0001020016107647</v>
      </c>
      <c r="AL22">
        <v>771</v>
      </c>
      <c r="AM22">
        <f>intersection_ss_Lden___surface[[#This Row],[Population totale 2024 ss]]*intersection_ss_Lden___surface[[#This Row],[Part de la surface du qs dans le noise contour]]</f>
        <v>771.07864324189961</v>
      </c>
    </row>
    <row r="23" spans="1:39" x14ac:dyDescent="0.3">
      <c r="A23">
        <v>53</v>
      </c>
      <c r="B23" t="s">
        <v>96</v>
      </c>
      <c r="C23" t="s">
        <v>97</v>
      </c>
      <c r="D23" t="s">
        <v>98</v>
      </c>
      <c r="E23" t="s">
        <v>98</v>
      </c>
      <c r="F23" t="s">
        <v>92</v>
      </c>
      <c r="G23" t="s">
        <v>42</v>
      </c>
      <c r="H23" t="s">
        <v>43</v>
      </c>
      <c r="I23" t="s">
        <v>44</v>
      </c>
      <c r="J23" t="s">
        <v>36</v>
      </c>
      <c r="K23">
        <v>21001</v>
      </c>
      <c r="L23" t="s">
        <v>45</v>
      </c>
      <c r="M23" t="s">
        <v>45</v>
      </c>
      <c r="N23" t="s">
        <v>45</v>
      </c>
      <c r="O23">
        <v>21000</v>
      </c>
      <c r="P23" t="s">
        <v>46</v>
      </c>
      <c r="Q23" t="s">
        <v>47</v>
      </c>
      <c r="R23" t="s">
        <v>48</v>
      </c>
      <c r="T23" t="s">
        <v>36</v>
      </c>
      <c r="U23" t="s">
        <v>36</v>
      </c>
      <c r="V23" t="s">
        <v>36</v>
      </c>
      <c r="W23">
        <v>4000</v>
      </c>
      <c r="X23" t="s">
        <v>49</v>
      </c>
      <c r="Y23" t="s">
        <v>50</v>
      </c>
      <c r="Z23" t="s">
        <v>51</v>
      </c>
      <c r="AA23" t="s">
        <v>37</v>
      </c>
      <c r="AB23" t="s">
        <v>52</v>
      </c>
      <c r="AC23" t="s">
        <v>53</v>
      </c>
      <c r="AD23" t="s">
        <v>54</v>
      </c>
      <c r="AE23">
        <v>16.057735787799999</v>
      </c>
      <c r="AF23">
        <v>2489</v>
      </c>
      <c r="AG23">
        <v>2488.8856742100002</v>
      </c>
      <c r="AH23">
        <v>160579.94254300001</v>
      </c>
      <c r="AI23">
        <v>45</v>
      </c>
      <c r="AJ23">
        <v>160596.399845454</v>
      </c>
      <c r="AK23" s="1">
        <f>intersection_ss_Lden___surface[[#This Row],[surf m2 bout ss]]/intersection_ss_Lden___surface[[#This Row],[Shape_Area]]</f>
        <v>1.0001024866629877</v>
      </c>
      <c r="AL23">
        <v>4288</v>
      </c>
      <c r="AM23">
        <f>intersection_ss_Lden___surface[[#This Row],[Population totale 2024 ss]]*intersection_ss_Lden___surface[[#This Row],[Part de la surface du qs dans le noise contour]]</f>
        <v>4288.4394628108912</v>
      </c>
    </row>
    <row r="24" spans="1:39" x14ac:dyDescent="0.3">
      <c r="A24">
        <v>54</v>
      </c>
      <c r="B24" t="s">
        <v>99</v>
      </c>
      <c r="C24" t="s">
        <v>100</v>
      </c>
      <c r="D24" t="s">
        <v>100</v>
      </c>
      <c r="E24" t="s">
        <v>100</v>
      </c>
      <c r="F24" t="s">
        <v>92</v>
      </c>
      <c r="G24" t="s">
        <v>42</v>
      </c>
      <c r="H24" t="s">
        <v>43</v>
      </c>
      <c r="I24" t="s">
        <v>44</v>
      </c>
      <c r="J24" t="s">
        <v>36</v>
      </c>
      <c r="K24">
        <v>21001</v>
      </c>
      <c r="L24" t="s">
        <v>45</v>
      </c>
      <c r="M24" t="s">
        <v>45</v>
      </c>
      <c r="N24" t="s">
        <v>45</v>
      </c>
      <c r="O24">
        <v>21000</v>
      </c>
      <c r="P24" t="s">
        <v>46</v>
      </c>
      <c r="Q24" t="s">
        <v>47</v>
      </c>
      <c r="R24" t="s">
        <v>48</v>
      </c>
      <c r="T24" t="s">
        <v>36</v>
      </c>
      <c r="U24" t="s">
        <v>36</v>
      </c>
      <c r="V24" t="s">
        <v>36</v>
      </c>
      <c r="W24">
        <v>4000</v>
      </c>
      <c r="X24" t="s">
        <v>49</v>
      </c>
      <c r="Y24" t="s">
        <v>50</v>
      </c>
      <c r="Z24" t="s">
        <v>51</v>
      </c>
      <c r="AA24" t="s">
        <v>37</v>
      </c>
      <c r="AB24" t="s">
        <v>52</v>
      </c>
      <c r="AC24" t="s">
        <v>53</v>
      </c>
      <c r="AD24" t="s">
        <v>54</v>
      </c>
      <c r="AE24">
        <v>7.1692235270899998</v>
      </c>
      <c r="AF24">
        <v>1201</v>
      </c>
      <c r="AG24">
        <v>1201.21936076</v>
      </c>
      <c r="AH24">
        <v>71693.390051499999</v>
      </c>
      <c r="AI24">
        <v>45</v>
      </c>
      <c r="AJ24">
        <v>45308.011080120697</v>
      </c>
      <c r="AK24" s="1">
        <f>intersection_ss_Lden___surface[[#This Row],[surf m2 bout ss]]/intersection_ss_Lden___surface[[#This Row],[Shape_Area]]</f>
        <v>0.6319691543052196</v>
      </c>
      <c r="AL24">
        <v>182</v>
      </c>
      <c r="AM24">
        <f>intersection_ss_Lden___surface[[#This Row],[Population totale 2024 ss]]*intersection_ss_Lden___surface[[#This Row],[Part de la surface du qs dans le noise contour]]</f>
        <v>115.01838608354997</v>
      </c>
    </row>
    <row r="25" spans="1:39" x14ac:dyDescent="0.3">
      <c r="A25">
        <v>55</v>
      </c>
      <c r="B25" t="s">
        <v>101</v>
      </c>
      <c r="C25" t="s">
        <v>102</v>
      </c>
      <c r="D25" t="s">
        <v>102</v>
      </c>
      <c r="E25" t="s">
        <v>102</v>
      </c>
      <c r="F25" t="s">
        <v>103</v>
      </c>
      <c r="G25" t="s">
        <v>42</v>
      </c>
      <c r="H25" t="s">
        <v>43</v>
      </c>
      <c r="I25" t="s">
        <v>44</v>
      </c>
      <c r="J25" t="s">
        <v>36</v>
      </c>
      <c r="K25">
        <v>21001</v>
      </c>
      <c r="L25" t="s">
        <v>45</v>
      </c>
      <c r="M25" t="s">
        <v>45</v>
      </c>
      <c r="N25" t="s">
        <v>45</v>
      </c>
      <c r="O25">
        <v>21000</v>
      </c>
      <c r="P25" t="s">
        <v>46</v>
      </c>
      <c r="Q25" t="s">
        <v>47</v>
      </c>
      <c r="R25" t="s">
        <v>48</v>
      </c>
      <c r="T25" t="s">
        <v>36</v>
      </c>
      <c r="U25" t="s">
        <v>36</v>
      </c>
      <c r="V25" t="s">
        <v>36</v>
      </c>
      <c r="W25">
        <v>4000</v>
      </c>
      <c r="X25" t="s">
        <v>49</v>
      </c>
      <c r="Y25" t="s">
        <v>50</v>
      </c>
      <c r="Z25" t="s">
        <v>51</v>
      </c>
      <c r="AA25" t="s">
        <v>37</v>
      </c>
      <c r="AB25" t="s">
        <v>52</v>
      </c>
      <c r="AC25" t="s">
        <v>53</v>
      </c>
      <c r="AD25" t="s">
        <v>54</v>
      </c>
      <c r="AE25">
        <v>8.4259265189699999</v>
      </c>
      <c r="AF25">
        <v>2047</v>
      </c>
      <c r="AG25">
        <v>2046.9887178900001</v>
      </c>
      <c r="AH25">
        <v>84260.620638399996</v>
      </c>
      <c r="AI25">
        <v>47</v>
      </c>
      <c r="AJ25">
        <v>84268.922719110196</v>
      </c>
      <c r="AK25" s="1">
        <f>intersection_ss_Lden___surface[[#This Row],[surf m2 bout ss]]/intersection_ss_Lden___surface[[#This Row],[Shape_Area]]</f>
        <v>1.0000985285967192</v>
      </c>
      <c r="AL25">
        <v>978</v>
      </c>
      <c r="AM25">
        <f>intersection_ss_Lden___surface[[#This Row],[Population totale 2024 ss]]*intersection_ss_Lden___surface[[#This Row],[Part de la surface du qs dans le noise contour]]</f>
        <v>978.09636096759141</v>
      </c>
    </row>
    <row r="26" spans="1:39" x14ac:dyDescent="0.3">
      <c r="A26">
        <v>56</v>
      </c>
      <c r="B26" t="s">
        <v>104</v>
      </c>
      <c r="C26" t="s">
        <v>105</v>
      </c>
      <c r="D26" t="s">
        <v>105</v>
      </c>
      <c r="E26" t="s">
        <v>105</v>
      </c>
      <c r="F26" t="s">
        <v>103</v>
      </c>
      <c r="G26" t="s">
        <v>42</v>
      </c>
      <c r="H26" t="s">
        <v>43</v>
      </c>
      <c r="I26" t="s">
        <v>44</v>
      </c>
      <c r="J26" t="s">
        <v>36</v>
      </c>
      <c r="K26">
        <v>21001</v>
      </c>
      <c r="L26" t="s">
        <v>45</v>
      </c>
      <c r="M26" t="s">
        <v>45</v>
      </c>
      <c r="N26" t="s">
        <v>45</v>
      </c>
      <c r="O26">
        <v>21000</v>
      </c>
      <c r="P26" t="s">
        <v>46</v>
      </c>
      <c r="Q26" t="s">
        <v>47</v>
      </c>
      <c r="R26" t="s">
        <v>48</v>
      </c>
      <c r="T26" t="s">
        <v>36</v>
      </c>
      <c r="U26" t="s">
        <v>36</v>
      </c>
      <c r="V26" t="s">
        <v>36</v>
      </c>
      <c r="W26">
        <v>4000</v>
      </c>
      <c r="X26" t="s">
        <v>49</v>
      </c>
      <c r="Y26" t="s">
        <v>50</v>
      </c>
      <c r="Z26" t="s">
        <v>51</v>
      </c>
      <c r="AA26" t="s">
        <v>37</v>
      </c>
      <c r="AB26" t="s">
        <v>52</v>
      </c>
      <c r="AC26" t="s">
        <v>53</v>
      </c>
      <c r="AD26" t="s">
        <v>54</v>
      </c>
      <c r="AE26">
        <v>19.531378558099998</v>
      </c>
      <c r="AF26">
        <v>2904</v>
      </c>
      <c r="AG26">
        <v>2903.86764567</v>
      </c>
      <c r="AH26">
        <v>195316.93049</v>
      </c>
      <c r="AI26">
        <v>46</v>
      </c>
      <c r="AJ26">
        <v>57765.098231985197</v>
      </c>
      <c r="AK26" s="1">
        <f>intersection_ss_Lden___surface[[#This Row],[surf m2 bout ss]]/intersection_ss_Lden___surface[[#This Row],[Shape_Area]]</f>
        <v>0.29575059410910975</v>
      </c>
      <c r="AL26">
        <v>3759</v>
      </c>
      <c r="AM26">
        <f>intersection_ss_Lden___surface[[#This Row],[Population totale 2024 ss]]*intersection_ss_Lden___surface[[#This Row],[Part de la surface du qs dans le noise contour]]</f>
        <v>1111.7264832561436</v>
      </c>
    </row>
    <row r="27" spans="1:39" x14ac:dyDescent="0.3">
      <c r="A27">
        <v>57</v>
      </c>
      <c r="B27" t="s">
        <v>104</v>
      </c>
      <c r="C27" t="s">
        <v>105</v>
      </c>
      <c r="D27" t="s">
        <v>105</v>
      </c>
      <c r="E27" t="s">
        <v>105</v>
      </c>
      <c r="F27" t="s">
        <v>103</v>
      </c>
      <c r="G27" t="s">
        <v>42</v>
      </c>
      <c r="H27" t="s">
        <v>43</v>
      </c>
      <c r="I27" t="s">
        <v>44</v>
      </c>
      <c r="J27" t="s">
        <v>36</v>
      </c>
      <c r="K27">
        <v>21001</v>
      </c>
      <c r="L27" t="s">
        <v>45</v>
      </c>
      <c r="M27" t="s">
        <v>45</v>
      </c>
      <c r="N27" t="s">
        <v>45</v>
      </c>
      <c r="O27">
        <v>21000</v>
      </c>
      <c r="P27" t="s">
        <v>46</v>
      </c>
      <c r="Q27" t="s">
        <v>47</v>
      </c>
      <c r="R27" t="s">
        <v>48</v>
      </c>
      <c r="T27" t="s">
        <v>36</v>
      </c>
      <c r="U27" t="s">
        <v>36</v>
      </c>
      <c r="V27" t="s">
        <v>36</v>
      </c>
      <c r="W27">
        <v>4000</v>
      </c>
      <c r="X27" t="s">
        <v>49</v>
      </c>
      <c r="Y27" t="s">
        <v>50</v>
      </c>
      <c r="Z27" t="s">
        <v>51</v>
      </c>
      <c r="AA27" t="s">
        <v>37</v>
      </c>
      <c r="AB27" t="s">
        <v>52</v>
      </c>
      <c r="AC27" t="s">
        <v>53</v>
      </c>
      <c r="AD27" t="s">
        <v>54</v>
      </c>
      <c r="AE27">
        <v>19.531378558099998</v>
      </c>
      <c r="AF27">
        <v>2904</v>
      </c>
      <c r="AG27">
        <v>2903.86764567</v>
      </c>
      <c r="AH27">
        <v>195316.93049</v>
      </c>
      <c r="AI27">
        <v>47</v>
      </c>
      <c r="AJ27">
        <v>137571.01788507699</v>
      </c>
      <c r="AK27" s="1">
        <f>intersection_ss_Lden___surface[[#This Row],[surf m2 bout ss]]/intersection_ss_Lden___surface[[#This Row],[Shape_Area]]</f>
        <v>0.70434763407322987</v>
      </c>
      <c r="AL27">
        <v>3759</v>
      </c>
      <c r="AM27">
        <f>intersection_ss_Lden___surface[[#This Row],[Population totale 2024 ss]]*intersection_ss_Lden___surface[[#This Row],[Part de la surface du qs dans le noise contour]]</f>
        <v>2647.6427564812711</v>
      </c>
    </row>
    <row r="28" spans="1:39" x14ac:dyDescent="0.3">
      <c r="A28">
        <v>58</v>
      </c>
      <c r="B28" t="s">
        <v>106</v>
      </c>
      <c r="C28" t="s">
        <v>107</v>
      </c>
      <c r="D28" t="s">
        <v>107</v>
      </c>
      <c r="E28" t="s">
        <v>107</v>
      </c>
      <c r="F28" t="s">
        <v>103</v>
      </c>
      <c r="G28" t="s">
        <v>42</v>
      </c>
      <c r="H28" t="s">
        <v>43</v>
      </c>
      <c r="I28" t="s">
        <v>44</v>
      </c>
      <c r="J28" t="s">
        <v>36</v>
      </c>
      <c r="K28">
        <v>21001</v>
      </c>
      <c r="L28" t="s">
        <v>45</v>
      </c>
      <c r="M28" t="s">
        <v>45</v>
      </c>
      <c r="N28" t="s">
        <v>45</v>
      </c>
      <c r="O28">
        <v>21000</v>
      </c>
      <c r="P28" t="s">
        <v>46</v>
      </c>
      <c r="Q28" t="s">
        <v>47</v>
      </c>
      <c r="R28" t="s">
        <v>48</v>
      </c>
      <c r="T28" t="s">
        <v>36</v>
      </c>
      <c r="U28" t="s">
        <v>36</v>
      </c>
      <c r="V28" t="s">
        <v>36</v>
      </c>
      <c r="W28">
        <v>4000</v>
      </c>
      <c r="X28" t="s">
        <v>49</v>
      </c>
      <c r="Y28" t="s">
        <v>50</v>
      </c>
      <c r="Z28" t="s">
        <v>51</v>
      </c>
      <c r="AA28" t="s">
        <v>37</v>
      </c>
      <c r="AB28" t="s">
        <v>52</v>
      </c>
      <c r="AC28" t="s">
        <v>53</v>
      </c>
      <c r="AD28" t="s">
        <v>54</v>
      </c>
      <c r="AE28">
        <v>12.3220921567</v>
      </c>
      <c r="AF28">
        <v>1486</v>
      </c>
      <c r="AG28">
        <v>1486.24528672</v>
      </c>
      <c r="AH28">
        <v>123222.909593</v>
      </c>
      <c r="AI28">
        <v>45</v>
      </c>
      <c r="AJ28">
        <v>44970.004971310504</v>
      </c>
      <c r="AK28" s="1">
        <f>intersection_ss_Lden___surface[[#This Row],[surf m2 bout ss]]/intersection_ss_Lden___surface[[#This Row],[Shape_Area]]</f>
        <v>0.36494841032275982</v>
      </c>
      <c r="AL28">
        <v>319</v>
      </c>
      <c r="AM28">
        <f>intersection_ss_Lden___surface[[#This Row],[Population totale 2024 ss]]*intersection_ss_Lden___surface[[#This Row],[Part de la surface du qs dans le noise contour]]</f>
        <v>116.41854289296039</v>
      </c>
    </row>
    <row r="29" spans="1:39" x14ac:dyDescent="0.3">
      <c r="A29">
        <v>59</v>
      </c>
      <c r="B29" t="s">
        <v>106</v>
      </c>
      <c r="C29" t="s">
        <v>107</v>
      </c>
      <c r="D29" t="s">
        <v>107</v>
      </c>
      <c r="E29" t="s">
        <v>107</v>
      </c>
      <c r="F29" t="s">
        <v>103</v>
      </c>
      <c r="G29" t="s">
        <v>42</v>
      </c>
      <c r="H29" t="s">
        <v>43</v>
      </c>
      <c r="I29" t="s">
        <v>44</v>
      </c>
      <c r="J29" t="s">
        <v>36</v>
      </c>
      <c r="K29">
        <v>21001</v>
      </c>
      <c r="L29" t="s">
        <v>45</v>
      </c>
      <c r="M29" t="s">
        <v>45</v>
      </c>
      <c r="N29" t="s">
        <v>45</v>
      </c>
      <c r="O29">
        <v>21000</v>
      </c>
      <c r="P29" t="s">
        <v>46</v>
      </c>
      <c r="Q29" t="s">
        <v>47</v>
      </c>
      <c r="R29" t="s">
        <v>48</v>
      </c>
      <c r="T29" t="s">
        <v>36</v>
      </c>
      <c r="U29" t="s">
        <v>36</v>
      </c>
      <c r="V29" t="s">
        <v>36</v>
      </c>
      <c r="W29">
        <v>4000</v>
      </c>
      <c r="X29" t="s">
        <v>49</v>
      </c>
      <c r="Y29" t="s">
        <v>50</v>
      </c>
      <c r="Z29" t="s">
        <v>51</v>
      </c>
      <c r="AA29" t="s">
        <v>37</v>
      </c>
      <c r="AB29" t="s">
        <v>52</v>
      </c>
      <c r="AC29" t="s">
        <v>53</v>
      </c>
      <c r="AD29" t="s">
        <v>54</v>
      </c>
      <c r="AE29">
        <v>12.3220921567</v>
      </c>
      <c r="AF29">
        <v>1486</v>
      </c>
      <c r="AG29">
        <v>1486.24528672</v>
      </c>
      <c r="AH29">
        <v>123222.909593</v>
      </c>
      <c r="AI29">
        <v>46</v>
      </c>
      <c r="AJ29">
        <v>78265.132766874507</v>
      </c>
      <c r="AK29" s="1">
        <f>intersection_ss_Lden___surface[[#This Row],[surf m2 bout ss]]/intersection_ss_Lden___surface[[#This Row],[Shape_Area]]</f>
        <v>0.63515082564906877</v>
      </c>
      <c r="AL29">
        <v>319</v>
      </c>
      <c r="AM29">
        <f>intersection_ss_Lden___surface[[#This Row],[Population totale 2024 ss]]*intersection_ss_Lden___surface[[#This Row],[Part de la surface du qs dans le noise contour]]</f>
        <v>202.61311338205294</v>
      </c>
    </row>
    <row r="30" spans="1:39" x14ac:dyDescent="0.3">
      <c r="A30">
        <v>60</v>
      </c>
      <c r="B30" t="s">
        <v>108</v>
      </c>
      <c r="C30" t="s">
        <v>109</v>
      </c>
      <c r="D30" t="s">
        <v>110</v>
      </c>
      <c r="E30" t="s">
        <v>110</v>
      </c>
      <c r="F30" t="s">
        <v>103</v>
      </c>
      <c r="G30" t="s">
        <v>42</v>
      </c>
      <c r="H30" t="s">
        <v>43</v>
      </c>
      <c r="I30" t="s">
        <v>44</v>
      </c>
      <c r="J30" t="s">
        <v>36</v>
      </c>
      <c r="K30">
        <v>21001</v>
      </c>
      <c r="L30" t="s">
        <v>45</v>
      </c>
      <c r="M30" t="s">
        <v>45</v>
      </c>
      <c r="N30" t="s">
        <v>45</v>
      </c>
      <c r="O30">
        <v>21000</v>
      </c>
      <c r="P30" t="s">
        <v>46</v>
      </c>
      <c r="Q30" t="s">
        <v>47</v>
      </c>
      <c r="R30" t="s">
        <v>48</v>
      </c>
      <c r="T30" t="s">
        <v>36</v>
      </c>
      <c r="U30" t="s">
        <v>36</v>
      </c>
      <c r="V30" t="s">
        <v>36</v>
      </c>
      <c r="W30">
        <v>4000</v>
      </c>
      <c r="X30" t="s">
        <v>49</v>
      </c>
      <c r="Y30" t="s">
        <v>50</v>
      </c>
      <c r="Z30" t="s">
        <v>51</v>
      </c>
      <c r="AA30" t="s">
        <v>37</v>
      </c>
      <c r="AB30" t="s">
        <v>52</v>
      </c>
      <c r="AC30" t="s">
        <v>53</v>
      </c>
      <c r="AD30" t="s">
        <v>54</v>
      </c>
      <c r="AE30">
        <v>15.1904347756</v>
      </c>
      <c r="AF30">
        <v>1557</v>
      </c>
      <c r="AG30">
        <v>1557.159022</v>
      </c>
      <c r="AH30">
        <v>151906.79141999999</v>
      </c>
      <c r="AI30">
        <v>46</v>
      </c>
      <c r="AJ30">
        <v>151921.81635906501</v>
      </c>
      <c r="AK30" s="1">
        <f>intersection_ss_Lden___surface[[#This Row],[surf m2 bout ss]]/intersection_ss_Lden___surface[[#This Row],[Shape_Area]]</f>
        <v>1.0000989089357004</v>
      </c>
      <c r="AL30">
        <v>2499</v>
      </c>
      <c r="AM30">
        <f>intersection_ss_Lden___surface[[#This Row],[Population totale 2024 ss]]*intersection_ss_Lden___surface[[#This Row],[Part de la surface du qs dans le noise contour]]</f>
        <v>2499.2471734303153</v>
      </c>
    </row>
    <row r="31" spans="1:39" x14ac:dyDescent="0.3">
      <c r="A31">
        <v>61</v>
      </c>
      <c r="B31" t="s">
        <v>111</v>
      </c>
      <c r="C31" t="s">
        <v>112</v>
      </c>
      <c r="D31" t="s">
        <v>113</v>
      </c>
      <c r="E31" t="s">
        <v>113</v>
      </c>
      <c r="F31" t="s">
        <v>103</v>
      </c>
      <c r="G31" t="s">
        <v>42</v>
      </c>
      <c r="H31" t="s">
        <v>43</v>
      </c>
      <c r="I31" t="s">
        <v>44</v>
      </c>
      <c r="J31" t="s">
        <v>36</v>
      </c>
      <c r="K31">
        <v>21001</v>
      </c>
      <c r="L31" t="s">
        <v>45</v>
      </c>
      <c r="M31" t="s">
        <v>45</v>
      </c>
      <c r="N31" t="s">
        <v>45</v>
      </c>
      <c r="O31">
        <v>21000</v>
      </c>
      <c r="P31" t="s">
        <v>46</v>
      </c>
      <c r="Q31" t="s">
        <v>47</v>
      </c>
      <c r="R31" t="s">
        <v>48</v>
      </c>
      <c r="T31" t="s">
        <v>36</v>
      </c>
      <c r="U31" t="s">
        <v>36</v>
      </c>
      <c r="V31" t="s">
        <v>36</v>
      </c>
      <c r="W31">
        <v>4000</v>
      </c>
      <c r="X31" t="s">
        <v>49</v>
      </c>
      <c r="Y31" t="s">
        <v>50</v>
      </c>
      <c r="Z31" t="s">
        <v>51</v>
      </c>
      <c r="AA31" t="s">
        <v>37</v>
      </c>
      <c r="AB31" t="s">
        <v>52</v>
      </c>
      <c r="AC31" t="s">
        <v>53</v>
      </c>
      <c r="AD31" t="s">
        <v>54</v>
      </c>
      <c r="AE31">
        <v>4.4180753180199996</v>
      </c>
      <c r="AF31">
        <v>897</v>
      </c>
      <c r="AG31">
        <v>896.64228550999997</v>
      </c>
      <c r="AH31">
        <v>44181.462456000001</v>
      </c>
      <c r="AI31">
        <v>46</v>
      </c>
      <c r="AJ31">
        <v>6936.2236288525201</v>
      </c>
      <c r="AK31" s="1">
        <f>intersection_ss_Lden___surface[[#This Row],[surf m2 bout ss]]/intersection_ss_Lden___surface[[#This Row],[Shape_Area]]</f>
        <v>0.15699397990187072</v>
      </c>
      <c r="AL31">
        <v>1</v>
      </c>
      <c r="AM31">
        <f>intersection_ss_Lden___surface[[#This Row],[Population totale 2024 ss]]*intersection_ss_Lden___surface[[#This Row],[Part de la surface du qs dans le noise contour]]</f>
        <v>0.15699397990187072</v>
      </c>
    </row>
    <row r="32" spans="1:39" x14ac:dyDescent="0.3">
      <c r="A32">
        <v>62</v>
      </c>
      <c r="B32" t="s">
        <v>111</v>
      </c>
      <c r="C32" t="s">
        <v>112</v>
      </c>
      <c r="D32" t="s">
        <v>113</v>
      </c>
      <c r="E32" t="s">
        <v>113</v>
      </c>
      <c r="F32" t="s">
        <v>103</v>
      </c>
      <c r="G32" t="s">
        <v>42</v>
      </c>
      <c r="H32" t="s">
        <v>43</v>
      </c>
      <c r="I32" t="s">
        <v>44</v>
      </c>
      <c r="J32" t="s">
        <v>36</v>
      </c>
      <c r="K32">
        <v>21001</v>
      </c>
      <c r="L32" t="s">
        <v>45</v>
      </c>
      <c r="M32" t="s">
        <v>45</v>
      </c>
      <c r="N32" t="s">
        <v>45</v>
      </c>
      <c r="O32">
        <v>21000</v>
      </c>
      <c r="P32" t="s">
        <v>46</v>
      </c>
      <c r="Q32" t="s">
        <v>47</v>
      </c>
      <c r="R32" t="s">
        <v>48</v>
      </c>
      <c r="T32" t="s">
        <v>36</v>
      </c>
      <c r="U32" t="s">
        <v>36</v>
      </c>
      <c r="V32" t="s">
        <v>36</v>
      </c>
      <c r="W32">
        <v>4000</v>
      </c>
      <c r="X32" t="s">
        <v>49</v>
      </c>
      <c r="Y32" t="s">
        <v>50</v>
      </c>
      <c r="Z32" t="s">
        <v>51</v>
      </c>
      <c r="AA32" t="s">
        <v>37</v>
      </c>
      <c r="AB32" t="s">
        <v>52</v>
      </c>
      <c r="AC32" t="s">
        <v>53</v>
      </c>
      <c r="AD32" t="s">
        <v>54</v>
      </c>
      <c r="AE32">
        <v>4.4180753180199996</v>
      </c>
      <c r="AF32">
        <v>897</v>
      </c>
      <c r="AG32">
        <v>896.64228550999997</v>
      </c>
      <c r="AH32">
        <v>44181.462456000001</v>
      </c>
      <c r="AI32">
        <v>47</v>
      </c>
      <c r="AJ32">
        <v>37249.598623171398</v>
      </c>
      <c r="AK32" s="1">
        <f>intersection_ss_Lden___surface[[#This Row],[surf m2 bout ss]]/intersection_ss_Lden___surface[[#This Row],[Shape_Area]]</f>
        <v>0.843104699403466</v>
      </c>
      <c r="AL32">
        <v>1</v>
      </c>
      <c r="AM32">
        <f>intersection_ss_Lden___surface[[#This Row],[Population totale 2024 ss]]*intersection_ss_Lden___surface[[#This Row],[Part de la surface du qs dans le noise contour]]</f>
        <v>0.843104699403466</v>
      </c>
    </row>
    <row r="33" spans="1:39" x14ac:dyDescent="0.3">
      <c r="A33">
        <v>63</v>
      </c>
      <c r="B33" t="s">
        <v>114</v>
      </c>
      <c r="C33" t="s">
        <v>115</v>
      </c>
      <c r="D33" t="s">
        <v>116</v>
      </c>
      <c r="E33" t="s">
        <v>116</v>
      </c>
      <c r="F33" t="s">
        <v>117</v>
      </c>
      <c r="G33" t="s">
        <v>42</v>
      </c>
      <c r="H33" t="s">
        <v>43</v>
      </c>
      <c r="I33" t="s">
        <v>44</v>
      </c>
      <c r="J33" t="s">
        <v>36</v>
      </c>
      <c r="K33">
        <v>21001</v>
      </c>
      <c r="L33" t="s">
        <v>45</v>
      </c>
      <c r="M33" t="s">
        <v>45</v>
      </c>
      <c r="N33" t="s">
        <v>45</v>
      </c>
      <c r="O33">
        <v>21000</v>
      </c>
      <c r="P33" t="s">
        <v>46</v>
      </c>
      <c r="Q33" t="s">
        <v>47</v>
      </c>
      <c r="R33" t="s">
        <v>48</v>
      </c>
      <c r="T33" t="s">
        <v>36</v>
      </c>
      <c r="U33" t="s">
        <v>36</v>
      </c>
      <c r="V33" t="s">
        <v>36</v>
      </c>
      <c r="W33">
        <v>4000</v>
      </c>
      <c r="X33" t="s">
        <v>49</v>
      </c>
      <c r="Y33" t="s">
        <v>50</v>
      </c>
      <c r="Z33" t="s">
        <v>51</v>
      </c>
      <c r="AA33" t="s">
        <v>37</v>
      </c>
      <c r="AB33" t="s">
        <v>52</v>
      </c>
      <c r="AC33" t="s">
        <v>53</v>
      </c>
      <c r="AD33" t="s">
        <v>54</v>
      </c>
      <c r="AE33">
        <v>23.399444010500002</v>
      </c>
      <c r="AF33">
        <v>2463</v>
      </c>
      <c r="AG33">
        <v>2462.5689124099999</v>
      </c>
      <c r="AH33">
        <v>233998.18416599999</v>
      </c>
      <c r="AI33">
        <v>45</v>
      </c>
      <c r="AJ33">
        <v>31789.6247506943</v>
      </c>
      <c r="AK33" s="1">
        <f>intersection_ss_Lden___surface[[#This Row],[surf m2 bout ss]]/intersection_ss_Lden___surface[[#This Row],[Shape_Area]]</f>
        <v>0.13585415144992113</v>
      </c>
      <c r="AL33">
        <v>2135</v>
      </c>
      <c r="AM33">
        <f>intersection_ss_Lden___surface[[#This Row],[Population totale 2024 ss]]*intersection_ss_Lden___surface[[#This Row],[Part de la surface du qs dans le noise contour]]</f>
        <v>290.0486133455816</v>
      </c>
    </row>
    <row r="34" spans="1:39" x14ac:dyDescent="0.3">
      <c r="A34">
        <v>64</v>
      </c>
      <c r="B34" t="s">
        <v>118</v>
      </c>
      <c r="C34" t="s">
        <v>119</v>
      </c>
      <c r="D34" t="s">
        <v>119</v>
      </c>
      <c r="E34" t="s">
        <v>119</v>
      </c>
      <c r="F34" t="s">
        <v>117</v>
      </c>
      <c r="G34" t="s">
        <v>42</v>
      </c>
      <c r="H34" t="s">
        <v>43</v>
      </c>
      <c r="I34" t="s">
        <v>44</v>
      </c>
      <c r="J34" t="s">
        <v>36</v>
      </c>
      <c r="K34">
        <v>21001</v>
      </c>
      <c r="L34" t="s">
        <v>45</v>
      </c>
      <c r="M34" t="s">
        <v>45</v>
      </c>
      <c r="N34" t="s">
        <v>45</v>
      </c>
      <c r="O34">
        <v>21000</v>
      </c>
      <c r="P34" t="s">
        <v>46</v>
      </c>
      <c r="Q34" t="s">
        <v>47</v>
      </c>
      <c r="R34" t="s">
        <v>48</v>
      </c>
      <c r="T34" t="s">
        <v>36</v>
      </c>
      <c r="U34" t="s">
        <v>36</v>
      </c>
      <c r="V34" t="s">
        <v>36</v>
      </c>
      <c r="W34">
        <v>4000</v>
      </c>
      <c r="X34" t="s">
        <v>49</v>
      </c>
      <c r="Y34" t="s">
        <v>50</v>
      </c>
      <c r="Z34" t="s">
        <v>51</v>
      </c>
      <c r="AA34" t="s">
        <v>37</v>
      </c>
      <c r="AB34" t="s">
        <v>52</v>
      </c>
      <c r="AC34" t="s">
        <v>53</v>
      </c>
      <c r="AD34" t="s">
        <v>54</v>
      </c>
      <c r="AE34">
        <v>32.6461697883</v>
      </c>
      <c r="AF34">
        <v>2666</v>
      </c>
      <c r="AG34">
        <v>2665.78498769</v>
      </c>
      <c r="AH34">
        <v>326466.94985700003</v>
      </c>
      <c r="AI34">
        <v>45</v>
      </c>
      <c r="AJ34">
        <v>253927.99074067001</v>
      </c>
      <c r="AK34" s="1">
        <f>intersection_ss_Lden___surface[[#This Row],[surf m2 bout ss]]/intersection_ss_Lden___surface[[#This Row],[Shape_Area]]</f>
        <v>0.77780611743974781</v>
      </c>
      <c r="AL34">
        <v>1839</v>
      </c>
      <c r="AM34">
        <f>intersection_ss_Lden___surface[[#This Row],[Population totale 2024 ss]]*intersection_ss_Lden___surface[[#This Row],[Part de la surface du qs dans le noise contour]]</f>
        <v>1430.3854499716963</v>
      </c>
    </row>
    <row r="35" spans="1:39" x14ac:dyDescent="0.3">
      <c r="A35">
        <v>65</v>
      </c>
      <c r="B35" t="s">
        <v>118</v>
      </c>
      <c r="C35" t="s">
        <v>119</v>
      </c>
      <c r="D35" t="s">
        <v>119</v>
      </c>
      <c r="E35" t="s">
        <v>119</v>
      </c>
      <c r="F35" t="s">
        <v>117</v>
      </c>
      <c r="G35" t="s">
        <v>42</v>
      </c>
      <c r="H35" t="s">
        <v>43</v>
      </c>
      <c r="I35" t="s">
        <v>44</v>
      </c>
      <c r="J35" t="s">
        <v>36</v>
      </c>
      <c r="K35">
        <v>21001</v>
      </c>
      <c r="L35" t="s">
        <v>45</v>
      </c>
      <c r="M35" t="s">
        <v>45</v>
      </c>
      <c r="N35" t="s">
        <v>45</v>
      </c>
      <c r="O35">
        <v>21000</v>
      </c>
      <c r="P35" t="s">
        <v>46</v>
      </c>
      <c r="Q35" t="s">
        <v>47</v>
      </c>
      <c r="R35" t="s">
        <v>48</v>
      </c>
      <c r="T35" t="s">
        <v>36</v>
      </c>
      <c r="U35" t="s">
        <v>36</v>
      </c>
      <c r="V35" t="s">
        <v>36</v>
      </c>
      <c r="W35">
        <v>4000</v>
      </c>
      <c r="X35" t="s">
        <v>49</v>
      </c>
      <c r="Y35" t="s">
        <v>50</v>
      </c>
      <c r="Z35" t="s">
        <v>51</v>
      </c>
      <c r="AA35" t="s">
        <v>37</v>
      </c>
      <c r="AB35" t="s">
        <v>52</v>
      </c>
      <c r="AC35" t="s">
        <v>53</v>
      </c>
      <c r="AD35" t="s">
        <v>54</v>
      </c>
      <c r="AE35">
        <v>32.6461697883</v>
      </c>
      <c r="AF35">
        <v>2666</v>
      </c>
      <c r="AG35">
        <v>2665.78498769</v>
      </c>
      <c r="AH35">
        <v>326466.94985700003</v>
      </c>
      <c r="AI35">
        <v>46</v>
      </c>
      <c r="AJ35">
        <v>72571.455902209796</v>
      </c>
      <c r="AK35" s="1">
        <f>intersection_ss_Lden___surface[[#This Row],[surf m2 bout ss]]/intersection_ss_Lden___surface[[#This Row],[Shape_Area]]</f>
        <v>0.22229342337408964</v>
      </c>
      <c r="AL35">
        <v>1839</v>
      </c>
      <c r="AM35">
        <f>intersection_ss_Lden___surface[[#This Row],[Population totale 2024 ss]]*intersection_ss_Lden___surface[[#This Row],[Part de la surface du qs dans le noise contour]]</f>
        <v>408.79760558495087</v>
      </c>
    </row>
    <row r="36" spans="1:39" x14ac:dyDescent="0.3">
      <c r="A36">
        <v>66</v>
      </c>
      <c r="B36" t="s">
        <v>120</v>
      </c>
      <c r="C36" t="s">
        <v>121</v>
      </c>
      <c r="D36" t="s">
        <v>121</v>
      </c>
      <c r="E36" t="s">
        <v>121</v>
      </c>
      <c r="F36" t="s">
        <v>117</v>
      </c>
      <c r="G36" t="s">
        <v>42</v>
      </c>
      <c r="H36" t="s">
        <v>43</v>
      </c>
      <c r="I36" t="s">
        <v>44</v>
      </c>
      <c r="J36" t="s">
        <v>36</v>
      </c>
      <c r="K36">
        <v>21001</v>
      </c>
      <c r="L36" t="s">
        <v>45</v>
      </c>
      <c r="M36" t="s">
        <v>45</v>
      </c>
      <c r="N36" t="s">
        <v>45</v>
      </c>
      <c r="O36">
        <v>21000</v>
      </c>
      <c r="P36" t="s">
        <v>46</v>
      </c>
      <c r="Q36" t="s">
        <v>47</v>
      </c>
      <c r="R36" t="s">
        <v>48</v>
      </c>
      <c r="T36" t="s">
        <v>36</v>
      </c>
      <c r="U36" t="s">
        <v>36</v>
      </c>
      <c r="V36" t="s">
        <v>36</v>
      </c>
      <c r="W36">
        <v>4000</v>
      </c>
      <c r="X36" t="s">
        <v>49</v>
      </c>
      <c r="Y36" t="s">
        <v>50</v>
      </c>
      <c r="Z36" t="s">
        <v>51</v>
      </c>
      <c r="AA36" t="s">
        <v>37</v>
      </c>
      <c r="AB36" t="s">
        <v>52</v>
      </c>
      <c r="AC36" t="s">
        <v>53</v>
      </c>
      <c r="AD36" t="s">
        <v>54</v>
      </c>
      <c r="AE36">
        <v>17.297392185900001</v>
      </c>
      <c r="AF36">
        <v>1771</v>
      </c>
      <c r="AG36">
        <v>1771.26938864</v>
      </c>
      <c r="AH36">
        <v>172976.70237799999</v>
      </c>
      <c r="AI36">
        <v>45</v>
      </c>
      <c r="AJ36">
        <v>160590.39622863699</v>
      </c>
      <c r="AK36" s="1">
        <f>intersection_ss_Lden___surface[[#This Row],[surf m2 bout ss]]/intersection_ss_Lden___surface[[#This Row],[Shape_Area]]</f>
        <v>0.92839321146095366</v>
      </c>
      <c r="AL36">
        <v>2573</v>
      </c>
      <c r="AM36">
        <f>intersection_ss_Lden___surface[[#This Row],[Population totale 2024 ss]]*intersection_ss_Lden___surface[[#This Row],[Part de la surface du qs dans le noise contour]]</f>
        <v>2388.7557330890336</v>
      </c>
    </row>
    <row r="37" spans="1:39" x14ac:dyDescent="0.3">
      <c r="A37">
        <v>67</v>
      </c>
      <c r="B37" t="s">
        <v>120</v>
      </c>
      <c r="C37" t="s">
        <v>121</v>
      </c>
      <c r="D37" t="s">
        <v>121</v>
      </c>
      <c r="E37" t="s">
        <v>121</v>
      </c>
      <c r="F37" t="s">
        <v>117</v>
      </c>
      <c r="G37" t="s">
        <v>42</v>
      </c>
      <c r="H37" t="s">
        <v>43</v>
      </c>
      <c r="I37" t="s">
        <v>44</v>
      </c>
      <c r="J37" t="s">
        <v>36</v>
      </c>
      <c r="K37">
        <v>21001</v>
      </c>
      <c r="L37" t="s">
        <v>45</v>
      </c>
      <c r="M37" t="s">
        <v>45</v>
      </c>
      <c r="N37" t="s">
        <v>45</v>
      </c>
      <c r="O37">
        <v>21000</v>
      </c>
      <c r="P37" t="s">
        <v>46</v>
      </c>
      <c r="Q37" t="s">
        <v>47</v>
      </c>
      <c r="R37" t="s">
        <v>48</v>
      </c>
      <c r="T37" t="s">
        <v>36</v>
      </c>
      <c r="U37" t="s">
        <v>36</v>
      </c>
      <c r="V37" t="s">
        <v>36</v>
      </c>
      <c r="W37">
        <v>4000</v>
      </c>
      <c r="X37" t="s">
        <v>49</v>
      </c>
      <c r="Y37" t="s">
        <v>50</v>
      </c>
      <c r="Z37" t="s">
        <v>51</v>
      </c>
      <c r="AA37" t="s">
        <v>37</v>
      </c>
      <c r="AB37" t="s">
        <v>52</v>
      </c>
      <c r="AC37" t="s">
        <v>53</v>
      </c>
      <c r="AD37" t="s">
        <v>54</v>
      </c>
      <c r="AE37">
        <v>17.297392185900001</v>
      </c>
      <c r="AF37">
        <v>1771</v>
      </c>
      <c r="AG37">
        <v>1771.26938864</v>
      </c>
      <c r="AH37">
        <v>172976.70237799999</v>
      </c>
      <c r="AI37">
        <v>46</v>
      </c>
      <c r="AJ37">
        <v>12345.5965137519</v>
      </c>
      <c r="AK37" s="1">
        <f>intersection_ss_Lden___surface[[#This Row],[surf m2 bout ss]]/intersection_ss_Lden___surface[[#This Row],[Shape_Area]]</f>
        <v>7.1371441032408486E-2</v>
      </c>
      <c r="AL37">
        <v>2573</v>
      </c>
      <c r="AM37">
        <f>intersection_ss_Lden___surface[[#This Row],[Population totale 2024 ss]]*intersection_ss_Lden___surface[[#This Row],[Part de la surface du qs dans le noise contour]]</f>
        <v>183.63871777638704</v>
      </c>
    </row>
    <row r="38" spans="1:39" x14ac:dyDescent="0.3">
      <c r="A38">
        <v>68</v>
      </c>
      <c r="B38" t="s">
        <v>122</v>
      </c>
      <c r="C38" t="s">
        <v>123</v>
      </c>
      <c r="D38" t="s">
        <v>124</v>
      </c>
      <c r="E38" t="s">
        <v>124</v>
      </c>
      <c r="F38" t="s">
        <v>117</v>
      </c>
      <c r="G38" t="s">
        <v>42</v>
      </c>
      <c r="H38" t="s">
        <v>43</v>
      </c>
      <c r="I38" t="s">
        <v>44</v>
      </c>
      <c r="J38" t="s">
        <v>36</v>
      </c>
      <c r="K38">
        <v>21001</v>
      </c>
      <c r="L38" t="s">
        <v>45</v>
      </c>
      <c r="M38" t="s">
        <v>45</v>
      </c>
      <c r="N38" t="s">
        <v>45</v>
      </c>
      <c r="O38">
        <v>21000</v>
      </c>
      <c r="P38" t="s">
        <v>46</v>
      </c>
      <c r="Q38" t="s">
        <v>47</v>
      </c>
      <c r="R38" t="s">
        <v>48</v>
      </c>
      <c r="T38" t="s">
        <v>36</v>
      </c>
      <c r="U38" t="s">
        <v>36</v>
      </c>
      <c r="V38" t="s">
        <v>36</v>
      </c>
      <c r="W38">
        <v>4000</v>
      </c>
      <c r="X38" t="s">
        <v>49</v>
      </c>
      <c r="Y38" t="s">
        <v>50</v>
      </c>
      <c r="Z38" t="s">
        <v>51</v>
      </c>
      <c r="AA38" t="s">
        <v>37</v>
      </c>
      <c r="AB38" t="s">
        <v>52</v>
      </c>
      <c r="AC38" t="s">
        <v>53</v>
      </c>
      <c r="AD38" t="s">
        <v>54</v>
      </c>
      <c r="AE38">
        <v>11.764097033400001</v>
      </c>
      <c r="AF38">
        <v>1736</v>
      </c>
      <c r="AG38">
        <v>1736.2143763399999</v>
      </c>
      <c r="AH38">
        <v>117642.85967400001</v>
      </c>
      <c r="AI38">
        <v>45</v>
      </c>
      <c r="AJ38">
        <v>4939.7493162509099</v>
      </c>
      <c r="AK38" s="1">
        <f>intersection_ss_Lden___surface[[#This Row],[surf m2 bout ss]]/intersection_ss_Lden___surface[[#This Row],[Shape_Area]]</f>
        <v>4.1989367905025804E-2</v>
      </c>
      <c r="AL38">
        <v>1325</v>
      </c>
      <c r="AM38">
        <f>intersection_ss_Lden___surface[[#This Row],[Population totale 2024 ss]]*intersection_ss_Lden___surface[[#This Row],[Part de la surface du qs dans le noise contour]]</f>
        <v>55.635912474159191</v>
      </c>
    </row>
    <row r="39" spans="1:39" x14ac:dyDescent="0.3">
      <c r="A39">
        <v>69</v>
      </c>
      <c r="B39" t="s">
        <v>122</v>
      </c>
      <c r="C39" t="s">
        <v>123</v>
      </c>
      <c r="D39" t="s">
        <v>124</v>
      </c>
      <c r="E39" t="s">
        <v>124</v>
      </c>
      <c r="F39" t="s">
        <v>117</v>
      </c>
      <c r="G39" t="s">
        <v>42</v>
      </c>
      <c r="H39" t="s">
        <v>43</v>
      </c>
      <c r="I39" t="s">
        <v>44</v>
      </c>
      <c r="J39" t="s">
        <v>36</v>
      </c>
      <c r="K39">
        <v>21001</v>
      </c>
      <c r="L39" t="s">
        <v>45</v>
      </c>
      <c r="M39" t="s">
        <v>45</v>
      </c>
      <c r="N39" t="s">
        <v>45</v>
      </c>
      <c r="O39">
        <v>21000</v>
      </c>
      <c r="P39" t="s">
        <v>46</v>
      </c>
      <c r="Q39" t="s">
        <v>47</v>
      </c>
      <c r="R39" t="s">
        <v>48</v>
      </c>
      <c r="T39" t="s">
        <v>36</v>
      </c>
      <c r="U39" t="s">
        <v>36</v>
      </c>
      <c r="V39" t="s">
        <v>36</v>
      </c>
      <c r="W39">
        <v>4000</v>
      </c>
      <c r="X39" t="s">
        <v>49</v>
      </c>
      <c r="Y39" t="s">
        <v>50</v>
      </c>
      <c r="Z39" t="s">
        <v>51</v>
      </c>
      <c r="AA39" t="s">
        <v>37</v>
      </c>
      <c r="AB39" t="s">
        <v>52</v>
      </c>
      <c r="AC39" t="s">
        <v>53</v>
      </c>
      <c r="AD39" t="s">
        <v>54</v>
      </c>
      <c r="AE39">
        <v>11.764097033400001</v>
      </c>
      <c r="AF39">
        <v>1736</v>
      </c>
      <c r="AG39">
        <v>1736.2143763399999</v>
      </c>
      <c r="AH39">
        <v>117642.85967400001</v>
      </c>
      <c r="AI39">
        <v>46</v>
      </c>
      <c r="AJ39">
        <v>112714.75132783101</v>
      </c>
      <c r="AK39" s="1">
        <f>intersection_ss_Lden___surface[[#This Row],[surf m2 bout ss]]/intersection_ss_Lden___surface[[#This Row],[Shape_Area]]</f>
        <v>0.95810958387253353</v>
      </c>
      <c r="AL39">
        <v>1325</v>
      </c>
      <c r="AM39">
        <f>intersection_ss_Lden___surface[[#This Row],[Population totale 2024 ss]]*intersection_ss_Lden___surface[[#This Row],[Part de la surface du qs dans le noise contour]]</f>
        <v>1269.4951986311069</v>
      </c>
    </row>
    <row r="40" spans="1:39" x14ac:dyDescent="0.3">
      <c r="A40">
        <v>70</v>
      </c>
      <c r="B40" t="s">
        <v>125</v>
      </c>
      <c r="C40" t="s">
        <v>126</v>
      </c>
      <c r="D40" t="s">
        <v>126</v>
      </c>
      <c r="E40" t="s">
        <v>126</v>
      </c>
      <c r="F40" t="s">
        <v>117</v>
      </c>
      <c r="G40" t="s">
        <v>42</v>
      </c>
      <c r="H40" t="s">
        <v>43</v>
      </c>
      <c r="I40" t="s">
        <v>44</v>
      </c>
      <c r="J40" t="s">
        <v>36</v>
      </c>
      <c r="K40">
        <v>21001</v>
      </c>
      <c r="L40" t="s">
        <v>45</v>
      </c>
      <c r="M40" t="s">
        <v>45</v>
      </c>
      <c r="N40" t="s">
        <v>45</v>
      </c>
      <c r="O40">
        <v>21000</v>
      </c>
      <c r="P40" t="s">
        <v>46</v>
      </c>
      <c r="Q40" t="s">
        <v>47</v>
      </c>
      <c r="R40" t="s">
        <v>48</v>
      </c>
      <c r="T40" t="s">
        <v>36</v>
      </c>
      <c r="U40" t="s">
        <v>36</v>
      </c>
      <c r="V40" t="s">
        <v>36</v>
      </c>
      <c r="W40">
        <v>4000</v>
      </c>
      <c r="X40" t="s">
        <v>49</v>
      </c>
      <c r="Y40" t="s">
        <v>50</v>
      </c>
      <c r="Z40" t="s">
        <v>51</v>
      </c>
      <c r="AA40" t="s">
        <v>37</v>
      </c>
      <c r="AB40" t="s">
        <v>52</v>
      </c>
      <c r="AC40" t="s">
        <v>53</v>
      </c>
      <c r="AD40" t="s">
        <v>54</v>
      </c>
      <c r="AE40">
        <v>8.2652871929299998</v>
      </c>
      <c r="AF40">
        <v>1698</v>
      </c>
      <c r="AG40">
        <v>1697.73954052</v>
      </c>
      <c r="AH40">
        <v>82654.196997999999</v>
      </c>
      <c r="AI40">
        <v>46</v>
      </c>
      <c r="AJ40">
        <v>82662.331273597694</v>
      </c>
      <c r="AK40" s="1">
        <f>intersection_ss_Lden___surface[[#This Row],[surf m2 bout ss]]/intersection_ss_Lden___surface[[#This Row],[Shape_Area]]</f>
        <v>1.0000984133400739</v>
      </c>
      <c r="AL40">
        <v>754</v>
      </c>
      <c r="AM40">
        <f>intersection_ss_Lden___surface[[#This Row],[Population totale 2024 ss]]*intersection_ss_Lden___surface[[#This Row],[Part de la surface du qs dans le noise contour]]</f>
        <v>754.07420365841574</v>
      </c>
    </row>
    <row r="41" spans="1:39" x14ac:dyDescent="0.3">
      <c r="A41">
        <v>71</v>
      </c>
      <c r="B41" t="s">
        <v>127</v>
      </c>
      <c r="C41" t="s">
        <v>128</v>
      </c>
      <c r="D41" t="s">
        <v>128</v>
      </c>
      <c r="E41" t="s">
        <v>128</v>
      </c>
      <c r="F41" t="s">
        <v>129</v>
      </c>
      <c r="G41" t="s">
        <v>42</v>
      </c>
      <c r="H41" t="s">
        <v>43</v>
      </c>
      <c r="I41" t="s">
        <v>44</v>
      </c>
      <c r="J41" t="s">
        <v>36</v>
      </c>
      <c r="K41">
        <v>21001</v>
      </c>
      <c r="L41" t="s">
        <v>45</v>
      </c>
      <c r="M41" t="s">
        <v>45</v>
      </c>
      <c r="N41" t="s">
        <v>45</v>
      </c>
      <c r="O41">
        <v>21000</v>
      </c>
      <c r="P41" t="s">
        <v>46</v>
      </c>
      <c r="Q41" t="s">
        <v>47</v>
      </c>
      <c r="R41" t="s">
        <v>48</v>
      </c>
      <c r="T41" t="s">
        <v>36</v>
      </c>
      <c r="U41" t="s">
        <v>36</v>
      </c>
      <c r="V41" t="s">
        <v>36</v>
      </c>
      <c r="W41">
        <v>4000</v>
      </c>
      <c r="X41" t="s">
        <v>49</v>
      </c>
      <c r="Y41" t="s">
        <v>50</v>
      </c>
      <c r="Z41" t="s">
        <v>51</v>
      </c>
      <c r="AA41" t="s">
        <v>37</v>
      </c>
      <c r="AB41" t="s">
        <v>52</v>
      </c>
      <c r="AC41" t="s">
        <v>53</v>
      </c>
      <c r="AD41" t="s">
        <v>54</v>
      </c>
      <c r="AE41">
        <v>16.311152780899999</v>
      </c>
      <c r="AF41">
        <v>1749</v>
      </c>
      <c r="AG41">
        <v>1749.06167695</v>
      </c>
      <c r="AH41">
        <v>163114.161762</v>
      </c>
      <c r="AI41">
        <v>46</v>
      </c>
      <c r="AJ41">
        <v>152745.58730565</v>
      </c>
      <c r="AK41" s="1">
        <f>intersection_ss_Lden___surface[[#This Row],[surf m2 bout ss]]/intersection_ss_Lden___surface[[#This Row],[Shape_Area]]</f>
        <v>0.93643363430651227</v>
      </c>
      <c r="AL41">
        <v>2457</v>
      </c>
      <c r="AM41">
        <f>intersection_ss_Lden___surface[[#This Row],[Population totale 2024 ss]]*intersection_ss_Lden___surface[[#This Row],[Part de la surface du qs dans le noise contour]]</f>
        <v>2300.8174394911007</v>
      </c>
    </row>
    <row r="42" spans="1:39" x14ac:dyDescent="0.3">
      <c r="A42">
        <v>72</v>
      </c>
      <c r="B42" t="s">
        <v>127</v>
      </c>
      <c r="C42" t="s">
        <v>128</v>
      </c>
      <c r="D42" t="s">
        <v>128</v>
      </c>
      <c r="E42" t="s">
        <v>128</v>
      </c>
      <c r="F42" t="s">
        <v>129</v>
      </c>
      <c r="G42" t="s">
        <v>42</v>
      </c>
      <c r="H42" t="s">
        <v>43</v>
      </c>
      <c r="I42" t="s">
        <v>44</v>
      </c>
      <c r="J42" t="s">
        <v>36</v>
      </c>
      <c r="K42">
        <v>21001</v>
      </c>
      <c r="L42" t="s">
        <v>45</v>
      </c>
      <c r="M42" t="s">
        <v>45</v>
      </c>
      <c r="N42" t="s">
        <v>45</v>
      </c>
      <c r="O42">
        <v>21000</v>
      </c>
      <c r="P42" t="s">
        <v>46</v>
      </c>
      <c r="Q42" t="s">
        <v>47</v>
      </c>
      <c r="R42" t="s">
        <v>48</v>
      </c>
      <c r="T42" t="s">
        <v>36</v>
      </c>
      <c r="U42" t="s">
        <v>36</v>
      </c>
      <c r="V42" t="s">
        <v>36</v>
      </c>
      <c r="W42">
        <v>4000</v>
      </c>
      <c r="X42" t="s">
        <v>49</v>
      </c>
      <c r="Y42" t="s">
        <v>50</v>
      </c>
      <c r="Z42" t="s">
        <v>51</v>
      </c>
      <c r="AA42" t="s">
        <v>37</v>
      </c>
      <c r="AB42" t="s">
        <v>52</v>
      </c>
      <c r="AC42" t="s">
        <v>53</v>
      </c>
      <c r="AD42" t="s">
        <v>54</v>
      </c>
      <c r="AE42">
        <v>16.311152780899999</v>
      </c>
      <c r="AF42">
        <v>1749</v>
      </c>
      <c r="AG42">
        <v>1749.06167695</v>
      </c>
      <c r="AH42">
        <v>163114.161762</v>
      </c>
      <c r="AI42">
        <v>47</v>
      </c>
      <c r="AJ42">
        <v>10384.701817924601</v>
      </c>
      <c r="AK42" s="1">
        <f>intersection_ss_Lden___surface[[#This Row],[surf m2 bout ss]]/intersection_ss_Lden___surface[[#This Row],[Shape_Area]]</f>
        <v>6.3665237314445608E-2</v>
      </c>
      <c r="AL42">
        <v>2457</v>
      </c>
      <c r="AM42">
        <f>intersection_ss_Lden___surface[[#This Row],[Population totale 2024 ss]]*intersection_ss_Lden___surface[[#This Row],[Part de la surface du qs dans le noise contour]]</f>
        <v>156.42548808159285</v>
      </c>
    </row>
    <row r="43" spans="1:39" x14ac:dyDescent="0.3">
      <c r="A43">
        <v>73</v>
      </c>
      <c r="B43" t="s">
        <v>130</v>
      </c>
      <c r="C43" t="s">
        <v>131</v>
      </c>
      <c r="D43" t="s">
        <v>132</v>
      </c>
      <c r="E43" t="s">
        <v>132</v>
      </c>
      <c r="F43" t="s">
        <v>129</v>
      </c>
      <c r="G43" t="s">
        <v>42</v>
      </c>
      <c r="H43" t="s">
        <v>43</v>
      </c>
      <c r="I43" t="s">
        <v>44</v>
      </c>
      <c r="J43" t="s">
        <v>36</v>
      </c>
      <c r="K43">
        <v>21001</v>
      </c>
      <c r="L43" t="s">
        <v>45</v>
      </c>
      <c r="M43" t="s">
        <v>45</v>
      </c>
      <c r="N43" t="s">
        <v>45</v>
      </c>
      <c r="O43">
        <v>21000</v>
      </c>
      <c r="P43" t="s">
        <v>46</v>
      </c>
      <c r="Q43" t="s">
        <v>47</v>
      </c>
      <c r="R43" t="s">
        <v>48</v>
      </c>
      <c r="T43" t="s">
        <v>36</v>
      </c>
      <c r="U43" t="s">
        <v>36</v>
      </c>
      <c r="V43" t="s">
        <v>36</v>
      </c>
      <c r="W43">
        <v>4000</v>
      </c>
      <c r="X43" t="s">
        <v>49</v>
      </c>
      <c r="Y43" t="s">
        <v>50</v>
      </c>
      <c r="Z43" t="s">
        <v>51</v>
      </c>
      <c r="AA43" t="s">
        <v>37</v>
      </c>
      <c r="AB43" t="s">
        <v>52</v>
      </c>
      <c r="AC43" t="s">
        <v>53</v>
      </c>
      <c r="AD43" t="s">
        <v>54</v>
      </c>
      <c r="AE43">
        <v>13.8782574316</v>
      </c>
      <c r="AF43">
        <v>2241</v>
      </c>
      <c r="AG43">
        <v>2241.4139348499998</v>
      </c>
      <c r="AH43">
        <v>138784.79248</v>
      </c>
      <c r="AI43">
        <v>46</v>
      </c>
      <c r="AJ43">
        <v>82549.539247542605</v>
      </c>
      <c r="AK43" s="1">
        <f>intersection_ss_Lden___surface[[#This Row],[surf m2 bout ss]]/intersection_ss_Lden___surface[[#This Row],[Shape_Area]]</f>
        <v>0.59480248356057208</v>
      </c>
      <c r="AL43">
        <v>2318</v>
      </c>
      <c r="AM43">
        <f>intersection_ss_Lden___surface[[#This Row],[Population totale 2024 ss]]*intersection_ss_Lden___surface[[#This Row],[Part de la surface du qs dans le noise contour]]</f>
        <v>1378.752156893406</v>
      </c>
    </row>
    <row r="44" spans="1:39" x14ac:dyDescent="0.3">
      <c r="A44">
        <v>74</v>
      </c>
      <c r="B44" t="s">
        <v>130</v>
      </c>
      <c r="C44" t="s">
        <v>131</v>
      </c>
      <c r="D44" t="s">
        <v>132</v>
      </c>
      <c r="E44" t="s">
        <v>132</v>
      </c>
      <c r="F44" t="s">
        <v>129</v>
      </c>
      <c r="G44" t="s">
        <v>42</v>
      </c>
      <c r="H44" t="s">
        <v>43</v>
      </c>
      <c r="I44" t="s">
        <v>44</v>
      </c>
      <c r="J44" t="s">
        <v>36</v>
      </c>
      <c r="K44">
        <v>21001</v>
      </c>
      <c r="L44" t="s">
        <v>45</v>
      </c>
      <c r="M44" t="s">
        <v>45</v>
      </c>
      <c r="N44" t="s">
        <v>45</v>
      </c>
      <c r="O44">
        <v>21000</v>
      </c>
      <c r="P44" t="s">
        <v>46</v>
      </c>
      <c r="Q44" t="s">
        <v>47</v>
      </c>
      <c r="R44" t="s">
        <v>48</v>
      </c>
      <c r="T44" t="s">
        <v>36</v>
      </c>
      <c r="U44" t="s">
        <v>36</v>
      </c>
      <c r="V44" t="s">
        <v>36</v>
      </c>
      <c r="W44">
        <v>4000</v>
      </c>
      <c r="X44" t="s">
        <v>49</v>
      </c>
      <c r="Y44" t="s">
        <v>50</v>
      </c>
      <c r="Z44" t="s">
        <v>51</v>
      </c>
      <c r="AA44" t="s">
        <v>37</v>
      </c>
      <c r="AB44" t="s">
        <v>52</v>
      </c>
      <c r="AC44" t="s">
        <v>53</v>
      </c>
      <c r="AD44" t="s">
        <v>54</v>
      </c>
      <c r="AE44">
        <v>13.8782574316</v>
      </c>
      <c r="AF44">
        <v>2241</v>
      </c>
      <c r="AG44">
        <v>2241.4139348499998</v>
      </c>
      <c r="AH44">
        <v>138784.79248</v>
      </c>
      <c r="AI44">
        <v>47</v>
      </c>
      <c r="AJ44">
        <v>56248.971280178099</v>
      </c>
      <c r="AK44" s="1">
        <f>intersection_ss_Lden___surface[[#This Row],[surf m2 bout ss]]/intersection_ss_Lden___surface[[#This Row],[Shape_Area]]</f>
        <v>0.40529636046603612</v>
      </c>
      <c r="AL44">
        <v>2318</v>
      </c>
      <c r="AM44">
        <f>intersection_ss_Lden___surface[[#This Row],[Population totale 2024 ss]]*intersection_ss_Lden___surface[[#This Row],[Part de la surface du qs dans le noise contour]]</f>
        <v>939.47696356027177</v>
      </c>
    </row>
    <row r="45" spans="1:39" x14ac:dyDescent="0.3">
      <c r="A45">
        <v>75</v>
      </c>
      <c r="B45" t="s">
        <v>133</v>
      </c>
      <c r="C45" t="s">
        <v>134</v>
      </c>
      <c r="D45" t="s">
        <v>134</v>
      </c>
      <c r="E45" t="s">
        <v>134</v>
      </c>
      <c r="F45" t="s">
        <v>129</v>
      </c>
      <c r="G45" t="s">
        <v>42</v>
      </c>
      <c r="H45" t="s">
        <v>43</v>
      </c>
      <c r="I45" t="s">
        <v>44</v>
      </c>
      <c r="J45" t="s">
        <v>36</v>
      </c>
      <c r="K45">
        <v>21001</v>
      </c>
      <c r="L45" t="s">
        <v>45</v>
      </c>
      <c r="M45" t="s">
        <v>45</v>
      </c>
      <c r="N45" t="s">
        <v>45</v>
      </c>
      <c r="O45">
        <v>21000</v>
      </c>
      <c r="P45" t="s">
        <v>46</v>
      </c>
      <c r="Q45" t="s">
        <v>47</v>
      </c>
      <c r="R45" t="s">
        <v>48</v>
      </c>
      <c r="T45" t="s">
        <v>36</v>
      </c>
      <c r="U45" t="s">
        <v>36</v>
      </c>
      <c r="V45" t="s">
        <v>36</v>
      </c>
      <c r="W45">
        <v>4000</v>
      </c>
      <c r="X45" t="s">
        <v>49</v>
      </c>
      <c r="Y45" t="s">
        <v>50</v>
      </c>
      <c r="Z45" t="s">
        <v>51</v>
      </c>
      <c r="AA45" t="s">
        <v>37</v>
      </c>
      <c r="AB45" t="s">
        <v>52</v>
      </c>
      <c r="AC45" t="s">
        <v>53</v>
      </c>
      <c r="AD45" t="s">
        <v>54</v>
      </c>
      <c r="AE45">
        <v>21.014029114500001</v>
      </c>
      <c r="AF45">
        <v>2156</v>
      </c>
      <c r="AG45">
        <v>2156.0337532600001</v>
      </c>
      <c r="AH45">
        <v>210143.680226</v>
      </c>
      <c r="AI45">
        <v>45</v>
      </c>
      <c r="AJ45">
        <v>69810.836282470307</v>
      </c>
      <c r="AK45" s="1">
        <f>intersection_ss_Lden___surface[[#This Row],[surf m2 bout ss]]/intersection_ss_Lden___surface[[#This Row],[Shape_Area]]</f>
        <v>0.33220526169234266</v>
      </c>
      <c r="AL45">
        <v>3678</v>
      </c>
      <c r="AM45">
        <f>intersection_ss_Lden___surface[[#This Row],[Population totale 2024 ss]]*intersection_ss_Lden___surface[[#This Row],[Part de la surface du qs dans le noise contour]]</f>
        <v>1221.8509525044362</v>
      </c>
    </row>
    <row r="46" spans="1:39" x14ac:dyDescent="0.3">
      <c r="A46">
        <v>76</v>
      </c>
      <c r="B46" t="s">
        <v>133</v>
      </c>
      <c r="C46" t="s">
        <v>134</v>
      </c>
      <c r="D46" t="s">
        <v>134</v>
      </c>
      <c r="E46" t="s">
        <v>134</v>
      </c>
      <c r="F46" t="s">
        <v>129</v>
      </c>
      <c r="G46" t="s">
        <v>42</v>
      </c>
      <c r="H46" t="s">
        <v>43</v>
      </c>
      <c r="I46" t="s">
        <v>44</v>
      </c>
      <c r="J46" t="s">
        <v>36</v>
      </c>
      <c r="K46">
        <v>21001</v>
      </c>
      <c r="L46" t="s">
        <v>45</v>
      </c>
      <c r="M46" t="s">
        <v>45</v>
      </c>
      <c r="N46" t="s">
        <v>45</v>
      </c>
      <c r="O46">
        <v>21000</v>
      </c>
      <c r="P46" t="s">
        <v>46</v>
      </c>
      <c r="Q46" t="s">
        <v>47</v>
      </c>
      <c r="R46" t="s">
        <v>48</v>
      </c>
      <c r="T46" t="s">
        <v>36</v>
      </c>
      <c r="U46" t="s">
        <v>36</v>
      </c>
      <c r="V46" t="s">
        <v>36</v>
      </c>
      <c r="W46">
        <v>4000</v>
      </c>
      <c r="X46" t="s">
        <v>49</v>
      </c>
      <c r="Y46" t="s">
        <v>50</v>
      </c>
      <c r="Z46" t="s">
        <v>51</v>
      </c>
      <c r="AA46" t="s">
        <v>37</v>
      </c>
      <c r="AB46" t="s">
        <v>52</v>
      </c>
      <c r="AC46" t="s">
        <v>53</v>
      </c>
      <c r="AD46" t="s">
        <v>54</v>
      </c>
      <c r="AE46">
        <v>21.014029114500001</v>
      </c>
      <c r="AF46">
        <v>2156</v>
      </c>
      <c r="AG46">
        <v>2156.0337532600001</v>
      </c>
      <c r="AH46">
        <v>210143.680226</v>
      </c>
      <c r="AI46">
        <v>46</v>
      </c>
      <c r="AJ46">
        <v>140353.77405008499</v>
      </c>
      <c r="AK46" s="1">
        <f>intersection_ss_Lden___surface[[#This Row],[surf m2 bout ss]]/intersection_ss_Lden___surface[[#This Row],[Shape_Area]]</f>
        <v>0.66789433733691572</v>
      </c>
      <c r="AL46">
        <v>3678</v>
      </c>
      <c r="AM46">
        <f>intersection_ss_Lden___surface[[#This Row],[Population totale 2024 ss]]*intersection_ss_Lden___surface[[#This Row],[Part de la surface du qs dans le noise contour]]</f>
        <v>2456.5153727251759</v>
      </c>
    </row>
    <row r="47" spans="1:39" x14ac:dyDescent="0.3">
      <c r="A47">
        <v>77</v>
      </c>
      <c r="B47" t="s">
        <v>135</v>
      </c>
      <c r="C47" t="s">
        <v>136</v>
      </c>
      <c r="D47" t="s">
        <v>137</v>
      </c>
      <c r="E47" t="s">
        <v>137</v>
      </c>
      <c r="F47" t="s">
        <v>129</v>
      </c>
      <c r="G47" t="s">
        <v>42</v>
      </c>
      <c r="H47" t="s">
        <v>43</v>
      </c>
      <c r="I47" t="s">
        <v>44</v>
      </c>
      <c r="J47" t="s">
        <v>36</v>
      </c>
      <c r="K47">
        <v>21001</v>
      </c>
      <c r="L47" t="s">
        <v>45</v>
      </c>
      <c r="M47" t="s">
        <v>45</v>
      </c>
      <c r="N47" t="s">
        <v>45</v>
      </c>
      <c r="O47">
        <v>21000</v>
      </c>
      <c r="P47" t="s">
        <v>46</v>
      </c>
      <c r="Q47" t="s">
        <v>47</v>
      </c>
      <c r="R47" t="s">
        <v>48</v>
      </c>
      <c r="T47" t="s">
        <v>36</v>
      </c>
      <c r="U47" t="s">
        <v>36</v>
      </c>
      <c r="V47" t="s">
        <v>36</v>
      </c>
      <c r="W47">
        <v>4000</v>
      </c>
      <c r="X47" t="s">
        <v>49</v>
      </c>
      <c r="Y47" t="s">
        <v>50</v>
      </c>
      <c r="Z47" t="s">
        <v>51</v>
      </c>
      <c r="AA47" t="s">
        <v>37</v>
      </c>
      <c r="AB47" t="s">
        <v>52</v>
      </c>
      <c r="AC47" t="s">
        <v>53</v>
      </c>
      <c r="AD47" t="s">
        <v>54</v>
      </c>
      <c r="AE47">
        <v>15.085373300700001</v>
      </c>
      <c r="AF47">
        <v>1815</v>
      </c>
      <c r="AG47">
        <v>1814.66661662</v>
      </c>
      <c r="AH47">
        <v>150856.16618999999</v>
      </c>
      <c r="AI47">
        <v>46</v>
      </c>
      <c r="AJ47">
        <v>150871.16959519099</v>
      </c>
      <c r="AK47" s="1">
        <f>intersection_ss_Lden___surface[[#This Row],[surf m2 bout ss]]/intersection_ss_Lden___surface[[#This Row],[Shape_Area]]</f>
        <v>1.0000994550343545</v>
      </c>
      <c r="AL47">
        <v>1990</v>
      </c>
      <c r="AM47">
        <f>intersection_ss_Lden___surface[[#This Row],[Population totale 2024 ss]]*intersection_ss_Lden___surface[[#This Row],[Part de la surface du qs dans le noise contour]]</f>
        <v>1990.1979155183653</v>
      </c>
    </row>
    <row r="48" spans="1:39" x14ac:dyDescent="0.3">
      <c r="A48">
        <v>78</v>
      </c>
      <c r="B48" t="s">
        <v>138</v>
      </c>
      <c r="C48" t="s">
        <v>139</v>
      </c>
      <c r="D48" t="s">
        <v>140</v>
      </c>
      <c r="E48" t="s">
        <v>140</v>
      </c>
      <c r="F48" t="s">
        <v>129</v>
      </c>
      <c r="G48" t="s">
        <v>42</v>
      </c>
      <c r="H48" t="s">
        <v>43</v>
      </c>
      <c r="I48" t="s">
        <v>44</v>
      </c>
      <c r="J48" t="s">
        <v>36</v>
      </c>
      <c r="K48">
        <v>21001</v>
      </c>
      <c r="L48" t="s">
        <v>45</v>
      </c>
      <c r="M48" t="s">
        <v>45</v>
      </c>
      <c r="N48" t="s">
        <v>45</v>
      </c>
      <c r="O48">
        <v>21000</v>
      </c>
      <c r="P48" t="s">
        <v>46</v>
      </c>
      <c r="Q48" t="s">
        <v>47</v>
      </c>
      <c r="R48" t="s">
        <v>48</v>
      </c>
      <c r="T48" t="s">
        <v>36</v>
      </c>
      <c r="U48" t="s">
        <v>36</v>
      </c>
      <c r="V48" t="s">
        <v>36</v>
      </c>
      <c r="W48">
        <v>4000</v>
      </c>
      <c r="X48" t="s">
        <v>49</v>
      </c>
      <c r="Y48" t="s">
        <v>50</v>
      </c>
      <c r="Z48" t="s">
        <v>51</v>
      </c>
      <c r="AA48" t="s">
        <v>37</v>
      </c>
      <c r="AB48" t="s">
        <v>52</v>
      </c>
      <c r="AC48" t="s">
        <v>53</v>
      </c>
      <c r="AD48" t="s">
        <v>54</v>
      </c>
      <c r="AE48">
        <v>13.2823088089</v>
      </c>
      <c r="AF48">
        <v>1797</v>
      </c>
      <c r="AG48">
        <v>1796.98064944</v>
      </c>
      <c r="AH48">
        <v>132825.222614</v>
      </c>
      <c r="AI48">
        <v>45</v>
      </c>
      <c r="AJ48">
        <v>132838.50267801399</v>
      </c>
      <c r="AK48" s="1">
        <f>intersection_ss_Lden___surface[[#This Row],[surf m2 bout ss]]/intersection_ss_Lden___surface[[#This Row],[Shape_Area]]</f>
        <v>1.0000999814926159</v>
      </c>
      <c r="AL48">
        <v>2277</v>
      </c>
      <c r="AM48">
        <f>intersection_ss_Lden___surface[[#This Row],[Population totale 2024 ss]]*intersection_ss_Lden___surface[[#This Row],[Part de la surface du qs dans le noise contour]]</f>
        <v>2277.2276578586866</v>
      </c>
    </row>
    <row r="49" spans="1:39" x14ac:dyDescent="0.3">
      <c r="A49">
        <v>79</v>
      </c>
      <c r="B49" t="s">
        <v>141</v>
      </c>
      <c r="C49" t="s">
        <v>142</v>
      </c>
      <c r="D49" t="s">
        <v>142</v>
      </c>
      <c r="E49" t="s">
        <v>142</v>
      </c>
      <c r="F49" t="s">
        <v>129</v>
      </c>
      <c r="G49" t="s">
        <v>42</v>
      </c>
      <c r="H49" t="s">
        <v>43</v>
      </c>
      <c r="I49" t="s">
        <v>44</v>
      </c>
      <c r="J49" t="s">
        <v>36</v>
      </c>
      <c r="K49">
        <v>21001</v>
      </c>
      <c r="L49" t="s">
        <v>45</v>
      </c>
      <c r="M49" t="s">
        <v>45</v>
      </c>
      <c r="N49" t="s">
        <v>45</v>
      </c>
      <c r="O49">
        <v>21000</v>
      </c>
      <c r="P49" t="s">
        <v>46</v>
      </c>
      <c r="Q49" t="s">
        <v>47</v>
      </c>
      <c r="R49" t="s">
        <v>48</v>
      </c>
      <c r="T49" t="s">
        <v>36</v>
      </c>
      <c r="U49" t="s">
        <v>36</v>
      </c>
      <c r="V49" t="s">
        <v>36</v>
      </c>
      <c r="W49">
        <v>4000</v>
      </c>
      <c r="X49" t="s">
        <v>49</v>
      </c>
      <c r="Y49" t="s">
        <v>50</v>
      </c>
      <c r="Z49" t="s">
        <v>51</v>
      </c>
      <c r="AA49" t="s">
        <v>37</v>
      </c>
      <c r="AB49" t="s">
        <v>52</v>
      </c>
      <c r="AC49" t="s">
        <v>53</v>
      </c>
      <c r="AD49" t="s">
        <v>54</v>
      </c>
      <c r="AE49">
        <v>20.044183467500002</v>
      </c>
      <c r="AF49">
        <v>1962</v>
      </c>
      <c r="AG49">
        <v>1962.0482364699999</v>
      </c>
      <c r="AH49">
        <v>200445.055762</v>
      </c>
      <c r="AI49">
        <v>45</v>
      </c>
      <c r="AJ49">
        <v>179831.88381815699</v>
      </c>
      <c r="AK49" s="1">
        <f>intersection_ss_Lden___surface[[#This Row],[surf m2 bout ss]]/intersection_ss_Lden___surface[[#This Row],[Shape_Area]]</f>
        <v>0.89716298131933858</v>
      </c>
      <c r="AL49">
        <v>3239</v>
      </c>
      <c r="AM49">
        <f>intersection_ss_Lden___surface[[#This Row],[Population totale 2024 ss]]*intersection_ss_Lden___surface[[#This Row],[Part de la surface du qs dans le noise contour]]</f>
        <v>2905.9108964933375</v>
      </c>
    </row>
    <row r="50" spans="1:39" x14ac:dyDescent="0.3">
      <c r="A50">
        <v>80</v>
      </c>
      <c r="B50" t="s">
        <v>143</v>
      </c>
      <c r="C50" t="s">
        <v>144</v>
      </c>
      <c r="D50" t="s">
        <v>145</v>
      </c>
      <c r="E50" t="s">
        <v>145</v>
      </c>
      <c r="F50" t="s">
        <v>129</v>
      </c>
      <c r="G50" t="s">
        <v>42</v>
      </c>
      <c r="H50" t="s">
        <v>43</v>
      </c>
      <c r="I50" t="s">
        <v>44</v>
      </c>
      <c r="J50" t="s">
        <v>36</v>
      </c>
      <c r="K50">
        <v>21001</v>
      </c>
      <c r="L50" t="s">
        <v>45</v>
      </c>
      <c r="M50" t="s">
        <v>45</v>
      </c>
      <c r="N50" t="s">
        <v>45</v>
      </c>
      <c r="O50">
        <v>21000</v>
      </c>
      <c r="P50" t="s">
        <v>46</v>
      </c>
      <c r="Q50" t="s">
        <v>47</v>
      </c>
      <c r="R50" t="s">
        <v>48</v>
      </c>
      <c r="T50" t="s">
        <v>36</v>
      </c>
      <c r="U50" t="s">
        <v>36</v>
      </c>
      <c r="V50" t="s">
        <v>36</v>
      </c>
      <c r="W50">
        <v>4000</v>
      </c>
      <c r="X50" t="s">
        <v>49</v>
      </c>
      <c r="Y50" t="s">
        <v>50</v>
      </c>
      <c r="Z50" t="s">
        <v>51</v>
      </c>
      <c r="AA50" t="s">
        <v>37</v>
      </c>
      <c r="AB50" t="s">
        <v>52</v>
      </c>
      <c r="AC50" t="s">
        <v>53</v>
      </c>
      <c r="AD50" t="s">
        <v>54</v>
      </c>
      <c r="AE50">
        <v>4.6646683209199997</v>
      </c>
      <c r="AF50">
        <v>903</v>
      </c>
      <c r="AG50">
        <v>902.937970812</v>
      </c>
      <c r="AH50">
        <v>46647.436939500003</v>
      </c>
      <c r="AI50">
        <v>45</v>
      </c>
      <c r="AJ50">
        <v>1356.3070184961</v>
      </c>
      <c r="AK50" s="1">
        <f>intersection_ss_Lden___surface[[#This Row],[surf m2 bout ss]]/intersection_ss_Lden___surface[[#This Row],[Shape_Area]]</f>
        <v>2.9075702921366933E-2</v>
      </c>
      <c r="AL50">
        <v>0</v>
      </c>
      <c r="AM50">
        <f>intersection_ss_Lden___surface[[#This Row],[Population totale 2024 ss]]*intersection_ss_Lden___surface[[#This Row],[Part de la surface du qs dans le noise contour]]</f>
        <v>0</v>
      </c>
    </row>
    <row r="51" spans="1:39" x14ac:dyDescent="0.3">
      <c r="A51">
        <v>81</v>
      </c>
      <c r="B51" t="s">
        <v>143</v>
      </c>
      <c r="C51" t="s">
        <v>144</v>
      </c>
      <c r="D51" t="s">
        <v>145</v>
      </c>
      <c r="E51" t="s">
        <v>145</v>
      </c>
      <c r="F51" t="s">
        <v>129</v>
      </c>
      <c r="G51" t="s">
        <v>42</v>
      </c>
      <c r="H51" t="s">
        <v>43</v>
      </c>
      <c r="I51" t="s">
        <v>44</v>
      </c>
      <c r="J51" t="s">
        <v>36</v>
      </c>
      <c r="K51">
        <v>21001</v>
      </c>
      <c r="L51" t="s">
        <v>45</v>
      </c>
      <c r="M51" t="s">
        <v>45</v>
      </c>
      <c r="N51" t="s">
        <v>45</v>
      </c>
      <c r="O51">
        <v>21000</v>
      </c>
      <c r="P51" t="s">
        <v>46</v>
      </c>
      <c r="Q51" t="s">
        <v>47</v>
      </c>
      <c r="R51" t="s">
        <v>48</v>
      </c>
      <c r="T51" t="s">
        <v>36</v>
      </c>
      <c r="U51" t="s">
        <v>36</v>
      </c>
      <c r="V51" t="s">
        <v>36</v>
      </c>
      <c r="W51">
        <v>4000</v>
      </c>
      <c r="X51" t="s">
        <v>49</v>
      </c>
      <c r="Y51" t="s">
        <v>50</v>
      </c>
      <c r="Z51" t="s">
        <v>51</v>
      </c>
      <c r="AA51" t="s">
        <v>37</v>
      </c>
      <c r="AB51" t="s">
        <v>52</v>
      </c>
      <c r="AC51" t="s">
        <v>53</v>
      </c>
      <c r="AD51" t="s">
        <v>54</v>
      </c>
      <c r="AE51">
        <v>4.6646683209199997</v>
      </c>
      <c r="AF51">
        <v>903</v>
      </c>
      <c r="AG51">
        <v>902.937970812</v>
      </c>
      <c r="AH51">
        <v>46647.436939500003</v>
      </c>
      <c r="AI51">
        <v>46</v>
      </c>
      <c r="AJ51">
        <v>45295.786076344499</v>
      </c>
      <c r="AK51" s="1">
        <f>intersection_ss_Lden___surface[[#This Row],[surf m2 bout ss]]/intersection_ss_Lden___surface[[#This Row],[Shape_Area]]</f>
        <v>0.9710241129666235</v>
      </c>
      <c r="AL51">
        <v>0</v>
      </c>
      <c r="AM51">
        <f>intersection_ss_Lden___surface[[#This Row],[Population totale 2024 ss]]*intersection_ss_Lden___surface[[#This Row],[Part de la surface du qs dans le noise contour]]</f>
        <v>0</v>
      </c>
    </row>
    <row r="52" spans="1:39" x14ac:dyDescent="0.3">
      <c r="A52">
        <v>82</v>
      </c>
      <c r="B52" t="s">
        <v>146</v>
      </c>
      <c r="C52" t="s">
        <v>147</v>
      </c>
      <c r="D52" t="s">
        <v>148</v>
      </c>
      <c r="E52" t="s">
        <v>148</v>
      </c>
      <c r="F52" t="s">
        <v>149</v>
      </c>
      <c r="G52" t="s">
        <v>150</v>
      </c>
      <c r="H52" t="s">
        <v>151</v>
      </c>
      <c r="I52" t="s">
        <v>152</v>
      </c>
      <c r="J52" t="s">
        <v>36</v>
      </c>
      <c r="K52">
        <v>21001</v>
      </c>
      <c r="L52" t="s">
        <v>45</v>
      </c>
      <c r="M52" t="s">
        <v>45</v>
      </c>
      <c r="N52" t="s">
        <v>45</v>
      </c>
      <c r="O52">
        <v>21000</v>
      </c>
      <c r="P52" t="s">
        <v>46</v>
      </c>
      <c r="Q52" t="s">
        <v>47</v>
      </c>
      <c r="R52" t="s">
        <v>48</v>
      </c>
      <c r="T52" t="s">
        <v>36</v>
      </c>
      <c r="U52" t="s">
        <v>36</v>
      </c>
      <c r="V52" t="s">
        <v>36</v>
      </c>
      <c r="W52">
        <v>4000</v>
      </c>
      <c r="X52" t="s">
        <v>49</v>
      </c>
      <c r="Y52" t="s">
        <v>50</v>
      </c>
      <c r="Z52" t="s">
        <v>51</v>
      </c>
      <c r="AA52" t="s">
        <v>37</v>
      </c>
      <c r="AB52" t="s">
        <v>52</v>
      </c>
      <c r="AC52" t="s">
        <v>53</v>
      </c>
      <c r="AD52" t="s">
        <v>54</v>
      </c>
      <c r="AE52">
        <v>14.187985876300001</v>
      </c>
      <c r="AF52">
        <v>1551</v>
      </c>
      <c r="AG52">
        <v>1551.36420086</v>
      </c>
      <c r="AH52">
        <v>141882.13873499999</v>
      </c>
      <c r="AI52">
        <v>47</v>
      </c>
      <c r="AJ52">
        <v>141896.15888520601</v>
      </c>
      <c r="AK52" s="1">
        <f>intersection_ss_Lden___surface[[#This Row],[surf m2 bout ss]]/intersection_ss_Lden___surface[[#This Row],[Shape_Area]]</f>
        <v>1.0000988154698753</v>
      </c>
      <c r="AL52">
        <v>2557</v>
      </c>
      <c r="AM52">
        <f>intersection_ss_Lden___surface[[#This Row],[Population totale 2024 ss]]*intersection_ss_Lden___surface[[#This Row],[Part de la surface du qs dans le noise contour]]</f>
        <v>2557.252671156471</v>
      </c>
    </row>
    <row r="53" spans="1:39" x14ac:dyDescent="0.3">
      <c r="A53">
        <v>83</v>
      </c>
      <c r="B53" t="s">
        <v>153</v>
      </c>
      <c r="C53" t="s">
        <v>154</v>
      </c>
      <c r="D53" t="s">
        <v>155</v>
      </c>
      <c r="E53" t="s">
        <v>155</v>
      </c>
      <c r="F53" t="s">
        <v>149</v>
      </c>
      <c r="G53" t="s">
        <v>150</v>
      </c>
      <c r="H53" t="s">
        <v>151</v>
      </c>
      <c r="I53" t="s">
        <v>152</v>
      </c>
      <c r="J53" t="s">
        <v>36</v>
      </c>
      <c r="K53">
        <v>21001</v>
      </c>
      <c r="L53" t="s">
        <v>45</v>
      </c>
      <c r="M53" t="s">
        <v>45</v>
      </c>
      <c r="N53" t="s">
        <v>45</v>
      </c>
      <c r="O53">
        <v>21000</v>
      </c>
      <c r="P53" t="s">
        <v>46</v>
      </c>
      <c r="Q53" t="s">
        <v>47</v>
      </c>
      <c r="R53" t="s">
        <v>48</v>
      </c>
      <c r="T53" t="s">
        <v>36</v>
      </c>
      <c r="U53" t="s">
        <v>36</v>
      </c>
      <c r="V53" t="s">
        <v>36</v>
      </c>
      <c r="W53">
        <v>4000</v>
      </c>
      <c r="X53" t="s">
        <v>49</v>
      </c>
      <c r="Y53" t="s">
        <v>50</v>
      </c>
      <c r="Z53" t="s">
        <v>51</v>
      </c>
      <c r="AA53" t="s">
        <v>37</v>
      </c>
      <c r="AB53" t="s">
        <v>52</v>
      </c>
      <c r="AC53" t="s">
        <v>53</v>
      </c>
      <c r="AD53" t="s">
        <v>54</v>
      </c>
      <c r="AE53">
        <v>9.0047175771399992</v>
      </c>
      <c r="AF53">
        <v>1764</v>
      </c>
      <c r="AG53">
        <v>1763.78547252</v>
      </c>
      <c r="AH53">
        <v>90048.615848999994</v>
      </c>
      <c r="AI53">
        <v>46</v>
      </c>
      <c r="AJ53">
        <v>8287.0628686435502</v>
      </c>
      <c r="AK53" s="1">
        <f>intersection_ss_Lden___surface[[#This Row],[surf m2 bout ss]]/intersection_ss_Lden___surface[[#This Row],[Shape_Area]]</f>
        <v>9.2028764579123512E-2</v>
      </c>
      <c r="AL53">
        <v>1473</v>
      </c>
      <c r="AM53">
        <f>intersection_ss_Lden___surface[[#This Row],[Population totale 2024 ss]]*intersection_ss_Lden___surface[[#This Row],[Part de la surface du qs dans le noise contour]]</f>
        <v>135.55837022504895</v>
      </c>
    </row>
    <row r="54" spans="1:39" x14ac:dyDescent="0.3">
      <c r="A54">
        <v>84</v>
      </c>
      <c r="B54" t="s">
        <v>153</v>
      </c>
      <c r="C54" t="s">
        <v>154</v>
      </c>
      <c r="D54" t="s">
        <v>155</v>
      </c>
      <c r="E54" t="s">
        <v>155</v>
      </c>
      <c r="F54" t="s">
        <v>149</v>
      </c>
      <c r="G54" t="s">
        <v>150</v>
      </c>
      <c r="H54" t="s">
        <v>151</v>
      </c>
      <c r="I54" t="s">
        <v>152</v>
      </c>
      <c r="J54" t="s">
        <v>36</v>
      </c>
      <c r="K54">
        <v>21001</v>
      </c>
      <c r="L54" t="s">
        <v>45</v>
      </c>
      <c r="M54" t="s">
        <v>45</v>
      </c>
      <c r="N54" t="s">
        <v>45</v>
      </c>
      <c r="O54">
        <v>21000</v>
      </c>
      <c r="P54" t="s">
        <v>46</v>
      </c>
      <c r="Q54" t="s">
        <v>47</v>
      </c>
      <c r="R54" t="s">
        <v>48</v>
      </c>
      <c r="T54" t="s">
        <v>36</v>
      </c>
      <c r="U54" t="s">
        <v>36</v>
      </c>
      <c r="V54" t="s">
        <v>36</v>
      </c>
      <c r="W54">
        <v>4000</v>
      </c>
      <c r="X54" t="s">
        <v>49</v>
      </c>
      <c r="Y54" t="s">
        <v>50</v>
      </c>
      <c r="Z54" t="s">
        <v>51</v>
      </c>
      <c r="AA54" t="s">
        <v>37</v>
      </c>
      <c r="AB54" t="s">
        <v>52</v>
      </c>
      <c r="AC54" t="s">
        <v>53</v>
      </c>
      <c r="AD54" t="s">
        <v>54</v>
      </c>
      <c r="AE54">
        <v>9.0047175771399992</v>
      </c>
      <c r="AF54">
        <v>1764</v>
      </c>
      <c r="AG54">
        <v>1763.78547252</v>
      </c>
      <c r="AH54">
        <v>90048.615848999994</v>
      </c>
      <c r="AI54">
        <v>47</v>
      </c>
      <c r="AJ54">
        <v>81770.489008193093</v>
      </c>
      <c r="AK54" s="1">
        <f>intersection_ss_Lden___surface[[#This Row],[surf m2 bout ss]]/intersection_ss_Lden___surface[[#This Row],[Shape_Area]]</f>
        <v>0.90807047101436567</v>
      </c>
      <c r="AL54">
        <v>1473</v>
      </c>
      <c r="AM54">
        <f>intersection_ss_Lden___surface[[#This Row],[Population totale 2024 ss]]*intersection_ss_Lden___surface[[#This Row],[Part de la surface du qs dans le noise contour]]</f>
        <v>1337.5878038041606</v>
      </c>
    </row>
    <row r="55" spans="1:39" x14ac:dyDescent="0.3">
      <c r="A55">
        <v>85</v>
      </c>
      <c r="B55" t="s">
        <v>156</v>
      </c>
      <c r="C55" t="s">
        <v>157</v>
      </c>
      <c r="D55" t="s">
        <v>158</v>
      </c>
      <c r="E55" t="s">
        <v>158</v>
      </c>
      <c r="F55" t="s">
        <v>149</v>
      </c>
      <c r="G55" t="s">
        <v>150</v>
      </c>
      <c r="H55" t="s">
        <v>151</v>
      </c>
      <c r="I55" t="s">
        <v>152</v>
      </c>
      <c r="J55" t="s">
        <v>36</v>
      </c>
      <c r="K55">
        <v>21001</v>
      </c>
      <c r="L55" t="s">
        <v>45</v>
      </c>
      <c r="M55" t="s">
        <v>45</v>
      </c>
      <c r="N55" t="s">
        <v>45</v>
      </c>
      <c r="O55">
        <v>21000</v>
      </c>
      <c r="P55" t="s">
        <v>46</v>
      </c>
      <c r="Q55" t="s">
        <v>47</v>
      </c>
      <c r="R55" t="s">
        <v>48</v>
      </c>
      <c r="T55" t="s">
        <v>36</v>
      </c>
      <c r="U55" t="s">
        <v>36</v>
      </c>
      <c r="V55" t="s">
        <v>36</v>
      </c>
      <c r="W55">
        <v>4000</v>
      </c>
      <c r="X55" t="s">
        <v>49</v>
      </c>
      <c r="Y55" t="s">
        <v>50</v>
      </c>
      <c r="Z55" t="s">
        <v>51</v>
      </c>
      <c r="AA55" t="s">
        <v>37</v>
      </c>
      <c r="AB55" t="s">
        <v>52</v>
      </c>
      <c r="AC55" t="s">
        <v>53</v>
      </c>
      <c r="AD55" t="s">
        <v>54</v>
      </c>
      <c r="AE55">
        <v>26.546304583200001</v>
      </c>
      <c r="AF55">
        <v>2302</v>
      </c>
      <c r="AG55">
        <v>2301.5630030500001</v>
      </c>
      <c r="AH55">
        <v>265467.31440899998</v>
      </c>
      <c r="AI55">
        <v>46</v>
      </c>
      <c r="AJ55">
        <v>227054.1473483</v>
      </c>
      <c r="AK55" s="1">
        <f>intersection_ss_Lden___surface[[#This Row],[surf m2 bout ss]]/intersection_ss_Lden___surface[[#This Row],[Shape_Area]]</f>
        <v>0.85529982421294393</v>
      </c>
      <c r="AL55">
        <v>1172</v>
      </c>
      <c r="AM55">
        <f>intersection_ss_Lden___surface[[#This Row],[Population totale 2024 ss]]*intersection_ss_Lden___surface[[#This Row],[Part de la surface du qs dans le noise contour]]</f>
        <v>1002.4113939775702</v>
      </c>
    </row>
    <row r="56" spans="1:39" x14ac:dyDescent="0.3">
      <c r="A56">
        <v>86</v>
      </c>
      <c r="B56" t="s">
        <v>156</v>
      </c>
      <c r="C56" t="s">
        <v>157</v>
      </c>
      <c r="D56" t="s">
        <v>158</v>
      </c>
      <c r="E56" t="s">
        <v>158</v>
      </c>
      <c r="F56" t="s">
        <v>149</v>
      </c>
      <c r="G56" t="s">
        <v>150</v>
      </c>
      <c r="H56" t="s">
        <v>151</v>
      </c>
      <c r="I56" t="s">
        <v>152</v>
      </c>
      <c r="J56" t="s">
        <v>36</v>
      </c>
      <c r="K56">
        <v>21001</v>
      </c>
      <c r="L56" t="s">
        <v>45</v>
      </c>
      <c r="M56" t="s">
        <v>45</v>
      </c>
      <c r="N56" t="s">
        <v>45</v>
      </c>
      <c r="O56">
        <v>21000</v>
      </c>
      <c r="P56" t="s">
        <v>46</v>
      </c>
      <c r="Q56" t="s">
        <v>47</v>
      </c>
      <c r="R56" t="s">
        <v>48</v>
      </c>
      <c r="T56" t="s">
        <v>36</v>
      </c>
      <c r="U56" t="s">
        <v>36</v>
      </c>
      <c r="V56" t="s">
        <v>36</v>
      </c>
      <c r="W56">
        <v>4000</v>
      </c>
      <c r="X56" t="s">
        <v>49</v>
      </c>
      <c r="Y56" t="s">
        <v>50</v>
      </c>
      <c r="Z56" t="s">
        <v>51</v>
      </c>
      <c r="AA56" t="s">
        <v>37</v>
      </c>
      <c r="AB56" t="s">
        <v>52</v>
      </c>
      <c r="AC56" t="s">
        <v>53</v>
      </c>
      <c r="AD56" t="s">
        <v>54</v>
      </c>
      <c r="AE56">
        <v>26.546304583200001</v>
      </c>
      <c r="AF56">
        <v>2302</v>
      </c>
      <c r="AG56">
        <v>2301.5630030500001</v>
      </c>
      <c r="AH56">
        <v>265467.31440899998</v>
      </c>
      <c r="AI56">
        <v>47</v>
      </c>
      <c r="AJ56">
        <v>38439.6259617209</v>
      </c>
      <c r="AK56" s="1">
        <f>intersection_ss_Lden___surface[[#This Row],[surf m2 bout ss]]/intersection_ss_Lden___surface[[#This Row],[Shape_Area]]</f>
        <v>0.14479984493495032</v>
      </c>
      <c r="AL56">
        <v>1172</v>
      </c>
      <c r="AM56">
        <f>intersection_ss_Lden___surface[[#This Row],[Population totale 2024 ss]]*intersection_ss_Lden___surface[[#This Row],[Part de la surface du qs dans le noise contour]]</f>
        <v>169.70541826376177</v>
      </c>
    </row>
    <row r="57" spans="1:39" x14ac:dyDescent="0.3">
      <c r="A57">
        <v>87</v>
      </c>
      <c r="B57" t="s">
        <v>159</v>
      </c>
      <c r="C57" t="s">
        <v>160</v>
      </c>
      <c r="D57" t="s">
        <v>161</v>
      </c>
      <c r="E57" t="s">
        <v>161</v>
      </c>
      <c r="F57" t="s">
        <v>162</v>
      </c>
      <c r="G57" t="s">
        <v>150</v>
      </c>
      <c r="H57" t="s">
        <v>151</v>
      </c>
      <c r="I57" t="s">
        <v>152</v>
      </c>
      <c r="J57" t="s">
        <v>36</v>
      </c>
      <c r="K57">
        <v>21001</v>
      </c>
      <c r="L57" t="s">
        <v>45</v>
      </c>
      <c r="M57" t="s">
        <v>45</v>
      </c>
      <c r="N57" t="s">
        <v>45</v>
      </c>
      <c r="O57">
        <v>21000</v>
      </c>
      <c r="P57" t="s">
        <v>46</v>
      </c>
      <c r="Q57" t="s">
        <v>47</v>
      </c>
      <c r="R57" t="s">
        <v>48</v>
      </c>
      <c r="T57" t="s">
        <v>36</v>
      </c>
      <c r="U57" t="s">
        <v>36</v>
      </c>
      <c r="V57" t="s">
        <v>36</v>
      </c>
      <c r="W57">
        <v>4000</v>
      </c>
      <c r="X57" t="s">
        <v>49</v>
      </c>
      <c r="Y57" t="s">
        <v>50</v>
      </c>
      <c r="Z57" t="s">
        <v>51</v>
      </c>
      <c r="AA57" t="s">
        <v>37</v>
      </c>
      <c r="AB57" t="s">
        <v>52</v>
      </c>
      <c r="AC57" t="s">
        <v>53</v>
      </c>
      <c r="AD57" t="s">
        <v>54</v>
      </c>
      <c r="AE57">
        <v>19.6452753865</v>
      </c>
      <c r="AF57">
        <v>1843</v>
      </c>
      <c r="AG57">
        <v>1843.13924344</v>
      </c>
      <c r="AH57">
        <v>196455.88762699999</v>
      </c>
      <c r="AI57">
        <v>46</v>
      </c>
      <c r="AJ57">
        <v>196475.548427712</v>
      </c>
      <c r="AK57" s="1">
        <f>intersection_ss_Lden___surface[[#This Row],[surf m2 bout ss]]/intersection_ss_Lden___surface[[#This Row],[Shape_Area]]</f>
        <v>1.0001000774318831</v>
      </c>
      <c r="AL57">
        <v>5339</v>
      </c>
      <c r="AM57">
        <f>intersection_ss_Lden___surface[[#This Row],[Population totale 2024 ss]]*intersection_ss_Lden___surface[[#This Row],[Part de la surface du qs dans le noise contour]]</f>
        <v>5339.5343134088243</v>
      </c>
    </row>
    <row r="58" spans="1:39" x14ac:dyDescent="0.3">
      <c r="A58">
        <v>88</v>
      </c>
      <c r="B58" t="s">
        <v>163</v>
      </c>
      <c r="C58" t="s">
        <v>164</v>
      </c>
      <c r="D58" t="s">
        <v>165</v>
      </c>
      <c r="E58" t="s">
        <v>165</v>
      </c>
      <c r="F58" t="s">
        <v>162</v>
      </c>
      <c r="G58" t="s">
        <v>150</v>
      </c>
      <c r="H58" t="s">
        <v>151</v>
      </c>
      <c r="I58" t="s">
        <v>152</v>
      </c>
      <c r="J58" t="s">
        <v>36</v>
      </c>
      <c r="K58">
        <v>21001</v>
      </c>
      <c r="L58" t="s">
        <v>45</v>
      </c>
      <c r="M58" t="s">
        <v>45</v>
      </c>
      <c r="N58" t="s">
        <v>45</v>
      </c>
      <c r="O58">
        <v>21000</v>
      </c>
      <c r="P58" t="s">
        <v>46</v>
      </c>
      <c r="Q58" t="s">
        <v>47</v>
      </c>
      <c r="R58" t="s">
        <v>48</v>
      </c>
      <c r="T58" t="s">
        <v>36</v>
      </c>
      <c r="U58" t="s">
        <v>36</v>
      </c>
      <c r="V58" t="s">
        <v>36</v>
      </c>
      <c r="W58">
        <v>4000</v>
      </c>
      <c r="X58" t="s">
        <v>49</v>
      </c>
      <c r="Y58" t="s">
        <v>50</v>
      </c>
      <c r="Z58" t="s">
        <v>51</v>
      </c>
      <c r="AA58" t="s">
        <v>37</v>
      </c>
      <c r="AB58" t="s">
        <v>52</v>
      </c>
      <c r="AC58" t="s">
        <v>53</v>
      </c>
      <c r="AD58" t="s">
        <v>54</v>
      </c>
      <c r="AE58">
        <v>14.159637073400001</v>
      </c>
      <c r="AF58">
        <v>1592</v>
      </c>
      <c r="AG58">
        <v>1591.9462794399999</v>
      </c>
      <c r="AH58">
        <v>141598.67076199999</v>
      </c>
      <c r="AI58">
        <v>46</v>
      </c>
      <c r="AJ58">
        <v>115940.359096136</v>
      </c>
      <c r="AK58" s="1">
        <f>intersection_ss_Lden___surface[[#This Row],[surf m2 bout ss]]/intersection_ss_Lden___surface[[#This Row],[Shape_Area]]</f>
        <v>0.81879553298215169</v>
      </c>
      <c r="AL58">
        <v>3822</v>
      </c>
      <c r="AM58">
        <f>intersection_ss_Lden___surface[[#This Row],[Population totale 2024 ss]]*intersection_ss_Lden___surface[[#This Row],[Part de la surface du qs dans le noise contour]]</f>
        <v>3129.4365270577837</v>
      </c>
    </row>
    <row r="59" spans="1:39" x14ac:dyDescent="0.3">
      <c r="A59">
        <v>89</v>
      </c>
      <c r="B59" t="s">
        <v>163</v>
      </c>
      <c r="C59" t="s">
        <v>164</v>
      </c>
      <c r="D59" t="s">
        <v>165</v>
      </c>
      <c r="E59" t="s">
        <v>165</v>
      </c>
      <c r="F59" t="s">
        <v>162</v>
      </c>
      <c r="G59" t="s">
        <v>150</v>
      </c>
      <c r="H59" t="s">
        <v>151</v>
      </c>
      <c r="I59" t="s">
        <v>152</v>
      </c>
      <c r="J59" t="s">
        <v>36</v>
      </c>
      <c r="K59">
        <v>21001</v>
      </c>
      <c r="L59" t="s">
        <v>45</v>
      </c>
      <c r="M59" t="s">
        <v>45</v>
      </c>
      <c r="N59" t="s">
        <v>45</v>
      </c>
      <c r="O59">
        <v>21000</v>
      </c>
      <c r="P59" t="s">
        <v>46</v>
      </c>
      <c r="Q59" t="s">
        <v>47</v>
      </c>
      <c r="R59" t="s">
        <v>48</v>
      </c>
      <c r="T59" t="s">
        <v>36</v>
      </c>
      <c r="U59" t="s">
        <v>36</v>
      </c>
      <c r="V59" t="s">
        <v>36</v>
      </c>
      <c r="W59">
        <v>4000</v>
      </c>
      <c r="X59" t="s">
        <v>49</v>
      </c>
      <c r="Y59" t="s">
        <v>50</v>
      </c>
      <c r="Z59" t="s">
        <v>51</v>
      </c>
      <c r="AA59" t="s">
        <v>37</v>
      </c>
      <c r="AB59" t="s">
        <v>52</v>
      </c>
      <c r="AC59" t="s">
        <v>53</v>
      </c>
      <c r="AD59" t="s">
        <v>54</v>
      </c>
      <c r="AE59">
        <v>14.159637073400001</v>
      </c>
      <c r="AF59">
        <v>1592</v>
      </c>
      <c r="AG59">
        <v>1591.9462794399999</v>
      </c>
      <c r="AH59">
        <v>141598.67076199999</v>
      </c>
      <c r="AI59">
        <v>47</v>
      </c>
      <c r="AJ59">
        <v>25672.3978775549</v>
      </c>
      <c r="AK59" s="1">
        <f>intersection_ss_Lden___surface[[#This Row],[surf m2 bout ss]]/intersection_ss_Lden___surface[[#This Row],[Shape_Area]]</f>
        <v>0.18130394684781498</v>
      </c>
      <c r="AL59">
        <v>3822</v>
      </c>
      <c r="AM59">
        <f>intersection_ss_Lden___surface[[#This Row],[Population totale 2024 ss]]*intersection_ss_Lden___surface[[#This Row],[Part de la surface du qs dans le noise contour]]</f>
        <v>692.94368485234884</v>
      </c>
    </row>
    <row r="60" spans="1:39" x14ac:dyDescent="0.3">
      <c r="A60">
        <v>90</v>
      </c>
      <c r="B60" t="s">
        <v>166</v>
      </c>
      <c r="C60" t="s">
        <v>167</v>
      </c>
      <c r="D60" t="s">
        <v>168</v>
      </c>
      <c r="E60" t="s">
        <v>168</v>
      </c>
      <c r="F60" t="s">
        <v>162</v>
      </c>
      <c r="G60" t="s">
        <v>150</v>
      </c>
      <c r="H60" t="s">
        <v>151</v>
      </c>
      <c r="I60" t="s">
        <v>152</v>
      </c>
      <c r="J60" t="s">
        <v>36</v>
      </c>
      <c r="K60">
        <v>21001</v>
      </c>
      <c r="L60" t="s">
        <v>45</v>
      </c>
      <c r="M60" t="s">
        <v>45</v>
      </c>
      <c r="N60" t="s">
        <v>45</v>
      </c>
      <c r="O60">
        <v>21000</v>
      </c>
      <c r="P60" t="s">
        <v>46</v>
      </c>
      <c r="Q60" t="s">
        <v>47</v>
      </c>
      <c r="R60" t="s">
        <v>48</v>
      </c>
      <c r="T60" t="s">
        <v>36</v>
      </c>
      <c r="U60" t="s">
        <v>36</v>
      </c>
      <c r="V60" t="s">
        <v>36</v>
      </c>
      <c r="W60">
        <v>4000</v>
      </c>
      <c r="X60" t="s">
        <v>49</v>
      </c>
      <c r="Y60" t="s">
        <v>50</v>
      </c>
      <c r="Z60" t="s">
        <v>51</v>
      </c>
      <c r="AA60" t="s">
        <v>37</v>
      </c>
      <c r="AB60" t="s">
        <v>52</v>
      </c>
      <c r="AC60" t="s">
        <v>53</v>
      </c>
      <c r="AD60" t="s">
        <v>54</v>
      </c>
      <c r="AE60">
        <v>7.4391121697299996</v>
      </c>
      <c r="AF60">
        <v>1194</v>
      </c>
      <c r="AG60">
        <v>1193.56998851</v>
      </c>
      <c r="AH60">
        <v>74392.314633300004</v>
      </c>
      <c r="AI60">
        <v>46</v>
      </c>
      <c r="AJ60">
        <v>74399.747779135796</v>
      </c>
      <c r="AK60" s="1">
        <f>intersection_ss_Lden___surface[[#This Row],[surf m2 bout ss]]/intersection_ss_Lden___surface[[#This Row],[Shape_Area]]</f>
        <v>1.0000999181954806</v>
      </c>
      <c r="AL60">
        <v>1336</v>
      </c>
      <c r="AM60">
        <f>intersection_ss_Lden___surface[[#This Row],[Population totale 2024 ss]]*intersection_ss_Lden___surface[[#This Row],[Part de la surface du qs dans le noise contour]]</f>
        <v>1336.1334907091621</v>
      </c>
    </row>
    <row r="61" spans="1:39" x14ac:dyDescent="0.3">
      <c r="A61">
        <v>91</v>
      </c>
      <c r="B61" t="s">
        <v>169</v>
      </c>
      <c r="C61" t="s">
        <v>170</v>
      </c>
      <c r="D61" t="s">
        <v>171</v>
      </c>
      <c r="E61" t="s">
        <v>171</v>
      </c>
      <c r="F61" t="s">
        <v>162</v>
      </c>
      <c r="G61" t="s">
        <v>150</v>
      </c>
      <c r="H61" t="s">
        <v>151</v>
      </c>
      <c r="I61" t="s">
        <v>152</v>
      </c>
      <c r="J61" t="s">
        <v>36</v>
      </c>
      <c r="K61">
        <v>21001</v>
      </c>
      <c r="L61" t="s">
        <v>45</v>
      </c>
      <c r="M61" t="s">
        <v>45</v>
      </c>
      <c r="N61" t="s">
        <v>45</v>
      </c>
      <c r="O61">
        <v>21000</v>
      </c>
      <c r="P61" t="s">
        <v>46</v>
      </c>
      <c r="Q61" t="s">
        <v>47</v>
      </c>
      <c r="R61" t="s">
        <v>48</v>
      </c>
      <c r="T61" t="s">
        <v>36</v>
      </c>
      <c r="U61" t="s">
        <v>36</v>
      </c>
      <c r="V61" t="s">
        <v>36</v>
      </c>
      <c r="W61">
        <v>4000</v>
      </c>
      <c r="X61" t="s">
        <v>49</v>
      </c>
      <c r="Y61" t="s">
        <v>50</v>
      </c>
      <c r="Z61" t="s">
        <v>51</v>
      </c>
      <c r="AA61" t="s">
        <v>37</v>
      </c>
      <c r="AB61" t="s">
        <v>52</v>
      </c>
      <c r="AC61" t="s">
        <v>53</v>
      </c>
      <c r="AD61" t="s">
        <v>54</v>
      </c>
      <c r="AE61">
        <v>8.9190884305899996</v>
      </c>
      <c r="AF61">
        <v>1316</v>
      </c>
      <c r="AG61">
        <v>1315.7805082299999</v>
      </c>
      <c r="AH61">
        <v>89192.316592100004</v>
      </c>
      <c r="AI61">
        <v>46</v>
      </c>
      <c r="AJ61">
        <v>89201.277185900093</v>
      </c>
      <c r="AK61" s="1">
        <f>intersection_ss_Lden___surface[[#This Row],[surf m2 bout ss]]/intersection_ss_Lden___surface[[#This Row],[Shape_Area]]</f>
        <v>1.0001004637410762</v>
      </c>
      <c r="AL61">
        <v>1479</v>
      </c>
      <c r="AM61">
        <f>intersection_ss_Lden___surface[[#This Row],[Population totale 2024 ss]]*intersection_ss_Lden___surface[[#This Row],[Part de la surface du qs dans le noise contour]]</f>
        <v>1479.1485858730516</v>
      </c>
    </row>
    <row r="62" spans="1:39" x14ac:dyDescent="0.3">
      <c r="A62">
        <v>92</v>
      </c>
      <c r="B62" t="s">
        <v>172</v>
      </c>
      <c r="C62" t="s">
        <v>173</v>
      </c>
      <c r="D62" t="s">
        <v>174</v>
      </c>
      <c r="E62" t="s">
        <v>174</v>
      </c>
      <c r="F62" t="s">
        <v>162</v>
      </c>
      <c r="G62" t="s">
        <v>150</v>
      </c>
      <c r="H62" t="s">
        <v>151</v>
      </c>
      <c r="I62" t="s">
        <v>152</v>
      </c>
      <c r="J62" t="s">
        <v>36</v>
      </c>
      <c r="K62">
        <v>21001</v>
      </c>
      <c r="L62" t="s">
        <v>45</v>
      </c>
      <c r="M62" t="s">
        <v>45</v>
      </c>
      <c r="N62" t="s">
        <v>45</v>
      </c>
      <c r="O62">
        <v>21000</v>
      </c>
      <c r="P62" t="s">
        <v>46</v>
      </c>
      <c r="Q62" t="s">
        <v>47</v>
      </c>
      <c r="R62" t="s">
        <v>48</v>
      </c>
      <c r="T62" t="s">
        <v>36</v>
      </c>
      <c r="U62" t="s">
        <v>36</v>
      </c>
      <c r="V62" t="s">
        <v>36</v>
      </c>
      <c r="W62">
        <v>4000</v>
      </c>
      <c r="X62" t="s">
        <v>49</v>
      </c>
      <c r="Y62" t="s">
        <v>50</v>
      </c>
      <c r="Z62" t="s">
        <v>51</v>
      </c>
      <c r="AA62" t="s">
        <v>37</v>
      </c>
      <c r="AB62" t="s">
        <v>52</v>
      </c>
      <c r="AC62" t="s">
        <v>53</v>
      </c>
      <c r="AD62" t="s">
        <v>54</v>
      </c>
      <c r="AE62">
        <v>14.642676231199999</v>
      </c>
      <c r="AF62">
        <v>1679</v>
      </c>
      <c r="AG62">
        <v>1678.67564333</v>
      </c>
      <c r="AH62">
        <v>146429.12330499999</v>
      </c>
      <c r="AI62">
        <v>45</v>
      </c>
      <c r="AJ62">
        <v>38662.6648374246</v>
      </c>
      <c r="AK62" s="1">
        <f>intersection_ss_Lden___surface[[#This Row],[surf m2 bout ss]]/intersection_ss_Lden___surface[[#This Row],[Shape_Area]]</f>
        <v>0.26403671595365225</v>
      </c>
      <c r="AL62">
        <v>2043</v>
      </c>
      <c r="AM62">
        <f>intersection_ss_Lden___surface[[#This Row],[Population totale 2024 ss]]*intersection_ss_Lden___surface[[#This Row],[Part de la surface du qs dans le noise contour]]</f>
        <v>539.42701069331156</v>
      </c>
    </row>
    <row r="63" spans="1:39" x14ac:dyDescent="0.3">
      <c r="A63">
        <v>93</v>
      </c>
      <c r="B63" t="s">
        <v>172</v>
      </c>
      <c r="C63" t="s">
        <v>173</v>
      </c>
      <c r="D63" t="s">
        <v>174</v>
      </c>
      <c r="E63" t="s">
        <v>174</v>
      </c>
      <c r="F63" t="s">
        <v>162</v>
      </c>
      <c r="G63" t="s">
        <v>150</v>
      </c>
      <c r="H63" t="s">
        <v>151</v>
      </c>
      <c r="I63" t="s">
        <v>152</v>
      </c>
      <c r="J63" t="s">
        <v>36</v>
      </c>
      <c r="K63">
        <v>21001</v>
      </c>
      <c r="L63" t="s">
        <v>45</v>
      </c>
      <c r="M63" t="s">
        <v>45</v>
      </c>
      <c r="N63" t="s">
        <v>45</v>
      </c>
      <c r="O63">
        <v>21000</v>
      </c>
      <c r="P63" t="s">
        <v>46</v>
      </c>
      <c r="Q63" t="s">
        <v>47</v>
      </c>
      <c r="R63" t="s">
        <v>48</v>
      </c>
      <c r="T63" t="s">
        <v>36</v>
      </c>
      <c r="U63" t="s">
        <v>36</v>
      </c>
      <c r="V63" t="s">
        <v>36</v>
      </c>
      <c r="W63">
        <v>4000</v>
      </c>
      <c r="X63" t="s">
        <v>49</v>
      </c>
      <c r="Y63" t="s">
        <v>50</v>
      </c>
      <c r="Z63" t="s">
        <v>51</v>
      </c>
      <c r="AA63" t="s">
        <v>37</v>
      </c>
      <c r="AB63" t="s">
        <v>52</v>
      </c>
      <c r="AC63" t="s">
        <v>53</v>
      </c>
      <c r="AD63" t="s">
        <v>54</v>
      </c>
      <c r="AE63">
        <v>14.642676231199999</v>
      </c>
      <c r="AF63">
        <v>1679</v>
      </c>
      <c r="AG63">
        <v>1678.67564333</v>
      </c>
      <c r="AH63">
        <v>146429.12330499999</v>
      </c>
      <c r="AI63">
        <v>46</v>
      </c>
      <c r="AJ63">
        <v>107781.270675601</v>
      </c>
      <c r="AK63" s="1">
        <f>intersection_ss_Lden___surface[[#This Row],[surf m2 bout ss]]/intersection_ss_Lden___surface[[#This Row],[Shape_Area]]</f>
        <v>0.736064440207713</v>
      </c>
      <c r="AL63">
        <v>2043</v>
      </c>
      <c r="AM63">
        <f>intersection_ss_Lden___surface[[#This Row],[Population totale 2024 ss]]*intersection_ss_Lden___surface[[#This Row],[Part de la surface du qs dans le noise contour]]</f>
        <v>1503.7796513443577</v>
      </c>
    </row>
    <row r="64" spans="1:39" x14ac:dyDescent="0.3">
      <c r="A64">
        <v>94</v>
      </c>
      <c r="B64" t="s">
        <v>175</v>
      </c>
      <c r="C64" t="s">
        <v>176</v>
      </c>
      <c r="D64" t="s">
        <v>177</v>
      </c>
      <c r="E64" t="s">
        <v>177</v>
      </c>
      <c r="F64" t="s">
        <v>162</v>
      </c>
      <c r="G64" t="s">
        <v>150</v>
      </c>
      <c r="H64" t="s">
        <v>151</v>
      </c>
      <c r="I64" t="s">
        <v>152</v>
      </c>
      <c r="J64" t="s">
        <v>36</v>
      </c>
      <c r="K64">
        <v>21001</v>
      </c>
      <c r="L64" t="s">
        <v>45</v>
      </c>
      <c r="M64" t="s">
        <v>45</v>
      </c>
      <c r="N64" t="s">
        <v>45</v>
      </c>
      <c r="O64">
        <v>21000</v>
      </c>
      <c r="P64" t="s">
        <v>46</v>
      </c>
      <c r="Q64" t="s">
        <v>47</v>
      </c>
      <c r="R64" t="s">
        <v>48</v>
      </c>
      <c r="T64" t="s">
        <v>36</v>
      </c>
      <c r="U64" t="s">
        <v>36</v>
      </c>
      <c r="V64" t="s">
        <v>36</v>
      </c>
      <c r="W64">
        <v>4000</v>
      </c>
      <c r="X64" t="s">
        <v>49</v>
      </c>
      <c r="Y64" t="s">
        <v>50</v>
      </c>
      <c r="Z64" t="s">
        <v>51</v>
      </c>
      <c r="AA64" t="s">
        <v>37</v>
      </c>
      <c r="AB64" t="s">
        <v>52</v>
      </c>
      <c r="AC64" t="s">
        <v>53</v>
      </c>
      <c r="AD64" t="s">
        <v>54</v>
      </c>
      <c r="AE64">
        <v>17.753145573000001</v>
      </c>
      <c r="AF64">
        <v>1929</v>
      </c>
      <c r="AG64">
        <v>1929.37506678</v>
      </c>
      <c r="AH64">
        <v>177534.30860399999</v>
      </c>
      <c r="AI64">
        <v>45</v>
      </c>
      <c r="AJ64">
        <v>28.684318393468899</v>
      </c>
      <c r="AK64" s="1">
        <f>intersection_ss_Lden___surface[[#This Row],[surf m2 bout ss]]/intersection_ss_Lden___surface[[#This Row],[Shape_Area]]</f>
        <v>1.6157056412938664E-4</v>
      </c>
      <c r="AL64">
        <v>3952</v>
      </c>
      <c r="AM64">
        <f>intersection_ss_Lden___surface[[#This Row],[Population totale 2024 ss]]*intersection_ss_Lden___surface[[#This Row],[Part de la surface du qs dans le noise contour]]</f>
        <v>0.63852686943933601</v>
      </c>
    </row>
    <row r="65" spans="1:39" x14ac:dyDescent="0.3">
      <c r="A65">
        <v>95</v>
      </c>
      <c r="B65" t="s">
        <v>175</v>
      </c>
      <c r="C65" t="s">
        <v>176</v>
      </c>
      <c r="D65" t="s">
        <v>177</v>
      </c>
      <c r="E65" t="s">
        <v>177</v>
      </c>
      <c r="F65" t="s">
        <v>162</v>
      </c>
      <c r="G65" t="s">
        <v>150</v>
      </c>
      <c r="H65" t="s">
        <v>151</v>
      </c>
      <c r="I65" t="s">
        <v>152</v>
      </c>
      <c r="J65" t="s">
        <v>36</v>
      </c>
      <c r="K65">
        <v>21001</v>
      </c>
      <c r="L65" t="s">
        <v>45</v>
      </c>
      <c r="M65" t="s">
        <v>45</v>
      </c>
      <c r="N65" t="s">
        <v>45</v>
      </c>
      <c r="O65">
        <v>21000</v>
      </c>
      <c r="P65" t="s">
        <v>46</v>
      </c>
      <c r="Q65" t="s">
        <v>47</v>
      </c>
      <c r="R65" t="s">
        <v>48</v>
      </c>
      <c r="T65" t="s">
        <v>36</v>
      </c>
      <c r="U65" t="s">
        <v>36</v>
      </c>
      <c r="V65" t="s">
        <v>36</v>
      </c>
      <c r="W65">
        <v>4000</v>
      </c>
      <c r="X65" t="s">
        <v>49</v>
      </c>
      <c r="Y65" t="s">
        <v>50</v>
      </c>
      <c r="Z65" t="s">
        <v>51</v>
      </c>
      <c r="AA65" t="s">
        <v>37</v>
      </c>
      <c r="AB65" t="s">
        <v>52</v>
      </c>
      <c r="AC65" t="s">
        <v>53</v>
      </c>
      <c r="AD65" t="s">
        <v>54</v>
      </c>
      <c r="AE65">
        <v>17.753145573000001</v>
      </c>
      <c r="AF65">
        <v>1929</v>
      </c>
      <c r="AG65">
        <v>1929.37506678</v>
      </c>
      <c r="AH65">
        <v>177534.30860399999</v>
      </c>
      <c r="AI65">
        <v>46</v>
      </c>
      <c r="AJ65">
        <v>177523.53776883299</v>
      </c>
      <c r="AK65" s="1">
        <f>intersection_ss_Lden___surface[[#This Row],[surf m2 bout ss]]/intersection_ss_Lden___surface[[#This Row],[Shape_Area]]</f>
        <v>0.99993933096508669</v>
      </c>
      <c r="AL65">
        <v>3952</v>
      </c>
      <c r="AM65">
        <f>intersection_ss_Lden___surface[[#This Row],[Population totale 2024 ss]]*intersection_ss_Lden___surface[[#This Row],[Part de la surface du qs dans le noise contour]]</f>
        <v>3951.7602359740226</v>
      </c>
    </row>
    <row r="66" spans="1:39" x14ac:dyDescent="0.3">
      <c r="A66">
        <v>96</v>
      </c>
      <c r="B66" t="s">
        <v>178</v>
      </c>
      <c r="C66" t="s">
        <v>179</v>
      </c>
      <c r="D66" t="s">
        <v>180</v>
      </c>
      <c r="E66" t="s">
        <v>180</v>
      </c>
      <c r="F66" t="s">
        <v>181</v>
      </c>
      <c r="G66" t="s">
        <v>150</v>
      </c>
      <c r="H66" t="s">
        <v>151</v>
      </c>
      <c r="I66" t="s">
        <v>152</v>
      </c>
      <c r="J66" t="s">
        <v>36</v>
      </c>
      <c r="K66">
        <v>21001</v>
      </c>
      <c r="L66" t="s">
        <v>45</v>
      </c>
      <c r="M66" t="s">
        <v>45</v>
      </c>
      <c r="N66" t="s">
        <v>45</v>
      </c>
      <c r="O66">
        <v>21000</v>
      </c>
      <c r="P66" t="s">
        <v>46</v>
      </c>
      <c r="Q66" t="s">
        <v>47</v>
      </c>
      <c r="R66" t="s">
        <v>48</v>
      </c>
      <c r="T66" t="s">
        <v>36</v>
      </c>
      <c r="U66" t="s">
        <v>36</v>
      </c>
      <c r="V66" t="s">
        <v>36</v>
      </c>
      <c r="W66">
        <v>4000</v>
      </c>
      <c r="X66" t="s">
        <v>49</v>
      </c>
      <c r="Y66" t="s">
        <v>50</v>
      </c>
      <c r="Z66" t="s">
        <v>51</v>
      </c>
      <c r="AA66" t="s">
        <v>37</v>
      </c>
      <c r="AB66" t="s">
        <v>52</v>
      </c>
      <c r="AC66" t="s">
        <v>53</v>
      </c>
      <c r="AD66" t="s">
        <v>54</v>
      </c>
      <c r="AE66">
        <v>3.6618773223600001</v>
      </c>
      <c r="AF66">
        <v>909</v>
      </c>
      <c r="AG66">
        <v>909.440002564</v>
      </c>
      <c r="AH66">
        <v>36619.361789000002</v>
      </c>
      <c r="AI66">
        <v>46</v>
      </c>
      <c r="AJ66">
        <v>36623.034614916898</v>
      </c>
      <c r="AK66" s="1">
        <f>intersection_ss_Lden___surface[[#This Row],[surf m2 bout ss]]/intersection_ss_Lden___surface[[#This Row],[Shape_Area]]</f>
        <v>1.0001002973765096</v>
      </c>
      <c r="AL66">
        <v>820</v>
      </c>
      <c r="AM66">
        <f>intersection_ss_Lden___surface[[#This Row],[Population totale 2024 ss]]*intersection_ss_Lden___surface[[#This Row],[Part de la surface du qs dans le noise contour]]</f>
        <v>820.0822438487379</v>
      </c>
    </row>
    <row r="67" spans="1:39" x14ac:dyDescent="0.3">
      <c r="A67">
        <v>97</v>
      </c>
      <c r="B67" t="s">
        <v>182</v>
      </c>
      <c r="C67" t="s">
        <v>183</v>
      </c>
      <c r="D67" t="s">
        <v>184</v>
      </c>
      <c r="E67" t="s">
        <v>184</v>
      </c>
      <c r="F67" t="s">
        <v>181</v>
      </c>
      <c r="G67" t="s">
        <v>150</v>
      </c>
      <c r="H67" t="s">
        <v>151</v>
      </c>
      <c r="I67" t="s">
        <v>152</v>
      </c>
      <c r="J67" t="s">
        <v>36</v>
      </c>
      <c r="K67">
        <v>21001</v>
      </c>
      <c r="L67" t="s">
        <v>45</v>
      </c>
      <c r="M67" t="s">
        <v>45</v>
      </c>
      <c r="N67" t="s">
        <v>45</v>
      </c>
      <c r="O67">
        <v>21000</v>
      </c>
      <c r="P67" t="s">
        <v>46</v>
      </c>
      <c r="Q67" t="s">
        <v>47</v>
      </c>
      <c r="R67" t="s">
        <v>48</v>
      </c>
      <c r="T67" t="s">
        <v>36</v>
      </c>
      <c r="U67" t="s">
        <v>36</v>
      </c>
      <c r="V67" t="s">
        <v>36</v>
      </c>
      <c r="W67">
        <v>4000</v>
      </c>
      <c r="X67" t="s">
        <v>49</v>
      </c>
      <c r="Y67" t="s">
        <v>50</v>
      </c>
      <c r="Z67" t="s">
        <v>51</v>
      </c>
      <c r="AA67" t="s">
        <v>37</v>
      </c>
      <c r="AB67" t="s">
        <v>52</v>
      </c>
      <c r="AC67" t="s">
        <v>53</v>
      </c>
      <c r="AD67" t="s">
        <v>54</v>
      </c>
      <c r="AE67">
        <v>14.636100316</v>
      </c>
      <c r="AF67">
        <v>2105</v>
      </c>
      <c r="AG67">
        <v>2105.2626863400001</v>
      </c>
      <c r="AH67">
        <v>146363.36923000001</v>
      </c>
      <c r="AI67">
        <v>46</v>
      </c>
      <c r="AJ67">
        <v>146378.08620423501</v>
      </c>
      <c r="AK67" s="1">
        <f>intersection_ss_Lden___surface[[#This Row],[surf m2 bout ss]]/intersection_ss_Lden___surface[[#This Row],[Shape_Area]]</f>
        <v>1.0001005509391621</v>
      </c>
      <c r="AL67">
        <v>1847</v>
      </c>
      <c r="AM67">
        <f>intersection_ss_Lden___surface[[#This Row],[Population totale 2024 ss]]*intersection_ss_Lden___surface[[#This Row],[Part de la surface du qs dans le noise contour]]</f>
        <v>1847.1857175846324</v>
      </c>
    </row>
    <row r="68" spans="1:39" x14ac:dyDescent="0.3">
      <c r="A68">
        <v>98</v>
      </c>
      <c r="B68" t="s">
        <v>185</v>
      </c>
      <c r="C68" t="s">
        <v>186</v>
      </c>
      <c r="D68" t="s">
        <v>187</v>
      </c>
      <c r="E68" t="s">
        <v>187</v>
      </c>
      <c r="F68" t="s">
        <v>181</v>
      </c>
      <c r="G68" t="s">
        <v>150</v>
      </c>
      <c r="H68" t="s">
        <v>151</v>
      </c>
      <c r="I68" t="s">
        <v>152</v>
      </c>
      <c r="J68" t="s">
        <v>36</v>
      </c>
      <c r="K68">
        <v>21001</v>
      </c>
      <c r="L68" t="s">
        <v>45</v>
      </c>
      <c r="M68" t="s">
        <v>45</v>
      </c>
      <c r="N68" t="s">
        <v>45</v>
      </c>
      <c r="O68">
        <v>21000</v>
      </c>
      <c r="P68" t="s">
        <v>46</v>
      </c>
      <c r="Q68" t="s">
        <v>47</v>
      </c>
      <c r="R68" t="s">
        <v>48</v>
      </c>
      <c r="T68" t="s">
        <v>36</v>
      </c>
      <c r="U68" t="s">
        <v>36</v>
      </c>
      <c r="V68" t="s">
        <v>36</v>
      </c>
      <c r="W68">
        <v>4000</v>
      </c>
      <c r="X68" t="s">
        <v>49</v>
      </c>
      <c r="Y68" t="s">
        <v>50</v>
      </c>
      <c r="Z68" t="s">
        <v>51</v>
      </c>
      <c r="AA68" t="s">
        <v>37</v>
      </c>
      <c r="AB68" t="s">
        <v>52</v>
      </c>
      <c r="AC68" t="s">
        <v>53</v>
      </c>
      <c r="AD68" t="s">
        <v>54</v>
      </c>
      <c r="AE68">
        <v>5.6477462846900002</v>
      </c>
      <c r="AF68">
        <v>1038</v>
      </c>
      <c r="AG68">
        <v>1037.88597959</v>
      </c>
      <c r="AH68">
        <v>56478.358395399999</v>
      </c>
      <c r="AI68">
        <v>46</v>
      </c>
      <c r="AJ68">
        <v>56484.069663122304</v>
      </c>
      <c r="AK68" s="1">
        <f>intersection_ss_Lden___surface[[#This Row],[surf m2 bout ss]]/intersection_ss_Lden___surface[[#This Row],[Shape_Area]]</f>
        <v>1.0001011231183867</v>
      </c>
      <c r="AL68">
        <v>1126</v>
      </c>
      <c r="AM68">
        <f>intersection_ss_Lden___surface[[#This Row],[Population totale 2024 ss]]*intersection_ss_Lden___surface[[#This Row],[Part de la surface du qs dans le noise contour]]</f>
        <v>1126.1138646313034</v>
      </c>
    </row>
    <row r="69" spans="1:39" x14ac:dyDescent="0.3">
      <c r="A69">
        <v>99</v>
      </c>
      <c r="B69" t="s">
        <v>188</v>
      </c>
      <c r="C69" t="s">
        <v>189</v>
      </c>
      <c r="D69" t="s">
        <v>190</v>
      </c>
      <c r="E69" t="s">
        <v>190</v>
      </c>
      <c r="F69" t="s">
        <v>181</v>
      </c>
      <c r="G69" t="s">
        <v>150</v>
      </c>
      <c r="H69" t="s">
        <v>151</v>
      </c>
      <c r="I69" t="s">
        <v>152</v>
      </c>
      <c r="J69" t="s">
        <v>36</v>
      </c>
      <c r="K69">
        <v>21001</v>
      </c>
      <c r="L69" t="s">
        <v>45</v>
      </c>
      <c r="M69" t="s">
        <v>45</v>
      </c>
      <c r="N69" t="s">
        <v>45</v>
      </c>
      <c r="O69">
        <v>21000</v>
      </c>
      <c r="P69" t="s">
        <v>46</v>
      </c>
      <c r="Q69" t="s">
        <v>47</v>
      </c>
      <c r="R69" t="s">
        <v>48</v>
      </c>
      <c r="T69" t="s">
        <v>36</v>
      </c>
      <c r="U69" t="s">
        <v>36</v>
      </c>
      <c r="V69" t="s">
        <v>36</v>
      </c>
      <c r="W69">
        <v>4000</v>
      </c>
      <c r="X69" t="s">
        <v>49</v>
      </c>
      <c r="Y69" t="s">
        <v>50</v>
      </c>
      <c r="Z69" t="s">
        <v>51</v>
      </c>
      <c r="AA69" t="s">
        <v>37</v>
      </c>
      <c r="AB69" t="s">
        <v>52</v>
      </c>
      <c r="AC69" t="s">
        <v>53</v>
      </c>
      <c r="AD69" t="s">
        <v>54</v>
      </c>
      <c r="AE69">
        <v>10.7012700926</v>
      </c>
      <c r="AF69">
        <v>1571</v>
      </c>
      <c r="AG69">
        <v>1570.9202993599999</v>
      </c>
      <c r="AH69">
        <v>107014.42396499999</v>
      </c>
      <c r="AI69">
        <v>45</v>
      </c>
      <c r="AJ69">
        <v>97346.596380002302</v>
      </c>
      <c r="AK69" s="1">
        <f>intersection_ss_Lden___surface[[#This Row],[surf m2 bout ss]]/intersection_ss_Lden___surface[[#This Row],[Shape_Area]]</f>
        <v>0.90965864949046826</v>
      </c>
      <c r="AL69">
        <v>447</v>
      </c>
      <c r="AM69">
        <f>intersection_ss_Lden___surface[[#This Row],[Population totale 2024 ss]]*intersection_ss_Lden___surface[[#This Row],[Part de la surface du qs dans le noise contour]]</f>
        <v>406.61741632223931</v>
      </c>
    </row>
    <row r="70" spans="1:39" x14ac:dyDescent="0.3">
      <c r="A70">
        <v>100</v>
      </c>
      <c r="B70" t="s">
        <v>188</v>
      </c>
      <c r="C70" t="s">
        <v>189</v>
      </c>
      <c r="D70" t="s">
        <v>190</v>
      </c>
      <c r="E70" t="s">
        <v>190</v>
      </c>
      <c r="F70" t="s">
        <v>181</v>
      </c>
      <c r="G70" t="s">
        <v>150</v>
      </c>
      <c r="H70" t="s">
        <v>151</v>
      </c>
      <c r="I70" t="s">
        <v>152</v>
      </c>
      <c r="J70" t="s">
        <v>36</v>
      </c>
      <c r="K70">
        <v>21001</v>
      </c>
      <c r="L70" t="s">
        <v>45</v>
      </c>
      <c r="M70" t="s">
        <v>45</v>
      </c>
      <c r="N70" t="s">
        <v>45</v>
      </c>
      <c r="O70">
        <v>21000</v>
      </c>
      <c r="P70" t="s">
        <v>46</v>
      </c>
      <c r="Q70" t="s">
        <v>47</v>
      </c>
      <c r="R70" t="s">
        <v>48</v>
      </c>
      <c r="T70" t="s">
        <v>36</v>
      </c>
      <c r="U70" t="s">
        <v>36</v>
      </c>
      <c r="V70" t="s">
        <v>36</v>
      </c>
      <c r="W70">
        <v>4000</v>
      </c>
      <c r="X70" t="s">
        <v>49</v>
      </c>
      <c r="Y70" t="s">
        <v>50</v>
      </c>
      <c r="Z70" t="s">
        <v>51</v>
      </c>
      <c r="AA70" t="s">
        <v>37</v>
      </c>
      <c r="AB70" t="s">
        <v>52</v>
      </c>
      <c r="AC70" t="s">
        <v>53</v>
      </c>
      <c r="AD70" t="s">
        <v>54</v>
      </c>
      <c r="AE70">
        <v>10.7012700926</v>
      </c>
      <c r="AF70">
        <v>1571</v>
      </c>
      <c r="AG70">
        <v>1570.9202993599999</v>
      </c>
      <c r="AH70">
        <v>107014.42396499999</v>
      </c>
      <c r="AI70">
        <v>46</v>
      </c>
      <c r="AJ70">
        <v>9678.7121618930305</v>
      </c>
      <c r="AK70" s="1">
        <f>intersection_ss_Lden___surface[[#This Row],[surf m2 bout ss]]/intersection_ss_Lden___surface[[#This Row],[Shape_Area]]</f>
        <v>9.0443061816214032E-2</v>
      </c>
      <c r="AL70">
        <v>447</v>
      </c>
      <c r="AM70">
        <f>intersection_ss_Lden___surface[[#This Row],[Population totale 2024 ss]]*intersection_ss_Lden___surface[[#This Row],[Part de la surface du qs dans le noise contour]]</f>
        <v>40.428048631847673</v>
      </c>
    </row>
    <row r="71" spans="1:39" x14ac:dyDescent="0.3">
      <c r="A71">
        <v>101</v>
      </c>
      <c r="B71" t="s">
        <v>191</v>
      </c>
      <c r="C71" t="s">
        <v>192</v>
      </c>
      <c r="D71" t="s">
        <v>193</v>
      </c>
      <c r="E71" t="s">
        <v>193</v>
      </c>
      <c r="F71" t="s">
        <v>181</v>
      </c>
      <c r="G71" t="s">
        <v>150</v>
      </c>
      <c r="H71" t="s">
        <v>151</v>
      </c>
      <c r="I71" t="s">
        <v>152</v>
      </c>
      <c r="J71" t="s">
        <v>36</v>
      </c>
      <c r="K71">
        <v>21001</v>
      </c>
      <c r="L71" t="s">
        <v>45</v>
      </c>
      <c r="M71" t="s">
        <v>45</v>
      </c>
      <c r="N71" t="s">
        <v>45</v>
      </c>
      <c r="O71">
        <v>21000</v>
      </c>
      <c r="P71" t="s">
        <v>46</v>
      </c>
      <c r="Q71" t="s">
        <v>47</v>
      </c>
      <c r="R71" t="s">
        <v>48</v>
      </c>
      <c r="T71" t="s">
        <v>36</v>
      </c>
      <c r="U71" t="s">
        <v>36</v>
      </c>
      <c r="V71" t="s">
        <v>36</v>
      </c>
      <c r="W71">
        <v>4000</v>
      </c>
      <c r="X71" t="s">
        <v>49</v>
      </c>
      <c r="Y71" t="s">
        <v>50</v>
      </c>
      <c r="Z71" t="s">
        <v>51</v>
      </c>
      <c r="AA71" t="s">
        <v>37</v>
      </c>
      <c r="AB71" t="s">
        <v>52</v>
      </c>
      <c r="AC71" t="s">
        <v>53</v>
      </c>
      <c r="AD71" t="s">
        <v>54</v>
      </c>
      <c r="AE71">
        <v>197.73723858400001</v>
      </c>
      <c r="AF71">
        <v>8030</v>
      </c>
      <c r="AG71">
        <v>8030.1477084899998</v>
      </c>
      <c r="AH71">
        <v>1977404.2117999999</v>
      </c>
      <c r="AI71">
        <v>45</v>
      </c>
      <c r="AJ71">
        <v>1267078.89540874</v>
      </c>
      <c r="AK71" s="1">
        <f>intersection_ss_Lden___surface[[#This Row],[surf m2 bout ss]]/intersection_ss_Lden___surface[[#This Row],[Shape_Area]]</f>
        <v>0.64077889985646286</v>
      </c>
      <c r="AL71">
        <v>1522</v>
      </c>
      <c r="AM71">
        <f>intersection_ss_Lden___surface[[#This Row],[Population totale 2024 ss]]*intersection_ss_Lden___surface[[#This Row],[Part de la surface du qs dans le noise contour]]</f>
        <v>975.2654855815365</v>
      </c>
    </row>
    <row r="72" spans="1:39" x14ac:dyDescent="0.3">
      <c r="A72">
        <v>102</v>
      </c>
      <c r="B72" t="s">
        <v>191</v>
      </c>
      <c r="C72" t="s">
        <v>192</v>
      </c>
      <c r="D72" t="s">
        <v>193</v>
      </c>
      <c r="E72" t="s">
        <v>193</v>
      </c>
      <c r="F72" t="s">
        <v>181</v>
      </c>
      <c r="G72" t="s">
        <v>150</v>
      </c>
      <c r="H72" t="s">
        <v>151</v>
      </c>
      <c r="I72" t="s">
        <v>152</v>
      </c>
      <c r="J72" t="s">
        <v>36</v>
      </c>
      <c r="K72">
        <v>21001</v>
      </c>
      <c r="L72" t="s">
        <v>45</v>
      </c>
      <c r="M72" t="s">
        <v>45</v>
      </c>
      <c r="N72" t="s">
        <v>45</v>
      </c>
      <c r="O72">
        <v>21000</v>
      </c>
      <c r="P72" t="s">
        <v>46</v>
      </c>
      <c r="Q72" t="s">
        <v>47</v>
      </c>
      <c r="R72" t="s">
        <v>48</v>
      </c>
      <c r="T72" t="s">
        <v>36</v>
      </c>
      <c r="U72" t="s">
        <v>36</v>
      </c>
      <c r="V72" t="s">
        <v>36</v>
      </c>
      <c r="W72">
        <v>4000</v>
      </c>
      <c r="X72" t="s">
        <v>49</v>
      </c>
      <c r="Y72" t="s">
        <v>50</v>
      </c>
      <c r="Z72" t="s">
        <v>51</v>
      </c>
      <c r="AA72" t="s">
        <v>37</v>
      </c>
      <c r="AB72" t="s">
        <v>52</v>
      </c>
      <c r="AC72" t="s">
        <v>53</v>
      </c>
      <c r="AD72" t="s">
        <v>54</v>
      </c>
      <c r="AE72">
        <v>197.73723858400001</v>
      </c>
      <c r="AF72">
        <v>8030</v>
      </c>
      <c r="AG72">
        <v>8030.1477084899998</v>
      </c>
      <c r="AH72">
        <v>1977404.2117999999</v>
      </c>
      <c r="AI72">
        <v>46</v>
      </c>
      <c r="AJ72">
        <v>102597.06870964001</v>
      </c>
      <c r="AK72" s="1">
        <f>intersection_ss_Lden___surface[[#This Row],[surf m2 bout ss]]/intersection_ss_Lden___surface[[#This Row],[Shape_Area]]</f>
        <v>5.1884722454519056E-2</v>
      </c>
      <c r="AL72">
        <v>1522</v>
      </c>
      <c r="AM72">
        <f>intersection_ss_Lden___surface[[#This Row],[Population totale 2024 ss]]*intersection_ss_Lden___surface[[#This Row],[Part de la surface du qs dans le noise contour]]</f>
        <v>78.968547575778004</v>
      </c>
    </row>
    <row r="73" spans="1:39" x14ac:dyDescent="0.3">
      <c r="A73">
        <v>103</v>
      </c>
      <c r="B73" t="s">
        <v>194</v>
      </c>
      <c r="C73" t="s">
        <v>195</v>
      </c>
      <c r="D73" t="s">
        <v>196</v>
      </c>
      <c r="E73" t="s">
        <v>196</v>
      </c>
      <c r="F73" t="s">
        <v>197</v>
      </c>
      <c r="G73" t="s">
        <v>198</v>
      </c>
      <c r="H73" t="s">
        <v>199</v>
      </c>
      <c r="I73" t="s">
        <v>200</v>
      </c>
      <c r="J73" t="s">
        <v>36</v>
      </c>
      <c r="K73">
        <v>21001</v>
      </c>
      <c r="L73" t="s">
        <v>45</v>
      </c>
      <c r="M73" t="s">
        <v>45</v>
      </c>
      <c r="N73" t="s">
        <v>45</v>
      </c>
      <c r="O73">
        <v>21000</v>
      </c>
      <c r="P73" t="s">
        <v>46</v>
      </c>
      <c r="Q73" t="s">
        <v>47</v>
      </c>
      <c r="R73" t="s">
        <v>48</v>
      </c>
      <c r="T73" t="s">
        <v>36</v>
      </c>
      <c r="U73" t="s">
        <v>36</v>
      </c>
      <c r="V73" t="s">
        <v>36</v>
      </c>
      <c r="W73">
        <v>4000</v>
      </c>
      <c r="X73" t="s">
        <v>49</v>
      </c>
      <c r="Y73" t="s">
        <v>50</v>
      </c>
      <c r="Z73" t="s">
        <v>51</v>
      </c>
      <c r="AA73" t="s">
        <v>37</v>
      </c>
      <c r="AB73" t="s">
        <v>52</v>
      </c>
      <c r="AC73" t="s">
        <v>53</v>
      </c>
      <c r="AD73" t="s">
        <v>54</v>
      </c>
      <c r="AE73">
        <v>273.38852702100002</v>
      </c>
      <c r="AF73">
        <v>8031</v>
      </c>
      <c r="AG73">
        <v>8030.5794251300003</v>
      </c>
      <c r="AH73">
        <v>2733929.22205</v>
      </c>
      <c r="AI73">
        <v>45</v>
      </c>
      <c r="AJ73">
        <v>13499.296077590399</v>
      </c>
      <c r="AK73" s="1">
        <f>intersection_ss_Lden___surface[[#This Row],[surf m2 bout ss]]/intersection_ss_Lden___surface[[#This Row],[Shape_Area]]</f>
        <v>4.9376904013148275E-3</v>
      </c>
      <c r="AL73">
        <v>445</v>
      </c>
      <c r="AM73">
        <f>intersection_ss_Lden___surface[[#This Row],[Population totale 2024 ss]]*intersection_ss_Lden___surface[[#This Row],[Part de la surface du qs dans le noise contour]]</f>
        <v>2.1972722285850983</v>
      </c>
    </row>
    <row r="74" spans="1:39" x14ac:dyDescent="0.3">
      <c r="A74">
        <v>104</v>
      </c>
      <c r="B74" t="s">
        <v>201</v>
      </c>
      <c r="C74" t="s">
        <v>202</v>
      </c>
      <c r="D74" t="s">
        <v>203</v>
      </c>
      <c r="E74" t="s">
        <v>203</v>
      </c>
      <c r="F74" t="s">
        <v>204</v>
      </c>
      <c r="G74" t="s">
        <v>198</v>
      </c>
      <c r="H74" t="s">
        <v>199</v>
      </c>
      <c r="I74" t="s">
        <v>200</v>
      </c>
      <c r="J74" t="s">
        <v>36</v>
      </c>
      <c r="K74">
        <v>21001</v>
      </c>
      <c r="L74" t="s">
        <v>45</v>
      </c>
      <c r="M74" t="s">
        <v>45</v>
      </c>
      <c r="N74" t="s">
        <v>45</v>
      </c>
      <c r="O74">
        <v>21000</v>
      </c>
      <c r="P74" t="s">
        <v>46</v>
      </c>
      <c r="Q74" t="s">
        <v>47</v>
      </c>
      <c r="R74" t="s">
        <v>48</v>
      </c>
      <c r="T74" t="s">
        <v>36</v>
      </c>
      <c r="U74" t="s">
        <v>36</v>
      </c>
      <c r="V74" t="s">
        <v>36</v>
      </c>
      <c r="W74">
        <v>4000</v>
      </c>
      <c r="X74" t="s">
        <v>49</v>
      </c>
      <c r="Y74" t="s">
        <v>50</v>
      </c>
      <c r="Z74" t="s">
        <v>51</v>
      </c>
      <c r="AA74" t="s">
        <v>37</v>
      </c>
      <c r="AB74" t="s">
        <v>52</v>
      </c>
      <c r="AC74" t="s">
        <v>53</v>
      </c>
      <c r="AD74" t="s">
        <v>54</v>
      </c>
      <c r="AE74">
        <v>23.127963969500001</v>
      </c>
      <c r="AF74">
        <v>2205</v>
      </c>
      <c r="AG74">
        <v>2204.5484469100002</v>
      </c>
      <c r="AH74">
        <v>231283.35665199999</v>
      </c>
      <c r="AI74">
        <v>45</v>
      </c>
      <c r="AJ74">
        <v>9171.0722217799594</v>
      </c>
      <c r="AK74" s="1">
        <f>intersection_ss_Lden___surface[[#This Row],[surf m2 bout ss]]/intersection_ss_Lden___surface[[#This Row],[Shape_Area]]</f>
        <v>3.9652970946712753E-2</v>
      </c>
      <c r="AL74">
        <v>1542</v>
      </c>
      <c r="AM74">
        <f>intersection_ss_Lden___surface[[#This Row],[Population totale 2024 ss]]*intersection_ss_Lden___surface[[#This Row],[Part de la surface du qs dans le noise contour]]</f>
        <v>61.144881199831062</v>
      </c>
    </row>
    <row r="75" spans="1:39" x14ac:dyDescent="0.3">
      <c r="A75">
        <v>105</v>
      </c>
      <c r="B75" t="s">
        <v>205</v>
      </c>
      <c r="C75" t="s">
        <v>206</v>
      </c>
      <c r="D75" t="s">
        <v>207</v>
      </c>
      <c r="E75" t="s">
        <v>207</v>
      </c>
      <c r="F75" t="s">
        <v>208</v>
      </c>
      <c r="G75" t="s">
        <v>209</v>
      </c>
      <c r="H75" t="s">
        <v>210</v>
      </c>
      <c r="I75" t="s">
        <v>211</v>
      </c>
      <c r="J75" t="s">
        <v>36</v>
      </c>
      <c r="K75">
        <v>21002</v>
      </c>
      <c r="L75" t="s">
        <v>212</v>
      </c>
      <c r="M75" t="s">
        <v>213</v>
      </c>
      <c r="N75" t="s">
        <v>213</v>
      </c>
      <c r="O75">
        <v>21000</v>
      </c>
      <c r="P75" t="s">
        <v>46</v>
      </c>
      <c r="Q75" t="s">
        <v>47</v>
      </c>
      <c r="R75" t="s">
        <v>48</v>
      </c>
      <c r="T75" t="s">
        <v>36</v>
      </c>
      <c r="U75" t="s">
        <v>36</v>
      </c>
      <c r="V75" t="s">
        <v>36</v>
      </c>
      <c r="W75">
        <v>4000</v>
      </c>
      <c r="X75" t="s">
        <v>49</v>
      </c>
      <c r="Y75" t="s">
        <v>50</v>
      </c>
      <c r="Z75" t="s">
        <v>51</v>
      </c>
      <c r="AA75" t="s">
        <v>37</v>
      </c>
      <c r="AB75" t="s">
        <v>52</v>
      </c>
      <c r="AC75" t="s">
        <v>53</v>
      </c>
      <c r="AD75" t="s">
        <v>54</v>
      </c>
      <c r="AE75">
        <v>12.528614815299999</v>
      </c>
      <c r="AF75">
        <v>2131</v>
      </c>
      <c r="AG75">
        <v>2131.4819228599999</v>
      </c>
      <c r="AH75">
        <v>125288.178581</v>
      </c>
      <c r="AI75">
        <v>45</v>
      </c>
      <c r="AJ75">
        <v>51671.252543009803</v>
      </c>
      <c r="AK75" s="1">
        <f>intersection_ss_Lden___surface[[#This Row],[surf m2 bout ss]]/intersection_ss_Lden___surface[[#This Row],[Shape_Area]]</f>
        <v>0.41241921726560854</v>
      </c>
      <c r="AL75">
        <v>747</v>
      </c>
      <c r="AM75">
        <f>intersection_ss_Lden___surface[[#This Row],[Population totale 2024 ss]]*intersection_ss_Lden___surface[[#This Row],[Part de la surface du qs dans le noise contour]]</f>
        <v>308.0771552974096</v>
      </c>
    </row>
    <row r="76" spans="1:39" x14ac:dyDescent="0.3">
      <c r="A76">
        <v>106</v>
      </c>
      <c r="B76" t="s">
        <v>205</v>
      </c>
      <c r="C76" t="s">
        <v>206</v>
      </c>
      <c r="D76" t="s">
        <v>207</v>
      </c>
      <c r="E76" t="s">
        <v>207</v>
      </c>
      <c r="F76" t="s">
        <v>208</v>
      </c>
      <c r="G76" t="s">
        <v>209</v>
      </c>
      <c r="H76" t="s">
        <v>210</v>
      </c>
      <c r="I76" t="s">
        <v>211</v>
      </c>
      <c r="J76" t="s">
        <v>36</v>
      </c>
      <c r="K76">
        <v>21002</v>
      </c>
      <c r="L76" t="s">
        <v>212</v>
      </c>
      <c r="M76" t="s">
        <v>213</v>
      </c>
      <c r="N76" t="s">
        <v>213</v>
      </c>
      <c r="O76">
        <v>21000</v>
      </c>
      <c r="P76" t="s">
        <v>46</v>
      </c>
      <c r="Q76" t="s">
        <v>47</v>
      </c>
      <c r="R76" t="s">
        <v>48</v>
      </c>
      <c r="T76" t="s">
        <v>36</v>
      </c>
      <c r="U76" t="s">
        <v>36</v>
      </c>
      <c r="V76" t="s">
        <v>36</v>
      </c>
      <c r="W76">
        <v>4000</v>
      </c>
      <c r="X76" t="s">
        <v>49</v>
      </c>
      <c r="Y76" t="s">
        <v>50</v>
      </c>
      <c r="Z76" t="s">
        <v>51</v>
      </c>
      <c r="AA76" t="s">
        <v>37</v>
      </c>
      <c r="AB76" t="s">
        <v>52</v>
      </c>
      <c r="AC76" t="s">
        <v>53</v>
      </c>
      <c r="AD76" t="s">
        <v>54</v>
      </c>
      <c r="AE76">
        <v>12.528614815299999</v>
      </c>
      <c r="AF76">
        <v>2131</v>
      </c>
      <c r="AG76">
        <v>2131.4819228599999</v>
      </c>
      <c r="AH76">
        <v>125288.178581</v>
      </c>
      <c r="AI76">
        <v>46</v>
      </c>
      <c r="AJ76">
        <v>3166.9542532861201</v>
      </c>
      <c r="AK76" s="1">
        <f>intersection_ss_Lden___surface[[#This Row],[surf m2 bout ss]]/intersection_ss_Lden___surface[[#This Row],[Shape_Area]]</f>
        <v>2.5277358878983573E-2</v>
      </c>
      <c r="AL76">
        <v>747</v>
      </c>
      <c r="AM76">
        <f>intersection_ss_Lden___surface[[#This Row],[Population totale 2024 ss]]*intersection_ss_Lden___surface[[#This Row],[Part de la surface du qs dans le noise contour]]</f>
        <v>18.88218708260073</v>
      </c>
    </row>
    <row r="77" spans="1:39" x14ac:dyDescent="0.3">
      <c r="A77">
        <v>107</v>
      </c>
      <c r="B77" t="s">
        <v>214</v>
      </c>
      <c r="C77" t="s">
        <v>215</v>
      </c>
      <c r="D77" t="s">
        <v>216</v>
      </c>
      <c r="E77" t="s">
        <v>216</v>
      </c>
      <c r="F77" t="s">
        <v>208</v>
      </c>
      <c r="G77" t="s">
        <v>209</v>
      </c>
      <c r="H77" t="s">
        <v>210</v>
      </c>
      <c r="I77" t="s">
        <v>211</v>
      </c>
      <c r="J77" t="s">
        <v>36</v>
      </c>
      <c r="K77">
        <v>21002</v>
      </c>
      <c r="L77" t="s">
        <v>212</v>
      </c>
      <c r="M77" t="s">
        <v>213</v>
      </c>
      <c r="N77" t="s">
        <v>213</v>
      </c>
      <c r="O77">
        <v>21000</v>
      </c>
      <c r="P77" t="s">
        <v>46</v>
      </c>
      <c r="Q77" t="s">
        <v>47</v>
      </c>
      <c r="R77" t="s">
        <v>48</v>
      </c>
      <c r="T77" t="s">
        <v>36</v>
      </c>
      <c r="U77" t="s">
        <v>36</v>
      </c>
      <c r="V77" t="s">
        <v>36</v>
      </c>
      <c r="W77">
        <v>4000</v>
      </c>
      <c r="X77" t="s">
        <v>49</v>
      </c>
      <c r="Y77" t="s">
        <v>50</v>
      </c>
      <c r="Z77" t="s">
        <v>51</v>
      </c>
      <c r="AA77" t="s">
        <v>37</v>
      </c>
      <c r="AB77" t="s">
        <v>52</v>
      </c>
      <c r="AC77" t="s">
        <v>53</v>
      </c>
      <c r="AD77" t="s">
        <v>54</v>
      </c>
      <c r="AE77">
        <v>29.270398893100001</v>
      </c>
      <c r="AF77">
        <v>2442</v>
      </c>
      <c r="AG77">
        <v>2441.8764543900002</v>
      </c>
      <c r="AH77">
        <v>292708.70771500003</v>
      </c>
      <c r="AI77">
        <v>46</v>
      </c>
      <c r="AJ77">
        <v>62117.1384910173</v>
      </c>
      <c r="AK77" s="1">
        <f>intersection_ss_Lden___surface[[#This Row],[surf m2 bout ss]]/intersection_ss_Lden___surface[[#This Row],[Shape_Area]]</f>
        <v>0.21221486362988057</v>
      </c>
      <c r="AL77">
        <v>0</v>
      </c>
      <c r="AM77">
        <f>intersection_ss_Lden___surface[[#This Row],[Population totale 2024 ss]]*intersection_ss_Lden___surface[[#This Row],[Part de la surface du qs dans le noise contour]]</f>
        <v>0</v>
      </c>
    </row>
    <row r="78" spans="1:39" x14ac:dyDescent="0.3">
      <c r="A78">
        <v>108</v>
      </c>
      <c r="B78" t="s">
        <v>214</v>
      </c>
      <c r="C78" t="s">
        <v>215</v>
      </c>
      <c r="D78" t="s">
        <v>216</v>
      </c>
      <c r="E78" t="s">
        <v>216</v>
      </c>
      <c r="F78" t="s">
        <v>208</v>
      </c>
      <c r="G78" t="s">
        <v>209</v>
      </c>
      <c r="H78" t="s">
        <v>210</v>
      </c>
      <c r="I78" t="s">
        <v>211</v>
      </c>
      <c r="J78" t="s">
        <v>36</v>
      </c>
      <c r="K78">
        <v>21002</v>
      </c>
      <c r="L78" t="s">
        <v>212</v>
      </c>
      <c r="M78" t="s">
        <v>213</v>
      </c>
      <c r="N78" t="s">
        <v>213</v>
      </c>
      <c r="O78">
        <v>21000</v>
      </c>
      <c r="P78" t="s">
        <v>46</v>
      </c>
      <c r="Q78" t="s">
        <v>47</v>
      </c>
      <c r="R78" t="s">
        <v>48</v>
      </c>
      <c r="T78" t="s">
        <v>36</v>
      </c>
      <c r="U78" t="s">
        <v>36</v>
      </c>
      <c r="V78" t="s">
        <v>36</v>
      </c>
      <c r="W78">
        <v>4000</v>
      </c>
      <c r="X78" t="s">
        <v>49</v>
      </c>
      <c r="Y78" t="s">
        <v>50</v>
      </c>
      <c r="Z78" t="s">
        <v>51</v>
      </c>
      <c r="AA78" t="s">
        <v>37</v>
      </c>
      <c r="AB78" t="s">
        <v>52</v>
      </c>
      <c r="AC78" t="s">
        <v>53</v>
      </c>
      <c r="AD78" t="s">
        <v>54</v>
      </c>
      <c r="AE78">
        <v>29.270398893100001</v>
      </c>
      <c r="AF78">
        <v>2442</v>
      </c>
      <c r="AG78">
        <v>2441.8764543900002</v>
      </c>
      <c r="AH78">
        <v>292708.70771500003</v>
      </c>
      <c r="AI78">
        <v>47</v>
      </c>
      <c r="AJ78">
        <v>104981.725383532</v>
      </c>
      <c r="AK78" s="1">
        <f>intersection_ss_Lden___surface[[#This Row],[surf m2 bout ss]]/intersection_ss_Lden___surface[[#This Row],[Shape_Area]]</f>
        <v>0.3586559696261204</v>
      </c>
      <c r="AL78">
        <v>0</v>
      </c>
      <c r="AM78">
        <f>intersection_ss_Lden___surface[[#This Row],[Population totale 2024 ss]]*intersection_ss_Lden___surface[[#This Row],[Part de la surface du qs dans le noise contour]]</f>
        <v>0</v>
      </c>
    </row>
    <row r="79" spans="1:39" x14ac:dyDescent="0.3">
      <c r="A79">
        <v>109</v>
      </c>
      <c r="B79" t="s">
        <v>214</v>
      </c>
      <c r="C79" t="s">
        <v>215</v>
      </c>
      <c r="D79" t="s">
        <v>216</v>
      </c>
      <c r="E79" t="s">
        <v>216</v>
      </c>
      <c r="F79" t="s">
        <v>208</v>
      </c>
      <c r="G79" t="s">
        <v>209</v>
      </c>
      <c r="H79" t="s">
        <v>210</v>
      </c>
      <c r="I79" t="s">
        <v>211</v>
      </c>
      <c r="J79" t="s">
        <v>36</v>
      </c>
      <c r="K79">
        <v>21002</v>
      </c>
      <c r="L79" t="s">
        <v>212</v>
      </c>
      <c r="M79" t="s">
        <v>213</v>
      </c>
      <c r="N79" t="s">
        <v>213</v>
      </c>
      <c r="O79">
        <v>21000</v>
      </c>
      <c r="P79" t="s">
        <v>46</v>
      </c>
      <c r="Q79" t="s">
        <v>47</v>
      </c>
      <c r="R79" t="s">
        <v>48</v>
      </c>
      <c r="T79" t="s">
        <v>36</v>
      </c>
      <c r="U79" t="s">
        <v>36</v>
      </c>
      <c r="V79" t="s">
        <v>36</v>
      </c>
      <c r="W79">
        <v>4000</v>
      </c>
      <c r="X79" t="s">
        <v>49</v>
      </c>
      <c r="Y79" t="s">
        <v>50</v>
      </c>
      <c r="Z79" t="s">
        <v>51</v>
      </c>
      <c r="AA79" t="s">
        <v>37</v>
      </c>
      <c r="AB79" t="s">
        <v>52</v>
      </c>
      <c r="AC79" t="s">
        <v>53</v>
      </c>
      <c r="AD79" t="s">
        <v>54</v>
      </c>
      <c r="AE79">
        <v>29.270398893100001</v>
      </c>
      <c r="AF79">
        <v>2442</v>
      </c>
      <c r="AG79">
        <v>2441.8764543900002</v>
      </c>
      <c r="AH79">
        <v>292708.70771500003</v>
      </c>
      <c r="AI79">
        <v>48</v>
      </c>
      <c r="AJ79">
        <v>84279.663578172695</v>
      </c>
      <c r="AK79" s="1">
        <f>intersection_ss_Lden___surface[[#This Row],[surf m2 bout ss]]/intersection_ss_Lden___surface[[#This Row],[Shape_Area]]</f>
        <v>0.28793015498613994</v>
      </c>
      <c r="AL79">
        <v>0</v>
      </c>
      <c r="AM79">
        <f>intersection_ss_Lden___surface[[#This Row],[Population totale 2024 ss]]*intersection_ss_Lden___surface[[#This Row],[Part de la surface du qs dans le noise contour]]</f>
        <v>0</v>
      </c>
    </row>
    <row r="80" spans="1:39" x14ac:dyDescent="0.3">
      <c r="A80">
        <v>110</v>
      </c>
      <c r="B80" t="s">
        <v>214</v>
      </c>
      <c r="C80" t="s">
        <v>215</v>
      </c>
      <c r="D80" t="s">
        <v>216</v>
      </c>
      <c r="E80" t="s">
        <v>216</v>
      </c>
      <c r="F80" t="s">
        <v>208</v>
      </c>
      <c r="G80" t="s">
        <v>209</v>
      </c>
      <c r="H80" t="s">
        <v>210</v>
      </c>
      <c r="I80" t="s">
        <v>211</v>
      </c>
      <c r="J80" t="s">
        <v>36</v>
      </c>
      <c r="K80">
        <v>21002</v>
      </c>
      <c r="L80" t="s">
        <v>212</v>
      </c>
      <c r="M80" t="s">
        <v>213</v>
      </c>
      <c r="N80" t="s">
        <v>213</v>
      </c>
      <c r="O80">
        <v>21000</v>
      </c>
      <c r="P80" t="s">
        <v>46</v>
      </c>
      <c r="Q80" t="s">
        <v>47</v>
      </c>
      <c r="R80" t="s">
        <v>48</v>
      </c>
      <c r="T80" t="s">
        <v>36</v>
      </c>
      <c r="U80" t="s">
        <v>36</v>
      </c>
      <c r="V80" t="s">
        <v>36</v>
      </c>
      <c r="W80">
        <v>4000</v>
      </c>
      <c r="X80" t="s">
        <v>49</v>
      </c>
      <c r="Y80" t="s">
        <v>50</v>
      </c>
      <c r="Z80" t="s">
        <v>51</v>
      </c>
      <c r="AA80" t="s">
        <v>37</v>
      </c>
      <c r="AB80" t="s">
        <v>52</v>
      </c>
      <c r="AC80" t="s">
        <v>53</v>
      </c>
      <c r="AD80" t="s">
        <v>54</v>
      </c>
      <c r="AE80">
        <v>29.270398893100001</v>
      </c>
      <c r="AF80">
        <v>2442</v>
      </c>
      <c r="AG80">
        <v>2441.8764543900002</v>
      </c>
      <c r="AH80">
        <v>292708.70771500003</v>
      </c>
      <c r="AI80">
        <v>49</v>
      </c>
      <c r="AJ80">
        <v>39113.749515823598</v>
      </c>
      <c r="AK80" s="1">
        <f>intersection_ss_Lden___surface[[#This Row],[surf m2 bout ss]]/intersection_ss_Lden___surface[[#This Row],[Shape_Area]]</f>
        <v>0.13362687369692894</v>
      </c>
      <c r="AL80">
        <v>0</v>
      </c>
      <c r="AM80">
        <f>intersection_ss_Lden___surface[[#This Row],[Population totale 2024 ss]]*intersection_ss_Lden___surface[[#This Row],[Part de la surface du qs dans le noise contour]]</f>
        <v>0</v>
      </c>
    </row>
    <row r="81" spans="1:39" x14ac:dyDescent="0.3">
      <c r="A81">
        <v>111</v>
      </c>
      <c r="B81" t="s">
        <v>214</v>
      </c>
      <c r="C81" t="s">
        <v>215</v>
      </c>
      <c r="D81" t="s">
        <v>216</v>
      </c>
      <c r="E81" t="s">
        <v>216</v>
      </c>
      <c r="F81" t="s">
        <v>208</v>
      </c>
      <c r="G81" t="s">
        <v>209</v>
      </c>
      <c r="H81" t="s">
        <v>210</v>
      </c>
      <c r="I81" t="s">
        <v>211</v>
      </c>
      <c r="J81" t="s">
        <v>36</v>
      </c>
      <c r="K81">
        <v>21002</v>
      </c>
      <c r="L81" t="s">
        <v>212</v>
      </c>
      <c r="M81" t="s">
        <v>213</v>
      </c>
      <c r="N81" t="s">
        <v>213</v>
      </c>
      <c r="O81">
        <v>21000</v>
      </c>
      <c r="P81" t="s">
        <v>46</v>
      </c>
      <c r="Q81" t="s">
        <v>47</v>
      </c>
      <c r="R81" t="s">
        <v>48</v>
      </c>
      <c r="T81" t="s">
        <v>36</v>
      </c>
      <c r="U81" t="s">
        <v>36</v>
      </c>
      <c r="V81" t="s">
        <v>36</v>
      </c>
      <c r="W81">
        <v>4000</v>
      </c>
      <c r="X81" t="s">
        <v>49</v>
      </c>
      <c r="Y81" t="s">
        <v>50</v>
      </c>
      <c r="Z81" t="s">
        <v>51</v>
      </c>
      <c r="AA81" t="s">
        <v>37</v>
      </c>
      <c r="AB81" t="s">
        <v>52</v>
      </c>
      <c r="AC81" t="s">
        <v>53</v>
      </c>
      <c r="AD81" t="s">
        <v>54</v>
      </c>
      <c r="AE81">
        <v>29.270398893100001</v>
      </c>
      <c r="AF81">
        <v>2442</v>
      </c>
      <c r="AG81">
        <v>2441.8764543900002</v>
      </c>
      <c r="AH81">
        <v>292708.70771500003</v>
      </c>
      <c r="AI81">
        <v>50</v>
      </c>
      <c r="AJ81">
        <v>2246.9166554824901</v>
      </c>
      <c r="AK81" s="1">
        <f>intersection_ss_Lden___surface[[#This Row],[surf m2 bout ss]]/intersection_ss_Lden___surface[[#This Row],[Shape_Area]]</f>
        <v>7.676289075999175E-3</v>
      </c>
      <c r="AL81">
        <v>0</v>
      </c>
      <c r="AM81">
        <f>intersection_ss_Lden___surface[[#This Row],[Population totale 2024 ss]]*intersection_ss_Lden___surface[[#This Row],[Part de la surface du qs dans le noise contour]]</f>
        <v>0</v>
      </c>
    </row>
    <row r="82" spans="1:39" x14ac:dyDescent="0.3">
      <c r="A82">
        <v>112</v>
      </c>
      <c r="B82" t="s">
        <v>217</v>
      </c>
      <c r="C82" t="s">
        <v>218</v>
      </c>
      <c r="D82" t="s">
        <v>219</v>
      </c>
      <c r="E82" t="s">
        <v>219</v>
      </c>
      <c r="F82" t="s">
        <v>220</v>
      </c>
      <c r="G82" t="s">
        <v>209</v>
      </c>
      <c r="H82" t="s">
        <v>210</v>
      </c>
      <c r="I82" t="s">
        <v>211</v>
      </c>
      <c r="J82" t="s">
        <v>36</v>
      </c>
      <c r="K82">
        <v>21002</v>
      </c>
      <c r="L82" t="s">
        <v>212</v>
      </c>
      <c r="M82" t="s">
        <v>213</v>
      </c>
      <c r="N82" t="s">
        <v>213</v>
      </c>
      <c r="O82">
        <v>21000</v>
      </c>
      <c r="P82" t="s">
        <v>46</v>
      </c>
      <c r="Q82" t="s">
        <v>47</v>
      </c>
      <c r="R82" t="s">
        <v>48</v>
      </c>
      <c r="T82" t="s">
        <v>36</v>
      </c>
      <c r="U82" t="s">
        <v>36</v>
      </c>
      <c r="V82" t="s">
        <v>36</v>
      </c>
      <c r="W82">
        <v>4000</v>
      </c>
      <c r="X82" t="s">
        <v>49</v>
      </c>
      <c r="Y82" t="s">
        <v>50</v>
      </c>
      <c r="Z82" t="s">
        <v>51</v>
      </c>
      <c r="AA82" t="s">
        <v>37</v>
      </c>
      <c r="AB82" t="s">
        <v>52</v>
      </c>
      <c r="AC82" t="s">
        <v>53</v>
      </c>
      <c r="AD82" t="s">
        <v>54</v>
      </c>
      <c r="AE82">
        <v>36.973903384099998</v>
      </c>
      <c r="AF82">
        <v>3298</v>
      </c>
      <c r="AG82">
        <v>3297.9278880900001</v>
      </c>
      <c r="AH82">
        <v>369744.97842100001</v>
      </c>
      <c r="AI82">
        <v>45</v>
      </c>
      <c r="AJ82">
        <v>131408.043141356</v>
      </c>
      <c r="AK82" s="1">
        <f>intersection_ss_Lden___surface[[#This Row],[surf m2 bout ss]]/intersection_ss_Lden___surface[[#This Row],[Shape_Area]]</f>
        <v>0.3554018331838758</v>
      </c>
      <c r="AL82">
        <v>1511</v>
      </c>
      <c r="AM82">
        <f>intersection_ss_Lden___surface[[#This Row],[Population totale 2024 ss]]*intersection_ss_Lden___surface[[#This Row],[Part de la surface du qs dans le noise contour]]</f>
        <v>537.01216994083632</v>
      </c>
    </row>
    <row r="83" spans="1:39" x14ac:dyDescent="0.3">
      <c r="A83">
        <v>113</v>
      </c>
      <c r="B83" t="s">
        <v>217</v>
      </c>
      <c r="C83" t="s">
        <v>218</v>
      </c>
      <c r="D83" t="s">
        <v>219</v>
      </c>
      <c r="E83" t="s">
        <v>219</v>
      </c>
      <c r="F83" t="s">
        <v>220</v>
      </c>
      <c r="G83" t="s">
        <v>209</v>
      </c>
      <c r="H83" t="s">
        <v>210</v>
      </c>
      <c r="I83" t="s">
        <v>211</v>
      </c>
      <c r="J83" t="s">
        <v>36</v>
      </c>
      <c r="K83">
        <v>21002</v>
      </c>
      <c r="L83" t="s">
        <v>212</v>
      </c>
      <c r="M83" t="s">
        <v>213</v>
      </c>
      <c r="N83" t="s">
        <v>213</v>
      </c>
      <c r="O83">
        <v>21000</v>
      </c>
      <c r="P83" t="s">
        <v>46</v>
      </c>
      <c r="Q83" t="s">
        <v>47</v>
      </c>
      <c r="R83" t="s">
        <v>48</v>
      </c>
      <c r="T83" t="s">
        <v>36</v>
      </c>
      <c r="U83" t="s">
        <v>36</v>
      </c>
      <c r="V83" t="s">
        <v>36</v>
      </c>
      <c r="W83">
        <v>4000</v>
      </c>
      <c r="X83" t="s">
        <v>49</v>
      </c>
      <c r="Y83" t="s">
        <v>50</v>
      </c>
      <c r="Z83" t="s">
        <v>51</v>
      </c>
      <c r="AA83" t="s">
        <v>37</v>
      </c>
      <c r="AB83" t="s">
        <v>52</v>
      </c>
      <c r="AC83" t="s">
        <v>53</v>
      </c>
      <c r="AD83" t="s">
        <v>54</v>
      </c>
      <c r="AE83">
        <v>36.973903384099998</v>
      </c>
      <c r="AF83">
        <v>3298</v>
      </c>
      <c r="AG83">
        <v>3297.9278880900001</v>
      </c>
      <c r="AH83">
        <v>369744.97842100001</v>
      </c>
      <c r="AI83">
        <v>46</v>
      </c>
      <c r="AJ83">
        <v>9358.1213227202006</v>
      </c>
      <c r="AK83" s="1">
        <f>intersection_ss_Lden___surface[[#This Row],[surf m2 bout ss]]/intersection_ss_Lden___surface[[#This Row],[Shape_Area]]</f>
        <v>2.5309664414332713E-2</v>
      </c>
      <c r="AL83">
        <v>1511</v>
      </c>
      <c r="AM83">
        <f>intersection_ss_Lden___surface[[#This Row],[Population totale 2024 ss]]*intersection_ss_Lden___surface[[#This Row],[Part de la surface du qs dans le noise contour]]</f>
        <v>38.242902930056729</v>
      </c>
    </row>
    <row r="84" spans="1:39" x14ac:dyDescent="0.3">
      <c r="A84">
        <v>114</v>
      </c>
      <c r="B84" t="s">
        <v>221</v>
      </c>
      <c r="C84" t="s">
        <v>222</v>
      </c>
      <c r="D84" t="s">
        <v>223</v>
      </c>
      <c r="E84" t="s">
        <v>223</v>
      </c>
      <c r="F84" t="s">
        <v>220</v>
      </c>
      <c r="G84" t="s">
        <v>209</v>
      </c>
      <c r="H84" t="s">
        <v>210</v>
      </c>
      <c r="I84" t="s">
        <v>211</v>
      </c>
      <c r="J84" t="s">
        <v>36</v>
      </c>
      <c r="K84">
        <v>21002</v>
      </c>
      <c r="L84" t="s">
        <v>212</v>
      </c>
      <c r="M84" t="s">
        <v>213</v>
      </c>
      <c r="N84" t="s">
        <v>213</v>
      </c>
      <c r="O84">
        <v>21000</v>
      </c>
      <c r="P84" t="s">
        <v>46</v>
      </c>
      <c r="Q84" t="s">
        <v>47</v>
      </c>
      <c r="R84" t="s">
        <v>48</v>
      </c>
      <c r="T84" t="s">
        <v>36</v>
      </c>
      <c r="U84" t="s">
        <v>36</v>
      </c>
      <c r="V84" t="s">
        <v>36</v>
      </c>
      <c r="W84">
        <v>4000</v>
      </c>
      <c r="X84" t="s">
        <v>49</v>
      </c>
      <c r="Y84" t="s">
        <v>50</v>
      </c>
      <c r="Z84" t="s">
        <v>51</v>
      </c>
      <c r="AA84" t="s">
        <v>37</v>
      </c>
      <c r="AB84" t="s">
        <v>52</v>
      </c>
      <c r="AC84" t="s">
        <v>53</v>
      </c>
      <c r="AD84" t="s">
        <v>54</v>
      </c>
      <c r="AE84">
        <v>29.761368743199998</v>
      </c>
      <c r="AF84">
        <v>2392</v>
      </c>
      <c r="AG84">
        <v>2392.3226804599999</v>
      </c>
      <c r="AH84">
        <v>297618.49016799999</v>
      </c>
      <c r="AI84">
        <v>45</v>
      </c>
      <c r="AJ84">
        <v>17569.0901074137</v>
      </c>
      <c r="AK84" s="1">
        <f>intersection_ss_Lden___surface[[#This Row],[surf m2 bout ss]]/intersection_ss_Lden___surface[[#This Row],[Shape_Area]]</f>
        <v>5.9032253330417346E-2</v>
      </c>
      <c r="AL84">
        <v>1290</v>
      </c>
      <c r="AM84">
        <f>intersection_ss_Lden___surface[[#This Row],[Population totale 2024 ss]]*intersection_ss_Lden___surface[[#This Row],[Part de la surface du qs dans le noise contour]]</f>
        <v>76.151606796238383</v>
      </c>
    </row>
    <row r="85" spans="1:39" x14ac:dyDescent="0.3">
      <c r="A85">
        <v>115</v>
      </c>
      <c r="B85" t="s">
        <v>224</v>
      </c>
      <c r="C85" t="s">
        <v>225</v>
      </c>
      <c r="D85" t="s">
        <v>226</v>
      </c>
      <c r="E85" t="s">
        <v>226</v>
      </c>
      <c r="F85" t="s">
        <v>220</v>
      </c>
      <c r="G85" t="s">
        <v>209</v>
      </c>
      <c r="H85" t="s">
        <v>210</v>
      </c>
      <c r="I85" t="s">
        <v>211</v>
      </c>
      <c r="J85" t="s">
        <v>36</v>
      </c>
      <c r="K85">
        <v>21002</v>
      </c>
      <c r="L85" t="s">
        <v>212</v>
      </c>
      <c r="M85" t="s">
        <v>213</v>
      </c>
      <c r="N85" t="s">
        <v>213</v>
      </c>
      <c r="O85">
        <v>21000</v>
      </c>
      <c r="P85" t="s">
        <v>46</v>
      </c>
      <c r="Q85" t="s">
        <v>47</v>
      </c>
      <c r="R85" t="s">
        <v>48</v>
      </c>
      <c r="T85" t="s">
        <v>36</v>
      </c>
      <c r="U85" t="s">
        <v>36</v>
      </c>
      <c r="V85" t="s">
        <v>36</v>
      </c>
      <c r="W85">
        <v>4000</v>
      </c>
      <c r="X85" t="s">
        <v>49</v>
      </c>
      <c r="Y85" t="s">
        <v>50</v>
      </c>
      <c r="Z85" t="s">
        <v>51</v>
      </c>
      <c r="AA85" t="s">
        <v>37</v>
      </c>
      <c r="AB85" t="s">
        <v>52</v>
      </c>
      <c r="AC85" t="s">
        <v>53</v>
      </c>
      <c r="AD85" t="s">
        <v>54</v>
      </c>
      <c r="AE85">
        <v>90.702021159599994</v>
      </c>
      <c r="AF85">
        <v>6094</v>
      </c>
      <c r="AG85">
        <v>6093.9229699500002</v>
      </c>
      <c r="AH85">
        <v>907034.82473800005</v>
      </c>
      <c r="AI85">
        <v>45</v>
      </c>
      <c r="AJ85">
        <v>146384.25611610099</v>
      </c>
      <c r="AK85" s="1">
        <f>intersection_ss_Lden___surface[[#This Row],[surf m2 bout ss]]/intersection_ss_Lden___surface[[#This Row],[Shape_Area]]</f>
        <v>0.16138769110478704</v>
      </c>
      <c r="AL85">
        <v>6</v>
      </c>
      <c r="AM85">
        <f>intersection_ss_Lden___surface[[#This Row],[Population totale 2024 ss]]*intersection_ss_Lden___surface[[#This Row],[Part de la surface du qs dans le noise contour]]</f>
        <v>0.9683261466287223</v>
      </c>
    </row>
    <row r="86" spans="1:39" x14ac:dyDescent="0.3">
      <c r="A86">
        <v>116</v>
      </c>
      <c r="B86" t="s">
        <v>224</v>
      </c>
      <c r="C86" t="s">
        <v>225</v>
      </c>
      <c r="D86" t="s">
        <v>226</v>
      </c>
      <c r="E86" t="s">
        <v>226</v>
      </c>
      <c r="F86" t="s">
        <v>220</v>
      </c>
      <c r="G86" t="s">
        <v>209</v>
      </c>
      <c r="H86" t="s">
        <v>210</v>
      </c>
      <c r="I86" t="s">
        <v>211</v>
      </c>
      <c r="J86" t="s">
        <v>36</v>
      </c>
      <c r="K86">
        <v>21002</v>
      </c>
      <c r="L86" t="s">
        <v>212</v>
      </c>
      <c r="M86" t="s">
        <v>213</v>
      </c>
      <c r="N86" t="s">
        <v>213</v>
      </c>
      <c r="O86">
        <v>21000</v>
      </c>
      <c r="P86" t="s">
        <v>46</v>
      </c>
      <c r="Q86" t="s">
        <v>47</v>
      </c>
      <c r="R86" t="s">
        <v>48</v>
      </c>
      <c r="T86" t="s">
        <v>36</v>
      </c>
      <c r="U86" t="s">
        <v>36</v>
      </c>
      <c r="V86" t="s">
        <v>36</v>
      </c>
      <c r="W86">
        <v>4000</v>
      </c>
      <c r="X86" t="s">
        <v>49</v>
      </c>
      <c r="Y86" t="s">
        <v>50</v>
      </c>
      <c r="Z86" t="s">
        <v>51</v>
      </c>
      <c r="AA86" t="s">
        <v>37</v>
      </c>
      <c r="AB86" t="s">
        <v>52</v>
      </c>
      <c r="AC86" t="s">
        <v>53</v>
      </c>
      <c r="AD86" t="s">
        <v>54</v>
      </c>
      <c r="AE86">
        <v>90.702021159599994</v>
      </c>
      <c r="AF86">
        <v>6094</v>
      </c>
      <c r="AG86">
        <v>6093.9229699500002</v>
      </c>
      <c r="AH86">
        <v>907034.82473800005</v>
      </c>
      <c r="AI86">
        <v>46</v>
      </c>
      <c r="AJ86">
        <v>199954.22516786901</v>
      </c>
      <c r="AK86" s="1">
        <f>intersection_ss_Lden___surface[[#This Row],[surf m2 bout ss]]/intersection_ss_Lden___surface[[#This Row],[Shape_Area]]</f>
        <v>0.22044823386536061</v>
      </c>
      <c r="AL86">
        <v>6</v>
      </c>
      <c r="AM86">
        <f>intersection_ss_Lden___surface[[#This Row],[Population totale 2024 ss]]*intersection_ss_Lden___surface[[#This Row],[Part de la surface du qs dans le noise contour]]</f>
        <v>1.3226894031921637</v>
      </c>
    </row>
    <row r="87" spans="1:39" x14ac:dyDescent="0.3">
      <c r="A87">
        <v>117</v>
      </c>
      <c r="B87" t="s">
        <v>224</v>
      </c>
      <c r="C87" t="s">
        <v>225</v>
      </c>
      <c r="D87" t="s">
        <v>226</v>
      </c>
      <c r="E87" t="s">
        <v>226</v>
      </c>
      <c r="F87" t="s">
        <v>220</v>
      </c>
      <c r="G87" t="s">
        <v>209</v>
      </c>
      <c r="H87" t="s">
        <v>210</v>
      </c>
      <c r="I87" t="s">
        <v>211</v>
      </c>
      <c r="J87" t="s">
        <v>36</v>
      </c>
      <c r="K87">
        <v>21002</v>
      </c>
      <c r="L87" t="s">
        <v>212</v>
      </c>
      <c r="M87" t="s">
        <v>213</v>
      </c>
      <c r="N87" t="s">
        <v>213</v>
      </c>
      <c r="O87">
        <v>21000</v>
      </c>
      <c r="P87" t="s">
        <v>46</v>
      </c>
      <c r="Q87" t="s">
        <v>47</v>
      </c>
      <c r="R87" t="s">
        <v>48</v>
      </c>
      <c r="T87" t="s">
        <v>36</v>
      </c>
      <c r="U87" t="s">
        <v>36</v>
      </c>
      <c r="V87" t="s">
        <v>36</v>
      </c>
      <c r="W87">
        <v>4000</v>
      </c>
      <c r="X87" t="s">
        <v>49</v>
      </c>
      <c r="Y87" t="s">
        <v>50</v>
      </c>
      <c r="Z87" t="s">
        <v>51</v>
      </c>
      <c r="AA87" t="s">
        <v>37</v>
      </c>
      <c r="AB87" t="s">
        <v>52</v>
      </c>
      <c r="AC87" t="s">
        <v>53</v>
      </c>
      <c r="AD87" t="s">
        <v>54</v>
      </c>
      <c r="AE87">
        <v>90.702021159599994</v>
      </c>
      <c r="AF87">
        <v>6094</v>
      </c>
      <c r="AG87">
        <v>6093.9229699500002</v>
      </c>
      <c r="AH87">
        <v>907034.82473800005</v>
      </c>
      <c r="AI87">
        <v>47</v>
      </c>
      <c r="AJ87">
        <v>186932.43147552901</v>
      </c>
      <c r="AK87" s="1">
        <f>intersection_ss_Lden___surface[[#This Row],[surf m2 bout ss]]/intersection_ss_Lden___surface[[#This Row],[Shape_Area]]</f>
        <v>0.20609179094035893</v>
      </c>
      <c r="AL87">
        <v>6</v>
      </c>
      <c r="AM87">
        <f>intersection_ss_Lden___surface[[#This Row],[Population totale 2024 ss]]*intersection_ss_Lden___surface[[#This Row],[Part de la surface du qs dans le noise contour]]</f>
        <v>1.2365507456421536</v>
      </c>
    </row>
    <row r="88" spans="1:39" x14ac:dyDescent="0.3">
      <c r="A88">
        <v>118</v>
      </c>
      <c r="B88" t="s">
        <v>224</v>
      </c>
      <c r="C88" t="s">
        <v>225</v>
      </c>
      <c r="D88" t="s">
        <v>226</v>
      </c>
      <c r="E88" t="s">
        <v>226</v>
      </c>
      <c r="F88" t="s">
        <v>220</v>
      </c>
      <c r="G88" t="s">
        <v>209</v>
      </c>
      <c r="H88" t="s">
        <v>210</v>
      </c>
      <c r="I88" t="s">
        <v>211</v>
      </c>
      <c r="J88" t="s">
        <v>36</v>
      </c>
      <c r="K88">
        <v>21002</v>
      </c>
      <c r="L88" t="s">
        <v>212</v>
      </c>
      <c r="M88" t="s">
        <v>213</v>
      </c>
      <c r="N88" t="s">
        <v>213</v>
      </c>
      <c r="O88">
        <v>21000</v>
      </c>
      <c r="P88" t="s">
        <v>46</v>
      </c>
      <c r="Q88" t="s">
        <v>47</v>
      </c>
      <c r="R88" t="s">
        <v>48</v>
      </c>
      <c r="T88" t="s">
        <v>36</v>
      </c>
      <c r="U88" t="s">
        <v>36</v>
      </c>
      <c r="V88" t="s">
        <v>36</v>
      </c>
      <c r="W88">
        <v>4000</v>
      </c>
      <c r="X88" t="s">
        <v>49</v>
      </c>
      <c r="Y88" t="s">
        <v>50</v>
      </c>
      <c r="Z88" t="s">
        <v>51</v>
      </c>
      <c r="AA88" t="s">
        <v>37</v>
      </c>
      <c r="AB88" t="s">
        <v>52</v>
      </c>
      <c r="AC88" t="s">
        <v>53</v>
      </c>
      <c r="AD88" t="s">
        <v>54</v>
      </c>
      <c r="AE88">
        <v>90.702021159599994</v>
      </c>
      <c r="AF88">
        <v>6094</v>
      </c>
      <c r="AG88">
        <v>6093.9229699500002</v>
      </c>
      <c r="AH88">
        <v>907034.82473800005</v>
      </c>
      <c r="AI88">
        <v>48</v>
      </c>
      <c r="AJ88">
        <v>115553.299036924</v>
      </c>
      <c r="AK88" s="1">
        <f>intersection_ss_Lden___surface[[#This Row],[surf m2 bout ss]]/intersection_ss_Lden___surface[[#This Row],[Shape_Area]]</f>
        <v>0.12739676127683625</v>
      </c>
      <c r="AL88">
        <v>6</v>
      </c>
      <c r="AM88">
        <f>intersection_ss_Lden___surface[[#This Row],[Population totale 2024 ss]]*intersection_ss_Lden___surface[[#This Row],[Part de la surface du qs dans le noise contour]]</f>
        <v>0.76438056766101747</v>
      </c>
    </row>
    <row r="89" spans="1:39" x14ac:dyDescent="0.3">
      <c r="A89">
        <v>119</v>
      </c>
      <c r="B89" t="s">
        <v>224</v>
      </c>
      <c r="C89" t="s">
        <v>225</v>
      </c>
      <c r="D89" t="s">
        <v>226</v>
      </c>
      <c r="E89" t="s">
        <v>226</v>
      </c>
      <c r="F89" t="s">
        <v>220</v>
      </c>
      <c r="G89" t="s">
        <v>209</v>
      </c>
      <c r="H89" t="s">
        <v>210</v>
      </c>
      <c r="I89" t="s">
        <v>211</v>
      </c>
      <c r="J89" t="s">
        <v>36</v>
      </c>
      <c r="K89">
        <v>21002</v>
      </c>
      <c r="L89" t="s">
        <v>212</v>
      </c>
      <c r="M89" t="s">
        <v>213</v>
      </c>
      <c r="N89" t="s">
        <v>213</v>
      </c>
      <c r="O89">
        <v>21000</v>
      </c>
      <c r="P89" t="s">
        <v>46</v>
      </c>
      <c r="Q89" t="s">
        <v>47</v>
      </c>
      <c r="R89" t="s">
        <v>48</v>
      </c>
      <c r="T89" t="s">
        <v>36</v>
      </c>
      <c r="U89" t="s">
        <v>36</v>
      </c>
      <c r="V89" t="s">
        <v>36</v>
      </c>
      <c r="W89">
        <v>4000</v>
      </c>
      <c r="X89" t="s">
        <v>49</v>
      </c>
      <c r="Y89" t="s">
        <v>50</v>
      </c>
      <c r="Z89" t="s">
        <v>51</v>
      </c>
      <c r="AA89" t="s">
        <v>37</v>
      </c>
      <c r="AB89" t="s">
        <v>52</v>
      </c>
      <c r="AC89" t="s">
        <v>53</v>
      </c>
      <c r="AD89" t="s">
        <v>54</v>
      </c>
      <c r="AE89">
        <v>90.702021159599994</v>
      </c>
      <c r="AF89">
        <v>6094</v>
      </c>
      <c r="AG89">
        <v>6093.9229699500002</v>
      </c>
      <c r="AH89">
        <v>907034.82473800005</v>
      </c>
      <c r="AI89">
        <v>49</v>
      </c>
      <c r="AJ89">
        <v>79669.297796624494</v>
      </c>
      <c r="AK89" s="1">
        <f>intersection_ss_Lden___surface[[#This Row],[surf m2 bout ss]]/intersection_ss_Lden___surface[[#This Row],[Shape_Area]]</f>
        <v>8.7834883097941949E-2</v>
      </c>
      <c r="AL89">
        <v>6</v>
      </c>
      <c r="AM89">
        <f>intersection_ss_Lden___surface[[#This Row],[Population totale 2024 ss]]*intersection_ss_Lden___surface[[#This Row],[Part de la surface du qs dans le noise contour]]</f>
        <v>0.52700929858765166</v>
      </c>
    </row>
    <row r="90" spans="1:39" x14ac:dyDescent="0.3">
      <c r="A90">
        <v>120</v>
      </c>
      <c r="B90" t="s">
        <v>224</v>
      </c>
      <c r="C90" t="s">
        <v>225</v>
      </c>
      <c r="D90" t="s">
        <v>226</v>
      </c>
      <c r="E90" t="s">
        <v>226</v>
      </c>
      <c r="F90" t="s">
        <v>220</v>
      </c>
      <c r="G90" t="s">
        <v>209</v>
      </c>
      <c r="H90" t="s">
        <v>210</v>
      </c>
      <c r="I90" t="s">
        <v>211</v>
      </c>
      <c r="J90" t="s">
        <v>36</v>
      </c>
      <c r="K90">
        <v>21002</v>
      </c>
      <c r="L90" t="s">
        <v>212</v>
      </c>
      <c r="M90" t="s">
        <v>213</v>
      </c>
      <c r="N90" t="s">
        <v>213</v>
      </c>
      <c r="O90">
        <v>21000</v>
      </c>
      <c r="P90" t="s">
        <v>46</v>
      </c>
      <c r="Q90" t="s">
        <v>47</v>
      </c>
      <c r="R90" t="s">
        <v>48</v>
      </c>
      <c r="T90" t="s">
        <v>36</v>
      </c>
      <c r="U90" t="s">
        <v>36</v>
      </c>
      <c r="V90" t="s">
        <v>36</v>
      </c>
      <c r="W90">
        <v>4000</v>
      </c>
      <c r="X90" t="s">
        <v>49</v>
      </c>
      <c r="Y90" t="s">
        <v>50</v>
      </c>
      <c r="Z90" t="s">
        <v>51</v>
      </c>
      <c r="AA90" t="s">
        <v>37</v>
      </c>
      <c r="AB90" t="s">
        <v>52</v>
      </c>
      <c r="AC90" t="s">
        <v>53</v>
      </c>
      <c r="AD90" t="s">
        <v>54</v>
      </c>
      <c r="AE90">
        <v>90.702021159599994</v>
      </c>
      <c r="AF90">
        <v>6094</v>
      </c>
      <c r="AG90">
        <v>6093.9229699500002</v>
      </c>
      <c r="AH90">
        <v>907034.82473800005</v>
      </c>
      <c r="AI90">
        <v>50</v>
      </c>
      <c r="AJ90">
        <v>53787.3160935048</v>
      </c>
      <c r="AK90" s="1">
        <f>intersection_ss_Lden___surface[[#This Row],[surf m2 bout ss]]/intersection_ss_Lden___surface[[#This Row],[Shape_Area]]</f>
        <v>5.9300166461680716E-2</v>
      </c>
      <c r="AL90">
        <v>6</v>
      </c>
      <c r="AM90">
        <f>intersection_ss_Lden___surface[[#This Row],[Population totale 2024 ss]]*intersection_ss_Lden___surface[[#This Row],[Part de la surface du qs dans le noise contour]]</f>
        <v>0.35580099877008431</v>
      </c>
    </row>
    <row r="91" spans="1:39" x14ac:dyDescent="0.3">
      <c r="A91">
        <v>121</v>
      </c>
      <c r="B91" t="s">
        <v>224</v>
      </c>
      <c r="C91" t="s">
        <v>225</v>
      </c>
      <c r="D91" t="s">
        <v>226</v>
      </c>
      <c r="E91" t="s">
        <v>226</v>
      </c>
      <c r="F91" t="s">
        <v>220</v>
      </c>
      <c r="G91" t="s">
        <v>209</v>
      </c>
      <c r="H91" t="s">
        <v>210</v>
      </c>
      <c r="I91" t="s">
        <v>211</v>
      </c>
      <c r="J91" t="s">
        <v>36</v>
      </c>
      <c r="K91">
        <v>21002</v>
      </c>
      <c r="L91" t="s">
        <v>212</v>
      </c>
      <c r="M91" t="s">
        <v>213</v>
      </c>
      <c r="N91" t="s">
        <v>213</v>
      </c>
      <c r="O91">
        <v>21000</v>
      </c>
      <c r="P91" t="s">
        <v>46</v>
      </c>
      <c r="Q91" t="s">
        <v>47</v>
      </c>
      <c r="R91" t="s">
        <v>48</v>
      </c>
      <c r="T91" t="s">
        <v>36</v>
      </c>
      <c r="U91" t="s">
        <v>36</v>
      </c>
      <c r="V91" t="s">
        <v>36</v>
      </c>
      <c r="W91">
        <v>4000</v>
      </c>
      <c r="X91" t="s">
        <v>49</v>
      </c>
      <c r="Y91" t="s">
        <v>50</v>
      </c>
      <c r="Z91" t="s">
        <v>51</v>
      </c>
      <c r="AA91" t="s">
        <v>37</v>
      </c>
      <c r="AB91" t="s">
        <v>52</v>
      </c>
      <c r="AC91" t="s">
        <v>53</v>
      </c>
      <c r="AD91" t="s">
        <v>54</v>
      </c>
      <c r="AE91">
        <v>90.702021159599994</v>
      </c>
      <c r="AF91">
        <v>6094</v>
      </c>
      <c r="AG91">
        <v>6093.9229699500002</v>
      </c>
      <c r="AH91">
        <v>907034.82473800005</v>
      </c>
      <c r="AI91">
        <v>51</v>
      </c>
      <c r="AJ91">
        <v>26695.269812960501</v>
      </c>
      <c r="AK91" s="1">
        <f>intersection_ss_Lden___surface[[#This Row],[surf m2 bout ss]]/intersection_ss_Lden___surface[[#This Row],[Shape_Area]]</f>
        <v>2.9431361492290569E-2</v>
      </c>
      <c r="AL91">
        <v>6</v>
      </c>
      <c r="AM91">
        <f>intersection_ss_Lden___surface[[#This Row],[Population totale 2024 ss]]*intersection_ss_Lden___surface[[#This Row],[Part de la surface du qs dans le noise contour]]</f>
        <v>0.17658816895374341</v>
      </c>
    </row>
    <row r="92" spans="1:39" x14ac:dyDescent="0.3">
      <c r="A92">
        <v>122</v>
      </c>
      <c r="B92" t="s">
        <v>224</v>
      </c>
      <c r="C92" t="s">
        <v>225</v>
      </c>
      <c r="D92" t="s">
        <v>226</v>
      </c>
      <c r="E92" t="s">
        <v>226</v>
      </c>
      <c r="F92" t="s">
        <v>220</v>
      </c>
      <c r="G92" t="s">
        <v>209</v>
      </c>
      <c r="H92" t="s">
        <v>210</v>
      </c>
      <c r="I92" t="s">
        <v>211</v>
      </c>
      <c r="J92" t="s">
        <v>36</v>
      </c>
      <c r="K92">
        <v>21002</v>
      </c>
      <c r="L92" t="s">
        <v>212</v>
      </c>
      <c r="M92" t="s">
        <v>213</v>
      </c>
      <c r="N92" t="s">
        <v>213</v>
      </c>
      <c r="O92">
        <v>21000</v>
      </c>
      <c r="P92" t="s">
        <v>46</v>
      </c>
      <c r="Q92" t="s">
        <v>47</v>
      </c>
      <c r="R92" t="s">
        <v>48</v>
      </c>
      <c r="T92" t="s">
        <v>36</v>
      </c>
      <c r="U92" t="s">
        <v>36</v>
      </c>
      <c r="V92" t="s">
        <v>36</v>
      </c>
      <c r="W92">
        <v>4000</v>
      </c>
      <c r="X92" t="s">
        <v>49</v>
      </c>
      <c r="Y92" t="s">
        <v>50</v>
      </c>
      <c r="Z92" t="s">
        <v>51</v>
      </c>
      <c r="AA92" t="s">
        <v>37</v>
      </c>
      <c r="AB92" t="s">
        <v>52</v>
      </c>
      <c r="AC92" t="s">
        <v>53</v>
      </c>
      <c r="AD92" t="s">
        <v>54</v>
      </c>
      <c r="AE92">
        <v>90.702021159599994</v>
      </c>
      <c r="AF92">
        <v>6094</v>
      </c>
      <c r="AG92">
        <v>6093.9229699500002</v>
      </c>
      <c r="AH92">
        <v>907034.82473800005</v>
      </c>
      <c r="AI92">
        <v>52</v>
      </c>
      <c r="AJ92">
        <v>241.08818280597899</v>
      </c>
      <c r="AK92" s="1">
        <f>intersection_ss_Lden___surface[[#This Row],[surf m2 bout ss]]/intersection_ss_Lden___surface[[#This Row],[Shape_Area]]</f>
        <v>2.6579815485653274E-4</v>
      </c>
      <c r="AL92">
        <v>6</v>
      </c>
      <c r="AM92">
        <f>intersection_ss_Lden___surface[[#This Row],[Population totale 2024 ss]]*intersection_ss_Lden___surface[[#This Row],[Part de la surface du qs dans le noise contour]]</f>
        <v>1.5947889291391963E-3</v>
      </c>
    </row>
    <row r="93" spans="1:39" x14ac:dyDescent="0.3">
      <c r="A93">
        <v>123</v>
      </c>
      <c r="B93" t="s">
        <v>227</v>
      </c>
      <c r="C93" t="s">
        <v>228</v>
      </c>
      <c r="D93" t="s">
        <v>229</v>
      </c>
      <c r="E93" t="s">
        <v>229</v>
      </c>
      <c r="F93" t="s">
        <v>220</v>
      </c>
      <c r="G93" t="s">
        <v>209</v>
      </c>
      <c r="H93" t="s">
        <v>210</v>
      </c>
      <c r="I93" t="s">
        <v>211</v>
      </c>
      <c r="J93" t="s">
        <v>36</v>
      </c>
      <c r="K93">
        <v>21002</v>
      </c>
      <c r="L93" t="s">
        <v>212</v>
      </c>
      <c r="M93" t="s">
        <v>213</v>
      </c>
      <c r="N93" t="s">
        <v>213</v>
      </c>
      <c r="O93">
        <v>21000</v>
      </c>
      <c r="P93" t="s">
        <v>46</v>
      </c>
      <c r="Q93" t="s">
        <v>47</v>
      </c>
      <c r="R93" t="s">
        <v>48</v>
      </c>
      <c r="T93" t="s">
        <v>36</v>
      </c>
      <c r="U93" t="s">
        <v>36</v>
      </c>
      <c r="V93" t="s">
        <v>36</v>
      </c>
      <c r="W93">
        <v>4000</v>
      </c>
      <c r="X93" t="s">
        <v>49</v>
      </c>
      <c r="Y93" t="s">
        <v>50</v>
      </c>
      <c r="Z93" t="s">
        <v>51</v>
      </c>
      <c r="AA93" t="s">
        <v>37</v>
      </c>
      <c r="AB93" t="s">
        <v>52</v>
      </c>
      <c r="AC93" t="s">
        <v>53</v>
      </c>
      <c r="AD93" t="s">
        <v>54</v>
      </c>
      <c r="AE93">
        <v>279.46574594499998</v>
      </c>
      <c r="AF93">
        <v>8845</v>
      </c>
      <c r="AG93">
        <v>8845.0382314100007</v>
      </c>
      <c r="AH93">
        <v>2794702.5190900001</v>
      </c>
      <c r="AI93">
        <v>45</v>
      </c>
      <c r="AJ93">
        <v>311610.708903077</v>
      </c>
      <c r="AK93" s="1">
        <f>intersection_ss_Lden___surface[[#This Row],[surf m2 bout ss]]/intersection_ss_Lden___surface[[#This Row],[Shape_Area]]</f>
        <v>0.11150049308451708</v>
      </c>
      <c r="AL93">
        <v>50</v>
      </c>
      <c r="AM93">
        <f>intersection_ss_Lden___surface[[#This Row],[Population totale 2024 ss]]*intersection_ss_Lden___surface[[#This Row],[Part de la surface du qs dans le noise contour]]</f>
        <v>5.5750246542258539</v>
      </c>
    </row>
    <row r="94" spans="1:39" x14ac:dyDescent="0.3">
      <c r="A94">
        <v>124</v>
      </c>
      <c r="B94" t="s">
        <v>227</v>
      </c>
      <c r="C94" t="s">
        <v>228</v>
      </c>
      <c r="D94" t="s">
        <v>229</v>
      </c>
      <c r="E94" t="s">
        <v>229</v>
      </c>
      <c r="F94" t="s">
        <v>220</v>
      </c>
      <c r="G94" t="s">
        <v>209</v>
      </c>
      <c r="H94" t="s">
        <v>210</v>
      </c>
      <c r="I94" t="s">
        <v>211</v>
      </c>
      <c r="J94" t="s">
        <v>36</v>
      </c>
      <c r="K94">
        <v>21002</v>
      </c>
      <c r="L94" t="s">
        <v>212</v>
      </c>
      <c r="M94" t="s">
        <v>213</v>
      </c>
      <c r="N94" t="s">
        <v>213</v>
      </c>
      <c r="O94">
        <v>21000</v>
      </c>
      <c r="P94" t="s">
        <v>46</v>
      </c>
      <c r="Q94" t="s">
        <v>47</v>
      </c>
      <c r="R94" t="s">
        <v>48</v>
      </c>
      <c r="T94" t="s">
        <v>36</v>
      </c>
      <c r="U94" t="s">
        <v>36</v>
      </c>
      <c r="V94" t="s">
        <v>36</v>
      </c>
      <c r="W94">
        <v>4000</v>
      </c>
      <c r="X94" t="s">
        <v>49</v>
      </c>
      <c r="Y94" t="s">
        <v>50</v>
      </c>
      <c r="Z94" t="s">
        <v>51</v>
      </c>
      <c r="AA94" t="s">
        <v>37</v>
      </c>
      <c r="AB94" t="s">
        <v>52</v>
      </c>
      <c r="AC94" t="s">
        <v>53</v>
      </c>
      <c r="AD94" t="s">
        <v>54</v>
      </c>
      <c r="AE94">
        <v>279.46574594499998</v>
      </c>
      <c r="AF94">
        <v>8845</v>
      </c>
      <c r="AG94">
        <v>8845.0382314100007</v>
      </c>
      <c r="AH94">
        <v>2794702.5190900001</v>
      </c>
      <c r="AI94">
        <v>46</v>
      </c>
      <c r="AJ94">
        <v>386736.59148568398</v>
      </c>
      <c r="AK94" s="1">
        <f>intersection_ss_Lden___surface[[#This Row],[surf m2 bout ss]]/intersection_ss_Lden___surface[[#This Row],[Shape_Area]]</f>
        <v>0.13838202414889281</v>
      </c>
      <c r="AL94">
        <v>50</v>
      </c>
      <c r="AM94">
        <f>intersection_ss_Lden___surface[[#This Row],[Population totale 2024 ss]]*intersection_ss_Lden___surface[[#This Row],[Part de la surface du qs dans le noise contour]]</f>
        <v>6.9191012074446405</v>
      </c>
    </row>
    <row r="95" spans="1:39" x14ac:dyDescent="0.3">
      <c r="A95">
        <v>125</v>
      </c>
      <c r="B95" t="s">
        <v>227</v>
      </c>
      <c r="C95" t="s">
        <v>228</v>
      </c>
      <c r="D95" t="s">
        <v>229</v>
      </c>
      <c r="E95" t="s">
        <v>229</v>
      </c>
      <c r="F95" t="s">
        <v>220</v>
      </c>
      <c r="G95" t="s">
        <v>209</v>
      </c>
      <c r="H95" t="s">
        <v>210</v>
      </c>
      <c r="I95" t="s">
        <v>211</v>
      </c>
      <c r="J95" t="s">
        <v>36</v>
      </c>
      <c r="K95">
        <v>21002</v>
      </c>
      <c r="L95" t="s">
        <v>212</v>
      </c>
      <c r="M95" t="s">
        <v>213</v>
      </c>
      <c r="N95" t="s">
        <v>213</v>
      </c>
      <c r="O95">
        <v>21000</v>
      </c>
      <c r="P95" t="s">
        <v>46</v>
      </c>
      <c r="Q95" t="s">
        <v>47</v>
      </c>
      <c r="R95" t="s">
        <v>48</v>
      </c>
      <c r="T95" t="s">
        <v>36</v>
      </c>
      <c r="U95" t="s">
        <v>36</v>
      </c>
      <c r="V95" t="s">
        <v>36</v>
      </c>
      <c r="W95">
        <v>4000</v>
      </c>
      <c r="X95" t="s">
        <v>49</v>
      </c>
      <c r="Y95" t="s">
        <v>50</v>
      </c>
      <c r="Z95" t="s">
        <v>51</v>
      </c>
      <c r="AA95" t="s">
        <v>37</v>
      </c>
      <c r="AB95" t="s">
        <v>52</v>
      </c>
      <c r="AC95" t="s">
        <v>53</v>
      </c>
      <c r="AD95" t="s">
        <v>54</v>
      </c>
      <c r="AE95">
        <v>279.46574594499998</v>
      </c>
      <c r="AF95">
        <v>8845</v>
      </c>
      <c r="AG95">
        <v>8845.0382314100007</v>
      </c>
      <c r="AH95">
        <v>2794702.5190900001</v>
      </c>
      <c r="AI95">
        <v>47</v>
      </c>
      <c r="AJ95">
        <v>337335.29790563899</v>
      </c>
      <c r="AK95" s="1">
        <f>intersection_ss_Lden___surface[[#This Row],[surf m2 bout ss]]/intersection_ss_Lden___surface[[#This Row],[Shape_Area]]</f>
        <v>0.12070526132973923</v>
      </c>
      <c r="AL95">
        <v>50</v>
      </c>
      <c r="AM95">
        <f>intersection_ss_Lden___surface[[#This Row],[Population totale 2024 ss]]*intersection_ss_Lden___surface[[#This Row],[Part de la surface du qs dans le noise contour]]</f>
        <v>6.0352630664869613</v>
      </c>
    </row>
    <row r="96" spans="1:39" x14ac:dyDescent="0.3">
      <c r="A96">
        <v>126</v>
      </c>
      <c r="B96" t="s">
        <v>227</v>
      </c>
      <c r="C96" t="s">
        <v>228</v>
      </c>
      <c r="D96" t="s">
        <v>229</v>
      </c>
      <c r="E96" t="s">
        <v>229</v>
      </c>
      <c r="F96" t="s">
        <v>220</v>
      </c>
      <c r="G96" t="s">
        <v>209</v>
      </c>
      <c r="H96" t="s">
        <v>210</v>
      </c>
      <c r="I96" t="s">
        <v>211</v>
      </c>
      <c r="J96" t="s">
        <v>36</v>
      </c>
      <c r="K96">
        <v>21002</v>
      </c>
      <c r="L96" t="s">
        <v>212</v>
      </c>
      <c r="M96" t="s">
        <v>213</v>
      </c>
      <c r="N96" t="s">
        <v>213</v>
      </c>
      <c r="O96">
        <v>21000</v>
      </c>
      <c r="P96" t="s">
        <v>46</v>
      </c>
      <c r="Q96" t="s">
        <v>47</v>
      </c>
      <c r="R96" t="s">
        <v>48</v>
      </c>
      <c r="T96" t="s">
        <v>36</v>
      </c>
      <c r="U96" t="s">
        <v>36</v>
      </c>
      <c r="V96" t="s">
        <v>36</v>
      </c>
      <c r="W96">
        <v>4000</v>
      </c>
      <c r="X96" t="s">
        <v>49</v>
      </c>
      <c r="Y96" t="s">
        <v>50</v>
      </c>
      <c r="Z96" t="s">
        <v>51</v>
      </c>
      <c r="AA96" t="s">
        <v>37</v>
      </c>
      <c r="AB96" t="s">
        <v>52</v>
      </c>
      <c r="AC96" t="s">
        <v>53</v>
      </c>
      <c r="AD96" t="s">
        <v>54</v>
      </c>
      <c r="AE96">
        <v>279.46574594499998</v>
      </c>
      <c r="AF96">
        <v>8845</v>
      </c>
      <c r="AG96">
        <v>8845.0382314100007</v>
      </c>
      <c r="AH96">
        <v>2794702.5190900001</v>
      </c>
      <c r="AI96">
        <v>48</v>
      </c>
      <c r="AJ96">
        <v>312359.45338785101</v>
      </c>
      <c r="AK96" s="1">
        <f>intersection_ss_Lden___surface[[#This Row],[surf m2 bout ss]]/intersection_ss_Lden___surface[[#This Row],[Shape_Area]]</f>
        <v>0.11176840871405529</v>
      </c>
      <c r="AL96">
        <v>50</v>
      </c>
      <c r="AM96">
        <f>intersection_ss_Lden___surface[[#This Row],[Population totale 2024 ss]]*intersection_ss_Lden___surface[[#This Row],[Part de la surface du qs dans le noise contour]]</f>
        <v>5.5884204357027647</v>
      </c>
    </row>
    <row r="97" spans="1:39" x14ac:dyDescent="0.3">
      <c r="A97">
        <v>127</v>
      </c>
      <c r="B97" t="s">
        <v>227</v>
      </c>
      <c r="C97" t="s">
        <v>228</v>
      </c>
      <c r="D97" t="s">
        <v>229</v>
      </c>
      <c r="E97" t="s">
        <v>229</v>
      </c>
      <c r="F97" t="s">
        <v>220</v>
      </c>
      <c r="G97" t="s">
        <v>209</v>
      </c>
      <c r="H97" t="s">
        <v>210</v>
      </c>
      <c r="I97" t="s">
        <v>211</v>
      </c>
      <c r="J97" t="s">
        <v>36</v>
      </c>
      <c r="K97">
        <v>21002</v>
      </c>
      <c r="L97" t="s">
        <v>212</v>
      </c>
      <c r="M97" t="s">
        <v>213</v>
      </c>
      <c r="N97" t="s">
        <v>213</v>
      </c>
      <c r="O97">
        <v>21000</v>
      </c>
      <c r="P97" t="s">
        <v>46</v>
      </c>
      <c r="Q97" t="s">
        <v>47</v>
      </c>
      <c r="R97" t="s">
        <v>48</v>
      </c>
      <c r="T97" t="s">
        <v>36</v>
      </c>
      <c r="U97" t="s">
        <v>36</v>
      </c>
      <c r="V97" t="s">
        <v>36</v>
      </c>
      <c r="W97">
        <v>4000</v>
      </c>
      <c r="X97" t="s">
        <v>49</v>
      </c>
      <c r="Y97" t="s">
        <v>50</v>
      </c>
      <c r="Z97" t="s">
        <v>51</v>
      </c>
      <c r="AA97" t="s">
        <v>37</v>
      </c>
      <c r="AB97" t="s">
        <v>52</v>
      </c>
      <c r="AC97" t="s">
        <v>53</v>
      </c>
      <c r="AD97" t="s">
        <v>54</v>
      </c>
      <c r="AE97">
        <v>279.46574594499998</v>
      </c>
      <c r="AF97">
        <v>8845</v>
      </c>
      <c r="AG97">
        <v>8845.0382314100007</v>
      </c>
      <c r="AH97">
        <v>2794702.5190900001</v>
      </c>
      <c r="AI97">
        <v>49</v>
      </c>
      <c r="AJ97">
        <v>357016.90089581098</v>
      </c>
      <c r="AK97" s="1">
        <f>intersection_ss_Lden___surface[[#This Row],[surf m2 bout ss]]/intersection_ss_Lden___surface[[#This Row],[Shape_Area]]</f>
        <v>0.12774772930467798</v>
      </c>
      <c r="AL97">
        <v>50</v>
      </c>
      <c r="AM97">
        <f>intersection_ss_Lden___surface[[#This Row],[Population totale 2024 ss]]*intersection_ss_Lden___surface[[#This Row],[Part de la surface du qs dans le noise contour]]</f>
        <v>6.3873864652338987</v>
      </c>
    </row>
    <row r="98" spans="1:39" x14ac:dyDescent="0.3">
      <c r="A98">
        <v>128</v>
      </c>
      <c r="B98" t="s">
        <v>227</v>
      </c>
      <c r="C98" t="s">
        <v>228</v>
      </c>
      <c r="D98" t="s">
        <v>229</v>
      </c>
      <c r="E98" t="s">
        <v>229</v>
      </c>
      <c r="F98" t="s">
        <v>220</v>
      </c>
      <c r="G98" t="s">
        <v>209</v>
      </c>
      <c r="H98" t="s">
        <v>210</v>
      </c>
      <c r="I98" t="s">
        <v>211</v>
      </c>
      <c r="J98" t="s">
        <v>36</v>
      </c>
      <c r="K98">
        <v>21002</v>
      </c>
      <c r="L98" t="s">
        <v>212</v>
      </c>
      <c r="M98" t="s">
        <v>213</v>
      </c>
      <c r="N98" t="s">
        <v>213</v>
      </c>
      <c r="O98">
        <v>21000</v>
      </c>
      <c r="P98" t="s">
        <v>46</v>
      </c>
      <c r="Q98" t="s">
        <v>47</v>
      </c>
      <c r="R98" t="s">
        <v>48</v>
      </c>
      <c r="T98" t="s">
        <v>36</v>
      </c>
      <c r="U98" t="s">
        <v>36</v>
      </c>
      <c r="V98" t="s">
        <v>36</v>
      </c>
      <c r="W98">
        <v>4000</v>
      </c>
      <c r="X98" t="s">
        <v>49</v>
      </c>
      <c r="Y98" t="s">
        <v>50</v>
      </c>
      <c r="Z98" t="s">
        <v>51</v>
      </c>
      <c r="AA98" t="s">
        <v>37</v>
      </c>
      <c r="AB98" t="s">
        <v>52</v>
      </c>
      <c r="AC98" t="s">
        <v>53</v>
      </c>
      <c r="AD98" t="s">
        <v>54</v>
      </c>
      <c r="AE98">
        <v>279.46574594499998</v>
      </c>
      <c r="AF98">
        <v>8845</v>
      </c>
      <c r="AG98">
        <v>8845.0382314100007</v>
      </c>
      <c r="AH98">
        <v>2794702.5190900001</v>
      </c>
      <c r="AI98">
        <v>50</v>
      </c>
      <c r="AJ98">
        <v>601311.13410653605</v>
      </c>
      <c r="AK98" s="1">
        <f>intersection_ss_Lden___surface[[#This Row],[surf m2 bout ss]]/intersection_ss_Lden___surface[[#This Row],[Shape_Area]]</f>
        <v>0.21516105202579222</v>
      </c>
      <c r="AL98">
        <v>50</v>
      </c>
      <c r="AM98">
        <f>intersection_ss_Lden___surface[[#This Row],[Population totale 2024 ss]]*intersection_ss_Lden___surface[[#This Row],[Part de la surface du qs dans le noise contour]]</f>
        <v>10.758052601289611</v>
      </c>
    </row>
    <row r="99" spans="1:39" x14ac:dyDescent="0.3">
      <c r="A99">
        <v>129</v>
      </c>
      <c r="B99" t="s">
        <v>227</v>
      </c>
      <c r="C99" t="s">
        <v>228</v>
      </c>
      <c r="D99" t="s">
        <v>229</v>
      </c>
      <c r="E99" t="s">
        <v>229</v>
      </c>
      <c r="F99" t="s">
        <v>220</v>
      </c>
      <c r="G99" t="s">
        <v>209</v>
      </c>
      <c r="H99" t="s">
        <v>210</v>
      </c>
      <c r="I99" t="s">
        <v>211</v>
      </c>
      <c r="J99" t="s">
        <v>36</v>
      </c>
      <c r="K99">
        <v>21002</v>
      </c>
      <c r="L99" t="s">
        <v>212</v>
      </c>
      <c r="M99" t="s">
        <v>213</v>
      </c>
      <c r="N99" t="s">
        <v>213</v>
      </c>
      <c r="O99">
        <v>21000</v>
      </c>
      <c r="P99" t="s">
        <v>46</v>
      </c>
      <c r="Q99" t="s">
        <v>47</v>
      </c>
      <c r="R99" t="s">
        <v>48</v>
      </c>
      <c r="T99" t="s">
        <v>36</v>
      </c>
      <c r="U99" t="s">
        <v>36</v>
      </c>
      <c r="V99" t="s">
        <v>36</v>
      </c>
      <c r="W99">
        <v>4000</v>
      </c>
      <c r="X99" t="s">
        <v>49</v>
      </c>
      <c r="Y99" t="s">
        <v>50</v>
      </c>
      <c r="Z99" t="s">
        <v>51</v>
      </c>
      <c r="AA99" t="s">
        <v>37</v>
      </c>
      <c r="AB99" t="s">
        <v>52</v>
      </c>
      <c r="AC99" t="s">
        <v>53</v>
      </c>
      <c r="AD99" t="s">
        <v>54</v>
      </c>
      <c r="AE99">
        <v>279.46574594499998</v>
      </c>
      <c r="AF99">
        <v>8845</v>
      </c>
      <c r="AG99">
        <v>8845.0382314100007</v>
      </c>
      <c r="AH99">
        <v>2794702.5190900001</v>
      </c>
      <c r="AI99">
        <v>51</v>
      </c>
      <c r="AJ99">
        <v>132664.96616822199</v>
      </c>
      <c r="AK99" s="1">
        <f>intersection_ss_Lden___surface[[#This Row],[surf m2 bout ss]]/intersection_ss_Lden___surface[[#This Row],[Shape_Area]]</f>
        <v>4.7470156577316083E-2</v>
      </c>
      <c r="AL99">
        <v>50</v>
      </c>
      <c r="AM99">
        <f>intersection_ss_Lden___surface[[#This Row],[Population totale 2024 ss]]*intersection_ss_Lden___surface[[#This Row],[Part de la surface du qs dans le noise contour]]</f>
        <v>2.373507828865804</v>
      </c>
    </row>
    <row r="100" spans="1:39" x14ac:dyDescent="0.3">
      <c r="A100">
        <v>130</v>
      </c>
      <c r="B100" t="s">
        <v>230</v>
      </c>
      <c r="C100" t="s">
        <v>231</v>
      </c>
      <c r="D100" t="s">
        <v>231</v>
      </c>
      <c r="E100" t="s">
        <v>231</v>
      </c>
      <c r="F100" t="s">
        <v>232</v>
      </c>
      <c r="G100" t="s">
        <v>209</v>
      </c>
      <c r="H100" t="s">
        <v>210</v>
      </c>
      <c r="I100" t="s">
        <v>211</v>
      </c>
      <c r="J100" t="s">
        <v>36</v>
      </c>
      <c r="K100">
        <v>21002</v>
      </c>
      <c r="L100" t="s">
        <v>212</v>
      </c>
      <c r="M100" t="s">
        <v>213</v>
      </c>
      <c r="N100" t="s">
        <v>213</v>
      </c>
      <c r="O100">
        <v>21000</v>
      </c>
      <c r="P100" t="s">
        <v>46</v>
      </c>
      <c r="Q100" t="s">
        <v>47</v>
      </c>
      <c r="R100" t="s">
        <v>48</v>
      </c>
      <c r="T100" t="s">
        <v>36</v>
      </c>
      <c r="U100" t="s">
        <v>36</v>
      </c>
      <c r="V100" t="s">
        <v>36</v>
      </c>
      <c r="W100">
        <v>4000</v>
      </c>
      <c r="X100" t="s">
        <v>49</v>
      </c>
      <c r="Y100" t="s">
        <v>50</v>
      </c>
      <c r="Z100" t="s">
        <v>51</v>
      </c>
      <c r="AA100" t="s">
        <v>37</v>
      </c>
      <c r="AB100" t="s">
        <v>52</v>
      </c>
      <c r="AC100" t="s">
        <v>53</v>
      </c>
      <c r="AD100" t="s">
        <v>54</v>
      </c>
      <c r="AE100">
        <v>25.3937999686</v>
      </c>
      <c r="AF100">
        <v>2915</v>
      </c>
      <c r="AG100">
        <v>2915.1399531500001</v>
      </c>
      <c r="AH100">
        <v>253942.07462500001</v>
      </c>
      <c r="AI100">
        <v>45</v>
      </c>
      <c r="AJ100">
        <v>108386.504213308</v>
      </c>
      <c r="AK100" s="1">
        <f>intersection_ss_Lden___surface[[#This Row],[surf m2 bout ss]]/intersection_ss_Lden___surface[[#This Row],[Shape_Area]]</f>
        <v>0.42681585701528169</v>
      </c>
      <c r="AL100">
        <v>640</v>
      </c>
      <c r="AM100">
        <f>intersection_ss_Lden___surface[[#This Row],[Population totale 2024 ss]]*intersection_ss_Lden___surface[[#This Row],[Part de la surface du qs dans le noise contour]]</f>
        <v>273.16214848978029</v>
      </c>
    </row>
    <row r="101" spans="1:39" x14ac:dyDescent="0.3">
      <c r="A101">
        <v>131</v>
      </c>
      <c r="B101" t="s">
        <v>230</v>
      </c>
      <c r="C101" t="s">
        <v>231</v>
      </c>
      <c r="D101" t="s">
        <v>231</v>
      </c>
      <c r="E101" t="s">
        <v>231</v>
      </c>
      <c r="F101" t="s">
        <v>232</v>
      </c>
      <c r="G101" t="s">
        <v>209</v>
      </c>
      <c r="H101" t="s">
        <v>210</v>
      </c>
      <c r="I101" t="s">
        <v>211</v>
      </c>
      <c r="J101" t="s">
        <v>36</v>
      </c>
      <c r="K101">
        <v>21002</v>
      </c>
      <c r="L101" t="s">
        <v>212</v>
      </c>
      <c r="M101" t="s">
        <v>213</v>
      </c>
      <c r="N101" t="s">
        <v>213</v>
      </c>
      <c r="O101">
        <v>21000</v>
      </c>
      <c r="P101" t="s">
        <v>46</v>
      </c>
      <c r="Q101" t="s">
        <v>47</v>
      </c>
      <c r="R101" t="s">
        <v>48</v>
      </c>
      <c r="T101" t="s">
        <v>36</v>
      </c>
      <c r="U101" t="s">
        <v>36</v>
      </c>
      <c r="V101" t="s">
        <v>36</v>
      </c>
      <c r="W101">
        <v>4000</v>
      </c>
      <c r="X101" t="s">
        <v>49</v>
      </c>
      <c r="Y101" t="s">
        <v>50</v>
      </c>
      <c r="Z101" t="s">
        <v>51</v>
      </c>
      <c r="AA101" t="s">
        <v>37</v>
      </c>
      <c r="AB101" t="s">
        <v>52</v>
      </c>
      <c r="AC101" t="s">
        <v>53</v>
      </c>
      <c r="AD101" t="s">
        <v>54</v>
      </c>
      <c r="AE101">
        <v>25.3937999686</v>
      </c>
      <c r="AF101">
        <v>2915</v>
      </c>
      <c r="AG101">
        <v>2915.1399531500001</v>
      </c>
      <c r="AH101">
        <v>253942.07462500001</v>
      </c>
      <c r="AI101">
        <v>46</v>
      </c>
      <c r="AJ101">
        <v>89157.558985290103</v>
      </c>
      <c r="AK101" s="1">
        <f>intersection_ss_Lden___surface[[#This Row],[surf m2 bout ss]]/intersection_ss_Lden___surface[[#This Row],[Shape_Area]]</f>
        <v>0.35109407969100975</v>
      </c>
      <c r="AL101">
        <v>640</v>
      </c>
      <c r="AM101">
        <f>intersection_ss_Lden___surface[[#This Row],[Population totale 2024 ss]]*intersection_ss_Lden___surface[[#This Row],[Part de la surface du qs dans le noise contour]]</f>
        <v>224.70021100224625</v>
      </c>
    </row>
    <row r="102" spans="1:39" x14ac:dyDescent="0.3">
      <c r="A102">
        <v>132</v>
      </c>
      <c r="B102" t="s">
        <v>233</v>
      </c>
      <c r="C102" t="s">
        <v>234</v>
      </c>
      <c r="D102" t="s">
        <v>235</v>
      </c>
      <c r="E102" t="s">
        <v>235</v>
      </c>
      <c r="F102" t="s">
        <v>232</v>
      </c>
      <c r="G102" t="s">
        <v>209</v>
      </c>
      <c r="H102" t="s">
        <v>210</v>
      </c>
      <c r="I102" t="s">
        <v>211</v>
      </c>
      <c r="J102" t="s">
        <v>36</v>
      </c>
      <c r="K102">
        <v>21002</v>
      </c>
      <c r="L102" t="s">
        <v>212</v>
      </c>
      <c r="M102" t="s">
        <v>213</v>
      </c>
      <c r="N102" t="s">
        <v>213</v>
      </c>
      <c r="O102">
        <v>21000</v>
      </c>
      <c r="P102" t="s">
        <v>46</v>
      </c>
      <c r="Q102" t="s">
        <v>47</v>
      </c>
      <c r="R102" t="s">
        <v>48</v>
      </c>
      <c r="T102" t="s">
        <v>36</v>
      </c>
      <c r="U102" t="s">
        <v>36</v>
      </c>
      <c r="V102" t="s">
        <v>36</v>
      </c>
      <c r="W102">
        <v>4000</v>
      </c>
      <c r="X102" t="s">
        <v>49</v>
      </c>
      <c r="Y102" t="s">
        <v>50</v>
      </c>
      <c r="Z102" t="s">
        <v>51</v>
      </c>
      <c r="AA102" t="s">
        <v>37</v>
      </c>
      <c r="AB102" t="s">
        <v>52</v>
      </c>
      <c r="AC102" t="s">
        <v>53</v>
      </c>
      <c r="AD102" t="s">
        <v>54</v>
      </c>
      <c r="AE102">
        <v>7.2140955445900001</v>
      </c>
      <c r="AF102">
        <v>1334</v>
      </c>
      <c r="AG102">
        <v>1333.6422550899999</v>
      </c>
      <c r="AH102">
        <v>72142.114229300001</v>
      </c>
      <c r="AI102">
        <v>46</v>
      </c>
      <c r="AJ102">
        <v>6245.8746460061502</v>
      </c>
      <c r="AK102" s="1">
        <f>intersection_ss_Lden___surface[[#This Row],[surf m2 bout ss]]/intersection_ss_Lden___surface[[#This Row],[Shape_Area]]</f>
        <v>8.6577371799140213E-2</v>
      </c>
      <c r="AL102">
        <v>140</v>
      </c>
      <c r="AM102">
        <f>intersection_ss_Lden___surface[[#This Row],[Population totale 2024 ss]]*intersection_ss_Lden___surface[[#This Row],[Part de la surface du qs dans le noise contour]]</f>
        <v>12.12083205187963</v>
      </c>
    </row>
    <row r="103" spans="1:39" x14ac:dyDescent="0.3">
      <c r="A103">
        <v>133</v>
      </c>
      <c r="B103" t="s">
        <v>233</v>
      </c>
      <c r="C103" t="s">
        <v>234</v>
      </c>
      <c r="D103" t="s">
        <v>235</v>
      </c>
      <c r="E103" t="s">
        <v>235</v>
      </c>
      <c r="F103" t="s">
        <v>232</v>
      </c>
      <c r="G103" t="s">
        <v>209</v>
      </c>
      <c r="H103" t="s">
        <v>210</v>
      </c>
      <c r="I103" t="s">
        <v>211</v>
      </c>
      <c r="J103" t="s">
        <v>36</v>
      </c>
      <c r="K103">
        <v>21002</v>
      </c>
      <c r="L103" t="s">
        <v>212</v>
      </c>
      <c r="M103" t="s">
        <v>213</v>
      </c>
      <c r="N103" t="s">
        <v>213</v>
      </c>
      <c r="O103">
        <v>21000</v>
      </c>
      <c r="P103" t="s">
        <v>46</v>
      </c>
      <c r="Q103" t="s">
        <v>47</v>
      </c>
      <c r="R103" t="s">
        <v>48</v>
      </c>
      <c r="T103" t="s">
        <v>36</v>
      </c>
      <c r="U103" t="s">
        <v>36</v>
      </c>
      <c r="V103" t="s">
        <v>36</v>
      </c>
      <c r="W103">
        <v>4000</v>
      </c>
      <c r="X103" t="s">
        <v>49</v>
      </c>
      <c r="Y103" t="s">
        <v>50</v>
      </c>
      <c r="Z103" t="s">
        <v>51</v>
      </c>
      <c r="AA103" t="s">
        <v>37</v>
      </c>
      <c r="AB103" t="s">
        <v>52</v>
      </c>
      <c r="AC103" t="s">
        <v>53</v>
      </c>
      <c r="AD103" t="s">
        <v>54</v>
      </c>
      <c r="AE103">
        <v>7.2140955445900001</v>
      </c>
      <c r="AF103">
        <v>1334</v>
      </c>
      <c r="AG103">
        <v>1333.6422550899999</v>
      </c>
      <c r="AH103">
        <v>72142.114229300001</v>
      </c>
      <c r="AI103">
        <v>47</v>
      </c>
      <c r="AJ103">
        <v>48147.304306726903</v>
      </c>
      <c r="AK103" s="1">
        <f>intersection_ss_Lden___surface[[#This Row],[surf m2 bout ss]]/intersection_ss_Lden___surface[[#This Row],[Shape_Area]]</f>
        <v>0.66739524923948268</v>
      </c>
      <c r="AL103">
        <v>140</v>
      </c>
      <c r="AM103">
        <f>intersection_ss_Lden___surface[[#This Row],[Population totale 2024 ss]]*intersection_ss_Lden___surface[[#This Row],[Part de la surface du qs dans le noise contour]]</f>
        <v>93.435334893527582</v>
      </c>
    </row>
    <row r="104" spans="1:39" x14ac:dyDescent="0.3">
      <c r="A104">
        <v>134</v>
      </c>
      <c r="B104" t="s">
        <v>233</v>
      </c>
      <c r="C104" t="s">
        <v>234</v>
      </c>
      <c r="D104" t="s">
        <v>235</v>
      </c>
      <c r="E104" t="s">
        <v>235</v>
      </c>
      <c r="F104" t="s">
        <v>232</v>
      </c>
      <c r="G104" t="s">
        <v>209</v>
      </c>
      <c r="H104" t="s">
        <v>210</v>
      </c>
      <c r="I104" t="s">
        <v>211</v>
      </c>
      <c r="J104" t="s">
        <v>36</v>
      </c>
      <c r="K104">
        <v>21002</v>
      </c>
      <c r="L104" t="s">
        <v>212</v>
      </c>
      <c r="M104" t="s">
        <v>213</v>
      </c>
      <c r="N104" t="s">
        <v>213</v>
      </c>
      <c r="O104">
        <v>21000</v>
      </c>
      <c r="P104" t="s">
        <v>46</v>
      </c>
      <c r="Q104" t="s">
        <v>47</v>
      </c>
      <c r="R104" t="s">
        <v>48</v>
      </c>
      <c r="T104" t="s">
        <v>36</v>
      </c>
      <c r="U104" t="s">
        <v>36</v>
      </c>
      <c r="V104" t="s">
        <v>36</v>
      </c>
      <c r="W104">
        <v>4000</v>
      </c>
      <c r="X104" t="s">
        <v>49</v>
      </c>
      <c r="Y104" t="s">
        <v>50</v>
      </c>
      <c r="Z104" t="s">
        <v>51</v>
      </c>
      <c r="AA104" t="s">
        <v>37</v>
      </c>
      <c r="AB104" t="s">
        <v>52</v>
      </c>
      <c r="AC104" t="s">
        <v>53</v>
      </c>
      <c r="AD104" t="s">
        <v>54</v>
      </c>
      <c r="AE104">
        <v>7.2140955445900001</v>
      </c>
      <c r="AF104">
        <v>1334</v>
      </c>
      <c r="AG104">
        <v>1333.6422550899999</v>
      </c>
      <c r="AH104">
        <v>72142.114229300001</v>
      </c>
      <c r="AI104">
        <v>48</v>
      </c>
      <c r="AJ104">
        <v>17756.414020614</v>
      </c>
      <c r="AK104" s="1">
        <f>intersection_ss_Lden___surface[[#This Row],[surf m2 bout ss]]/intersection_ss_Lden___surface[[#This Row],[Shape_Area]]</f>
        <v>0.24613104578798661</v>
      </c>
      <c r="AL104">
        <v>140</v>
      </c>
      <c r="AM104">
        <f>intersection_ss_Lden___surface[[#This Row],[Population totale 2024 ss]]*intersection_ss_Lden___surface[[#This Row],[Part de la surface du qs dans le noise contour]]</f>
        <v>34.458346410318129</v>
      </c>
    </row>
    <row r="105" spans="1:39" x14ac:dyDescent="0.3">
      <c r="A105">
        <v>135</v>
      </c>
      <c r="B105" t="s">
        <v>236</v>
      </c>
      <c r="C105" t="s">
        <v>237</v>
      </c>
      <c r="D105" t="s">
        <v>238</v>
      </c>
      <c r="E105" t="s">
        <v>238</v>
      </c>
      <c r="F105" t="s">
        <v>232</v>
      </c>
      <c r="G105" t="s">
        <v>209</v>
      </c>
      <c r="H105" t="s">
        <v>210</v>
      </c>
      <c r="I105" t="s">
        <v>211</v>
      </c>
      <c r="J105" t="s">
        <v>36</v>
      </c>
      <c r="K105">
        <v>21002</v>
      </c>
      <c r="L105" t="s">
        <v>212</v>
      </c>
      <c r="M105" t="s">
        <v>213</v>
      </c>
      <c r="N105" t="s">
        <v>213</v>
      </c>
      <c r="O105">
        <v>21000</v>
      </c>
      <c r="P105" t="s">
        <v>46</v>
      </c>
      <c r="Q105" t="s">
        <v>47</v>
      </c>
      <c r="R105" t="s">
        <v>48</v>
      </c>
      <c r="T105" t="s">
        <v>36</v>
      </c>
      <c r="U105" t="s">
        <v>36</v>
      </c>
      <c r="V105" t="s">
        <v>36</v>
      </c>
      <c r="W105">
        <v>4000</v>
      </c>
      <c r="X105" t="s">
        <v>49</v>
      </c>
      <c r="Y105" t="s">
        <v>50</v>
      </c>
      <c r="Z105" t="s">
        <v>51</v>
      </c>
      <c r="AA105" t="s">
        <v>37</v>
      </c>
      <c r="AB105" t="s">
        <v>52</v>
      </c>
      <c r="AC105" t="s">
        <v>53</v>
      </c>
      <c r="AD105" t="s">
        <v>54</v>
      </c>
      <c r="AE105">
        <v>18.546496694599998</v>
      </c>
      <c r="AF105">
        <v>2498</v>
      </c>
      <c r="AG105">
        <v>2498.2136570100001</v>
      </c>
      <c r="AH105">
        <v>185467.96494899999</v>
      </c>
      <c r="AI105">
        <v>45</v>
      </c>
      <c r="AJ105">
        <v>70116.966667672605</v>
      </c>
      <c r="AK105" s="1">
        <f>intersection_ss_Lden___surface[[#This Row],[surf m2 bout ss]]/intersection_ss_Lden___surface[[#This Row],[Shape_Area]]</f>
        <v>0.3780543269936314</v>
      </c>
      <c r="AL105">
        <v>1771</v>
      </c>
      <c r="AM105">
        <f>intersection_ss_Lden___surface[[#This Row],[Population totale 2024 ss]]*intersection_ss_Lden___surface[[#This Row],[Part de la surface du qs dans le noise contour]]</f>
        <v>669.53421310572116</v>
      </c>
    </row>
    <row r="106" spans="1:39" x14ac:dyDescent="0.3">
      <c r="A106">
        <v>136</v>
      </c>
      <c r="B106" t="s">
        <v>236</v>
      </c>
      <c r="C106" t="s">
        <v>237</v>
      </c>
      <c r="D106" t="s">
        <v>238</v>
      </c>
      <c r="E106" t="s">
        <v>238</v>
      </c>
      <c r="F106" t="s">
        <v>232</v>
      </c>
      <c r="G106" t="s">
        <v>209</v>
      </c>
      <c r="H106" t="s">
        <v>210</v>
      </c>
      <c r="I106" t="s">
        <v>211</v>
      </c>
      <c r="J106" t="s">
        <v>36</v>
      </c>
      <c r="K106">
        <v>21002</v>
      </c>
      <c r="L106" t="s">
        <v>212</v>
      </c>
      <c r="M106" t="s">
        <v>213</v>
      </c>
      <c r="N106" t="s">
        <v>213</v>
      </c>
      <c r="O106">
        <v>21000</v>
      </c>
      <c r="P106" t="s">
        <v>46</v>
      </c>
      <c r="Q106" t="s">
        <v>47</v>
      </c>
      <c r="R106" t="s">
        <v>48</v>
      </c>
      <c r="T106" t="s">
        <v>36</v>
      </c>
      <c r="U106" t="s">
        <v>36</v>
      </c>
      <c r="V106" t="s">
        <v>36</v>
      </c>
      <c r="W106">
        <v>4000</v>
      </c>
      <c r="X106" t="s">
        <v>49</v>
      </c>
      <c r="Y106" t="s">
        <v>50</v>
      </c>
      <c r="Z106" t="s">
        <v>51</v>
      </c>
      <c r="AA106" t="s">
        <v>37</v>
      </c>
      <c r="AB106" t="s">
        <v>52</v>
      </c>
      <c r="AC106" t="s">
        <v>53</v>
      </c>
      <c r="AD106" t="s">
        <v>54</v>
      </c>
      <c r="AE106">
        <v>18.546496694599998</v>
      </c>
      <c r="AF106">
        <v>2498</v>
      </c>
      <c r="AG106">
        <v>2498.2136570100001</v>
      </c>
      <c r="AH106">
        <v>185467.96494899999</v>
      </c>
      <c r="AI106">
        <v>46</v>
      </c>
      <c r="AJ106">
        <v>14637.856775799301</v>
      </c>
      <c r="AK106" s="1">
        <f>intersection_ss_Lden___surface[[#This Row],[surf m2 bout ss]]/intersection_ss_Lden___surface[[#This Row],[Shape_Area]]</f>
        <v>7.892390893394674E-2</v>
      </c>
      <c r="AL106">
        <v>1771</v>
      </c>
      <c r="AM106">
        <f>intersection_ss_Lden___surface[[#This Row],[Population totale 2024 ss]]*intersection_ss_Lden___surface[[#This Row],[Part de la surface du qs dans le noise contour]]</f>
        <v>139.77424272201966</v>
      </c>
    </row>
    <row r="107" spans="1:39" x14ac:dyDescent="0.3">
      <c r="A107">
        <v>137</v>
      </c>
      <c r="B107" t="s">
        <v>239</v>
      </c>
      <c r="C107" t="s">
        <v>240</v>
      </c>
      <c r="D107" t="s">
        <v>241</v>
      </c>
      <c r="E107" t="s">
        <v>241</v>
      </c>
      <c r="F107" t="s">
        <v>232</v>
      </c>
      <c r="G107" t="s">
        <v>209</v>
      </c>
      <c r="H107" t="s">
        <v>210</v>
      </c>
      <c r="I107" t="s">
        <v>211</v>
      </c>
      <c r="J107" t="s">
        <v>36</v>
      </c>
      <c r="K107">
        <v>21002</v>
      </c>
      <c r="L107" t="s">
        <v>212</v>
      </c>
      <c r="M107" t="s">
        <v>213</v>
      </c>
      <c r="N107" t="s">
        <v>213</v>
      </c>
      <c r="O107">
        <v>21000</v>
      </c>
      <c r="P107" t="s">
        <v>46</v>
      </c>
      <c r="Q107" t="s">
        <v>47</v>
      </c>
      <c r="R107" t="s">
        <v>48</v>
      </c>
      <c r="T107" t="s">
        <v>36</v>
      </c>
      <c r="U107" t="s">
        <v>36</v>
      </c>
      <c r="V107" t="s">
        <v>36</v>
      </c>
      <c r="W107">
        <v>4000</v>
      </c>
      <c r="X107" t="s">
        <v>49</v>
      </c>
      <c r="Y107" t="s">
        <v>50</v>
      </c>
      <c r="Z107" t="s">
        <v>51</v>
      </c>
      <c r="AA107" t="s">
        <v>37</v>
      </c>
      <c r="AB107" t="s">
        <v>52</v>
      </c>
      <c r="AC107" t="s">
        <v>53</v>
      </c>
      <c r="AD107" t="s">
        <v>54</v>
      </c>
      <c r="AE107">
        <v>28.111455216</v>
      </c>
      <c r="AF107">
        <v>2316</v>
      </c>
      <c r="AG107">
        <v>2315.73621865</v>
      </c>
      <c r="AH107">
        <v>281119.09234799998</v>
      </c>
      <c r="AI107">
        <v>45</v>
      </c>
      <c r="AJ107">
        <v>169016.739145506</v>
      </c>
      <c r="AK107" s="1">
        <f>intersection_ss_Lden___surface[[#This Row],[surf m2 bout ss]]/intersection_ss_Lden___surface[[#This Row],[Shape_Area]]</f>
        <v>0.60122824719524415</v>
      </c>
      <c r="AL107">
        <v>3</v>
      </c>
      <c r="AM107">
        <f>intersection_ss_Lden___surface[[#This Row],[Population totale 2024 ss]]*intersection_ss_Lden___surface[[#This Row],[Part de la surface du qs dans le noise contour]]</f>
        <v>1.8036847415857324</v>
      </c>
    </row>
    <row r="108" spans="1:39" x14ac:dyDescent="0.3">
      <c r="A108">
        <v>138</v>
      </c>
      <c r="B108" t="s">
        <v>239</v>
      </c>
      <c r="C108" t="s">
        <v>240</v>
      </c>
      <c r="D108" t="s">
        <v>241</v>
      </c>
      <c r="E108" t="s">
        <v>241</v>
      </c>
      <c r="F108" t="s">
        <v>232</v>
      </c>
      <c r="G108" t="s">
        <v>209</v>
      </c>
      <c r="H108" t="s">
        <v>210</v>
      </c>
      <c r="I108" t="s">
        <v>211</v>
      </c>
      <c r="J108" t="s">
        <v>36</v>
      </c>
      <c r="K108">
        <v>21002</v>
      </c>
      <c r="L108" t="s">
        <v>212</v>
      </c>
      <c r="M108" t="s">
        <v>213</v>
      </c>
      <c r="N108" t="s">
        <v>213</v>
      </c>
      <c r="O108">
        <v>21000</v>
      </c>
      <c r="P108" t="s">
        <v>46</v>
      </c>
      <c r="Q108" t="s">
        <v>47</v>
      </c>
      <c r="R108" t="s">
        <v>48</v>
      </c>
      <c r="T108" t="s">
        <v>36</v>
      </c>
      <c r="U108" t="s">
        <v>36</v>
      </c>
      <c r="V108" t="s">
        <v>36</v>
      </c>
      <c r="W108">
        <v>4000</v>
      </c>
      <c r="X108" t="s">
        <v>49</v>
      </c>
      <c r="Y108" t="s">
        <v>50</v>
      </c>
      <c r="Z108" t="s">
        <v>51</v>
      </c>
      <c r="AA108" t="s">
        <v>37</v>
      </c>
      <c r="AB108" t="s">
        <v>52</v>
      </c>
      <c r="AC108" t="s">
        <v>53</v>
      </c>
      <c r="AD108" t="s">
        <v>54</v>
      </c>
      <c r="AE108">
        <v>28.111455216</v>
      </c>
      <c r="AF108">
        <v>2316</v>
      </c>
      <c r="AG108">
        <v>2315.73621865</v>
      </c>
      <c r="AH108">
        <v>281119.09234799998</v>
      </c>
      <c r="AI108">
        <v>46</v>
      </c>
      <c r="AJ108">
        <v>55815.196082636001</v>
      </c>
      <c r="AK108" s="1">
        <f>intersection_ss_Lden___surface[[#This Row],[surf m2 bout ss]]/intersection_ss_Lden___surface[[#This Row],[Shape_Area]]</f>
        <v>0.19854644384502296</v>
      </c>
      <c r="AL108">
        <v>3</v>
      </c>
      <c r="AM108">
        <f>intersection_ss_Lden___surface[[#This Row],[Population totale 2024 ss]]*intersection_ss_Lden___surface[[#This Row],[Part de la surface du qs dans le noise contour]]</f>
        <v>0.59563933153506887</v>
      </c>
    </row>
    <row r="109" spans="1:39" x14ac:dyDescent="0.3">
      <c r="A109">
        <v>139</v>
      </c>
      <c r="B109" t="s">
        <v>242</v>
      </c>
      <c r="C109" t="s">
        <v>243</v>
      </c>
      <c r="D109" t="s">
        <v>244</v>
      </c>
      <c r="E109" t="s">
        <v>244</v>
      </c>
      <c r="F109" t="s">
        <v>232</v>
      </c>
      <c r="G109" t="s">
        <v>209</v>
      </c>
      <c r="H109" t="s">
        <v>210</v>
      </c>
      <c r="I109" t="s">
        <v>211</v>
      </c>
      <c r="J109" t="s">
        <v>36</v>
      </c>
      <c r="K109">
        <v>21002</v>
      </c>
      <c r="L109" t="s">
        <v>212</v>
      </c>
      <c r="M109" t="s">
        <v>213</v>
      </c>
      <c r="N109" t="s">
        <v>213</v>
      </c>
      <c r="O109">
        <v>21000</v>
      </c>
      <c r="P109" t="s">
        <v>46</v>
      </c>
      <c r="Q109" t="s">
        <v>47</v>
      </c>
      <c r="R109" t="s">
        <v>48</v>
      </c>
      <c r="T109" t="s">
        <v>36</v>
      </c>
      <c r="U109" t="s">
        <v>36</v>
      </c>
      <c r="V109" t="s">
        <v>36</v>
      </c>
      <c r="W109">
        <v>4000</v>
      </c>
      <c r="X109" t="s">
        <v>49</v>
      </c>
      <c r="Y109" t="s">
        <v>50</v>
      </c>
      <c r="Z109" t="s">
        <v>51</v>
      </c>
      <c r="AA109" t="s">
        <v>37</v>
      </c>
      <c r="AB109" t="s">
        <v>52</v>
      </c>
      <c r="AC109" t="s">
        <v>53</v>
      </c>
      <c r="AD109" t="s">
        <v>54</v>
      </c>
      <c r="AE109">
        <v>12.2879397922</v>
      </c>
      <c r="AF109">
        <v>1563</v>
      </c>
      <c r="AG109">
        <v>1563.15258002</v>
      </c>
      <c r="AH109">
        <v>122881.37493400001</v>
      </c>
      <c r="AI109">
        <v>45</v>
      </c>
      <c r="AJ109">
        <v>73010.447140229895</v>
      </c>
      <c r="AK109" s="1">
        <f>intersection_ss_Lden___surface[[#This Row],[surf m2 bout ss]]/intersection_ss_Lden___surface[[#This Row],[Shape_Area]]</f>
        <v>0.59415389174676836</v>
      </c>
      <c r="AL109">
        <v>9</v>
      </c>
      <c r="AM109">
        <f>intersection_ss_Lden___surface[[#This Row],[Population totale 2024 ss]]*intersection_ss_Lden___surface[[#This Row],[Part de la surface du qs dans le noise contour]]</f>
        <v>5.3473850257209152</v>
      </c>
    </row>
    <row r="110" spans="1:39" x14ac:dyDescent="0.3">
      <c r="A110">
        <v>140</v>
      </c>
      <c r="B110" t="s">
        <v>242</v>
      </c>
      <c r="C110" t="s">
        <v>243</v>
      </c>
      <c r="D110" t="s">
        <v>244</v>
      </c>
      <c r="E110" t="s">
        <v>244</v>
      </c>
      <c r="F110" t="s">
        <v>232</v>
      </c>
      <c r="G110" t="s">
        <v>209</v>
      </c>
      <c r="H110" t="s">
        <v>210</v>
      </c>
      <c r="I110" t="s">
        <v>211</v>
      </c>
      <c r="J110" t="s">
        <v>36</v>
      </c>
      <c r="K110">
        <v>21002</v>
      </c>
      <c r="L110" t="s">
        <v>212</v>
      </c>
      <c r="M110" t="s">
        <v>213</v>
      </c>
      <c r="N110" t="s">
        <v>213</v>
      </c>
      <c r="O110">
        <v>21000</v>
      </c>
      <c r="P110" t="s">
        <v>46</v>
      </c>
      <c r="Q110" t="s">
        <v>47</v>
      </c>
      <c r="R110" t="s">
        <v>48</v>
      </c>
      <c r="T110" t="s">
        <v>36</v>
      </c>
      <c r="U110" t="s">
        <v>36</v>
      </c>
      <c r="V110" t="s">
        <v>36</v>
      </c>
      <c r="W110">
        <v>4000</v>
      </c>
      <c r="X110" t="s">
        <v>49</v>
      </c>
      <c r="Y110" t="s">
        <v>50</v>
      </c>
      <c r="Z110" t="s">
        <v>51</v>
      </c>
      <c r="AA110" t="s">
        <v>37</v>
      </c>
      <c r="AB110" t="s">
        <v>52</v>
      </c>
      <c r="AC110" t="s">
        <v>53</v>
      </c>
      <c r="AD110" t="s">
        <v>54</v>
      </c>
      <c r="AE110">
        <v>12.2879397922</v>
      </c>
      <c r="AF110">
        <v>1563</v>
      </c>
      <c r="AG110">
        <v>1563.15258002</v>
      </c>
      <c r="AH110">
        <v>122881.37493400001</v>
      </c>
      <c r="AI110">
        <v>46</v>
      </c>
      <c r="AJ110">
        <v>2344.1155736502301</v>
      </c>
      <c r="AK110" s="1">
        <f>intersection_ss_Lden___surface[[#This Row],[surf m2 bout ss]]/intersection_ss_Lden___surface[[#This Row],[Shape_Area]]</f>
        <v>1.9076247925361042E-2</v>
      </c>
      <c r="AL110">
        <v>9</v>
      </c>
      <c r="AM110">
        <f>intersection_ss_Lden___surface[[#This Row],[Population totale 2024 ss]]*intersection_ss_Lden___surface[[#This Row],[Part de la surface du qs dans le noise contour]]</f>
        <v>0.17168623132824939</v>
      </c>
    </row>
    <row r="111" spans="1:39" x14ac:dyDescent="0.3">
      <c r="A111">
        <v>141</v>
      </c>
      <c r="B111" t="s">
        <v>245</v>
      </c>
      <c r="C111" t="s">
        <v>246</v>
      </c>
      <c r="D111" t="s">
        <v>247</v>
      </c>
      <c r="E111" t="s">
        <v>247</v>
      </c>
      <c r="F111" t="s">
        <v>248</v>
      </c>
      <c r="G111" t="s">
        <v>249</v>
      </c>
      <c r="H111" t="s">
        <v>250</v>
      </c>
      <c r="I111" t="s">
        <v>251</v>
      </c>
      <c r="J111" t="s">
        <v>36</v>
      </c>
      <c r="K111">
        <v>21003</v>
      </c>
      <c r="L111" t="s">
        <v>252</v>
      </c>
      <c r="M111" t="s">
        <v>253</v>
      </c>
      <c r="N111" t="s">
        <v>253</v>
      </c>
      <c r="O111">
        <v>21000</v>
      </c>
      <c r="P111" t="s">
        <v>46</v>
      </c>
      <c r="Q111" t="s">
        <v>47</v>
      </c>
      <c r="R111" t="s">
        <v>48</v>
      </c>
      <c r="T111" t="s">
        <v>36</v>
      </c>
      <c r="U111" t="s">
        <v>36</v>
      </c>
      <c r="V111" t="s">
        <v>36</v>
      </c>
      <c r="W111">
        <v>4000</v>
      </c>
      <c r="X111" t="s">
        <v>49</v>
      </c>
      <c r="Y111" t="s">
        <v>50</v>
      </c>
      <c r="Z111" t="s">
        <v>51</v>
      </c>
      <c r="AA111" t="s">
        <v>37</v>
      </c>
      <c r="AB111" t="s">
        <v>52</v>
      </c>
      <c r="AC111" t="s">
        <v>53</v>
      </c>
      <c r="AD111" t="s">
        <v>54</v>
      </c>
      <c r="AE111">
        <v>25.4954918191</v>
      </c>
      <c r="AF111">
        <v>2573</v>
      </c>
      <c r="AG111">
        <v>2572.89802835</v>
      </c>
      <c r="AH111">
        <v>254959.012755</v>
      </c>
      <c r="AI111">
        <v>45</v>
      </c>
      <c r="AJ111">
        <v>158001.52800322999</v>
      </c>
      <c r="AK111" s="1">
        <f>intersection_ss_Lden___surface[[#This Row],[surf m2 bout ss]]/intersection_ss_Lden___surface[[#This Row],[Shape_Area]]</f>
        <v>0.61971344450984278</v>
      </c>
      <c r="AL111">
        <v>3146</v>
      </c>
      <c r="AM111">
        <f>intersection_ss_Lden___surface[[#This Row],[Population totale 2024 ss]]*intersection_ss_Lden___surface[[#This Row],[Part de la surface du qs dans le noise contour]]</f>
        <v>1949.6184964279653</v>
      </c>
    </row>
    <row r="112" spans="1:39" x14ac:dyDescent="0.3">
      <c r="A112">
        <v>142</v>
      </c>
      <c r="B112" t="s">
        <v>245</v>
      </c>
      <c r="C112" t="s">
        <v>246</v>
      </c>
      <c r="D112" t="s">
        <v>247</v>
      </c>
      <c r="E112" t="s">
        <v>247</v>
      </c>
      <c r="F112" t="s">
        <v>248</v>
      </c>
      <c r="G112" t="s">
        <v>249</v>
      </c>
      <c r="H112" t="s">
        <v>250</v>
      </c>
      <c r="I112" t="s">
        <v>251</v>
      </c>
      <c r="J112" t="s">
        <v>36</v>
      </c>
      <c r="K112">
        <v>21003</v>
      </c>
      <c r="L112" t="s">
        <v>252</v>
      </c>
      <c r="M112" t="s">
        <v>253</v>
      </c>
      <c r="N112" t="s">
        <v>253</v>
      </c>
      <c r="O112">
        <v>21000</v>
      </c>
      <c r="P112" t="s">
        <v>46</v>
      </c>
      <c r="Q112" t="s">
        <v>47</v>
      </c>
      <c r="R112" t="s">
        <v>48</v>
      </c>
      <c r="T112" t="s">
        <v>36</v>
      </c>
      <c r="U112" t="s">
        <v>36</v>
      </c>
      <c r="V112" t="s">
        <v>36</v>
      </c>
      <c r="W112">
        <v>4000</v>
      </c>
      <c r="X112" t="s">
        <v>49</v>
      </c>
      <c r="Y112" t="s">
        <v>50</v>
      </c>
      <c r="Z112" t="s">
        <v>51</v>
      </c>
      <c r="AA112" t="s">
        <v>37</v>
      </c>
      <c r="AB112" t="s">
        <v>52</v>
      </c>
      <c r="AC112" t="s">
        <v>53</v>
      </c>
      <c r="AD112" t="s">
        <v>54</v>
      </c>
      <c r="AE112">
        <v>25.4954918191</v>
      </c>
      <c r="AF112">
        <v>2573</v>
      </c>
      <c r="AG112">
        <v>2572.89802835</v>
      </c>
      <c r="AH112">
        <v>254959.012755</v>
      </c>
      <c r="AI112">
        <v>46</v>
      </c>
      <c r="AJ112">
        <v>96981.649335247901</v>
      </c>
      <c r="AK112" s="1">
        <f>intersection_ss_Lden___surface[[#This Row],[surf m2 bout ss]]/intersection_ss_Lden___surface[[#This Row],[Shape_Area]]</f>
        <v>0.38038133379674371</v>
      </c>
      <c r="AL112">
        <v>3146</v>
      </c>
      <c r="AM112">
        <f>intersection_ss_Lden___surface[[#This Row],[Population totale 2024 ss]]*intersection_ss_Lden___surface[[#This Row],[Part de la surface du qs dans le noise contour]]</f>
        <v>1196.6796761245557</v>
      </c>
    </row>
    <row r="113" spans="1:39" x14ac:dyDescent="0.3">
      <c r="A113">
        <v>143</v>
      </c>
      <c r="B113" t="s">
        <v>254</v>
      </c>
      <c r="C113" t="s">
        <v>255</v>
      </c>
      <c r="D113" t="s">
        <v>255</v>
      </c>
      <c r="E113" t="s">
        <v>255</v>
      </c>
      <c r="F113" t="s">
        <v>248</v>
      </c>
      <c r="G113" t="s">
        <v>249</v>
      </c>
      <c r="H113" t="s">
        <v>250</v>
      </c>
      <c r="I113" t="s">
        <v>251</v>
      </c>
      <c r="J113" t="s">
        <v>36</v>
      </c>
      <c r="K113">
        <v>21003</v>
      </c>
      <c r="L113" t="s">
        <v>252</v>
      </c>
      <c r="M113" t="s">
        <v>253</v>
      </c>
      <c r="N113" t="s">
        <v>253</v>
      </c>
      <c r="O113">
        <v>21000</v>
      </c>
      <c r="P113" t="s">
        <v>46</v>
      </c>
      <c r="Q113" t="s">
        <v>47</v>
      </c>
      <c r="R113" t="s">
        <v>48</v>
      </c>
      <c r="T113" t="s">
        <v>36</v>
      </c>
      <c r="U113" t="s">
        <v>36</v>
      </c>
      <c r="V113" t="s">
        <v>36</v>
      </c>
      <c r="W113">
        <v>4000</v>
      </c>
      <c r="X113" t="s">
        <v>49</v>
      </c>
      <c r="Y113" t="s">
        <v>50</v>
      </c>
      <c r="Z113" t="s">
        <v>51</v>
      </c>
      <c r="AA113" t="s">
        <v>37</v>
      </c>
      <c r="AB113" t="s">
        <v>52</v>
      </c>
      <c r="AC113" t="s">
        <v>53</v>
      </c>
      <c r="AD113" t="s">
        <v>54</v>
      </c>
      <c r="AE113">
        <v>13.145984479599999</v>
      </c>
      <c r="AF113">
        <v>2145</v>
      </c>
      <c r="AG113">
        <v>2145.3424660699998</v>
      </c>
      <c r="AH113">
        <v>131461.94519100001</v>
      </c>
      <c r="AI113">
        <v>45</v>
      </c>
      <c r="AJ113">
        <v>26992.639241373199</v>
      </c>
      <c r="AK113" s="1">
        <f>intersection_ss_Lden___surface[[#This Row],[surf m2 bout ss]]/intersection_ss_Lden___surface[[#This Row],[Shape_Area]]</f>
        <v>0.20532663807884335</v>
      </c>
      <c r="AL113">
        <v>1582</v>
      </c>
      <c r="AM113">
        <f>intersection_ss_Lden___surface[[#This Row],[Population totale 2024 ss]]*intersection_ss_Lden___surface[[#This Row],[Part de la surface du qs dans le noise contour]]</f>
        <v>324.82674144073019</v>
      </c>
    </row>
    <row r="114" spans="1:39" x14ac:dyDescent="0.3">
      <c r="A114">
        <v>144</v>
      </c>
      <c r="B114" t="s">
        <v>254</v>
      </c>
      <c r="C114" t="s">
        <v>255</v>
      </c>
      <c r="D114" t="s">
        <v>255</v>
      </c>
      <c r="E114" t="s">
        <v>255</v>
      </c>
      <c r="F114" t="s">
        <v>248</v>
      </c>
      <c r="G114" t="s">
        <v>249</v>
      </c>
      <c r="H114" t="s">
        <v>250</v>
      </c>
      <c r="I114" t="s">
        <v>251</v>
      </c>
      <c r="J114" t="s">
        <v>36</v>
      </c>
      <c r="K114">
        <v>21003</v>
      </c>
      <c r="L114" t="s">
        <v>252</v>
      </c>
      <c r="M114" t="s">
        <v>253</v>
      </c>
      <c r="N114" t="s">
        <v>253</v>
      </c>
      <c r="O114">
        <v>21000</v>
      </c>
      <c r="P114" t="s">
        <v>46</v>
      </c>
      <c r="Q114" t="s">
        <v>47</v>
      </c>
      <c r="R114" t="s">
        <v>48</v>
      </c>
      <c r="T114" t="s">
        <v>36</v>
      </c>
      <c r="U114" t="s">
        <v>36</v>
      </c>
      <c r="V114" t="s">
        <v>36</v>
      </c>
      <c r="W114">
        <v>4000</v>
      </c>
      <c r="X114" t="s">
        <v>49</v>
      </c>
      <c r="Y114" t="s">
        <v>50</v>
      </c>
      <c r="Z114" t="s">
        <v>51</v>
      </c>
      <c r="AA114" t="s">
        <v>37</v>
      </c>
      <c r="AB114" t="s">
        <v>52</v>
      </c>
      <c r="AC114" t="s">
        <v>53</v>
      </c>
      <c r="AD114" t="s">
        <v>54</v>
      </c>
      <c r="AE114">
        <v>13.145984479599999</v>
      </c>
      <c r="AF114">
        <v>2145</v>
      </c>
      <c r="AG114">
        <v>2145.3424660699998</v>
      </c>
      <c r="AH114">
        <v>131461.94519100001</v>
      </c>
      <c r="AI114">
        <v>46</v>
      </c>
      <c r="AJ114">
        <v>104481.699832702</v>
      </c>
      <c r="AK114" s="1">
        <f>intersection_ss_Lden___surface[[#This Row],[surf m2 bout ss]]/intersection_ss_Lden___surface[[#This Row],[Shape_Area]]</f>
        <v>0.79476763926550287</v>
      </c>
      <c r="AL114">
        <v>1582</v>
      </c>
      <c r="AM114">
        <f>intersection_ss_Lden___surface[[#This Row],[Population totale 2024 ss]]*intersection_ss_Lden___surface[[#This Row],[Part de la surface du qs dans le noise contour]]</f>
        <v>1257.3224053180256</v>
      </c>
    </row>
    <row r="115" spans="1:39" x14ac:dyDescent="0.3">
      <c r="A115">
        <v>145</v>
      </c>
      <c r="B115" t="s">
        <v>256</v>
      </c>
      <c r="C115" t="s">
        <v>257</v>
      </c>
      <c r="D115" t="s">
        <v>258</v>
      </c>
      <c r="E115" t="s">
        <v>258</v>
      </c>
      <c r="F115" t="s">
        <v>248</v>
      </c>
      <c r="G115" t="s">
        <v>249</v>
      </c>
      <c r="H115" t="s">
        <v>250</v>
      </c>
      <c r="I115" t="s">
        <v>251</v>
      </c>
      <c r="J115" t="s">
        <v>36</v>
      </c>
      <c r="K115">
        <v>21003</v>
      </c>
      <c r="L115" t="s">
        <v>252</v>
      </c>
      <c r="M115" t="s">
        <v>253</v>
      </c>
      <c r="N115" t="s">
        <v>253</v>
      </c>
      <c r="O115">
        <v>21000</v>
      </c>
      <c r="P115" t="s">
        <v>46</v>
      </c>
      <c r="Q115" t="s">
        <v>47</v>
      </c>
      <c r="R115" t="s">
        <v>48</v>
      </c>
      <c r="T115" t="s">
        <v>36</v>
      </c>
      <c r="U115" t="s">
        <v>36</v>
      </c>
      <c r="V115" t="s">
        <v>36</v>
      </c>
      <c r="W115">
        <v>4000</v>
      </c>
      <c r="X115" t="s">
        <v>49</v>
      </c>
      <c r="Y115" t="s">
        <v>50</v>
      </c>
      <c r="Z115" t="s">
        <v>51</v>
      </c>
      <c r="AA115" t="s">
        <v>37</v>
      </c>
      <c r="AB115" t="s">
        <v>52</v>
      </c>
      <c r="AC115" t="s">
        <v>53</v>
      </c>
      <c r="AD115" t="s">
        <v>54</v>
      </c>
      <c r="AE115">
        <v>29.825869397000002</v>
      </c>
      <c r="AF115">
        <v>2289</v>
      </c>
      <c r="AG115">
        <v>2289.1403196599999</v>
      </c>
      <c r="AH115">
        <v>298263.51629699999</v>
      </c>
      <c r="AI115">
        <v>45</v>
      </c>
      <c r="AJ115">
        <v>297337.82701316802</v>
      </c>
      <c r="AK115" s="1">
        <f>intersection_ss_Lden___surface[[#This Row],[surf m2 bout ss]]/intersection_ss_Lden___surface[[#This Row],[Shape_Area]]</f>
        <v>0.99689640457765472</v>
      </c>
      <c r="AL115">
        <v>3255</v>
      </c>
      <c r="AM115">
        <f>intersection_ss_Lden___surface[[#This Row],[Population totale 2024 ss]]*intersection_ss_Lden___surface[[#This Row],[Part de la surface du qs dans le noise contour]]</f>
        <v>3244.8977969002663</v>
      </c>
    </row>
    <row r="116" spans="1:39" x14ac:dyDescent="0.3">
      <c r="A116">
        <v>146</v>
      </c>
      <c r="B116" t="s">
        <v>256</v>
      </c>
      <c r="C116" t="s">
        <v>257</v>
      </c>
      <c r="D116" t="s">
        <v>258</v>
      </c>
      <c r="E116" t="s">
        <v>258</v>
      </c>
      <c r="F116" t="s">
        <v>248</v>
      </c>
      <c r="G116" t="s">
        <v>249</v>
      </c>
      <c r="H116" t="s">
        <v>250</v>
      </c>
      <c r="I116" t="s">
        <v>251</v>
      </c>
      <c r="J116" t="s">
        <v>36</v>
      </c>
      <c r="K116">
        <v>21003</v>
      </c>
      <c r="L116" t="s">
        <v>252</v>
      </c>
      <c r="M116" t="s">
        <v>253</v>
      </c>
      <c r="N116" t="s">
        <v>253</v>
      </c>
      <c r="O116">
        <v>21000</v>
      </c>
      <c r="P116" t="s">
        <v>46</v>
      </c>
      <c r="Q116" t="s">
        <v>47</v>
      </c>
      <c r="R116" t="s">
        <v>48</v>
      </c>
      <c r="T116" t="s">
        <v>36</v>
      </c>
      <c r="U116" t="s">
        <v>36</v>
      </c>
      <c r="V116" t="s">
        <v>36</v>
      </c>
      <c r="W116">
        <v>4000</v>
      </c>
      <c r="X116" t="s">
        <v>49</v>
      </c>
      <c r="Y116" t="s">
        <v>50</v>
      </c>
      <c r="Z116" t="s">
        <v>51</v>
      </c>
      <c r="AA116" t="s">
        <v>37</v>
      </c>
      <c r="AB116" t="s">
        <v>52</v>
      </c>
      <c r="AC116" t="s">
        <v>53</v>
      </c>
      <c r="AD116" t="s">
        <v>54</v>
      </c>
      <c r="AE116">
        <v>29.825869397000002</v>
      </c>
      <c r="AF116">
        <v>2289</v>
      </c>
      <c r="AG116">
        <v>2289.1403196599999</v>
      </c>
      <c r="AH116">
        <v>298263.51629699999</v>
      </c>
      <c r="AI116">
        <v>46</v>
      </c>
      <c r="AJ116">
        <v>954.04562062770106</v>
      </c>
      <c r="AK116" s="1">
        <f>intersection_ss_Lden___surface[[#This Row],[surf m2 bout ss]]/intersection_ss_Lden___surface[[#This Row],[Shape_Area]]</f>
        <v>3.1986668449174218E-3</v>
      </c>
      <c r="AL116">
        <v>3255</v>
      </c>
      <c r="AM116">
        <f>intersection_ss_Lden___surface[[#This Row],[Population totale 2024 ss]]*intersection_ss_Lden___surface[[#This Row],[Part de la surface du qs dans le noise contour]]</f>
        <v>10.411660580206208</v>
      </c>
    </row>
    <row r="117" spans="1:39" x14ac:dyDescent="0.3">
      <c r="A117">
        <v>147</v>
      </c>
      <c r="B117" t="s">
        <v>259</v>
      </c>
      <c r="C117" t="s">
        <v>260</v>
      </c>
      <c r="D117" t="s">
        <v>261</v>
      </c>
      <c r="E117" t="s">
        <v>261</v>
      </c>
      <c r="F117" t="s">
        <v>248</v>
      </c>
      <c r="G117" t="s">
        <v>249</v>
      </c>
      <c r="H117" t="s">
        <v>250</v>
      </c>
      <c r="I117" t="s">
        <v>251</v>
      </c>
      <c r="J117" t="s">
        <v>36</v>
      </c>
      <c r="K117">
        <v>21003</v>
      </c>
      <c r="L117" t="s">
        <v>252</v>
      </c>
      <c r="M117" t="s">
        <v>253</v>
      </c>
      <c r="N117" t="s">
        <v>253</v>
      </c>
      <c r="O117">
        <v>21000</v>
      </c>
      <c r="P117" t="s">
        <v>46</v>
      </c>
      <c r="Q117" t="s">
        <v>47</v>
      </c>
      <c r="R117" t="s">
        <v>48</v>
      </c>
      <c r="T117" t="s">
        <v>36</v>
      </c>
      <c r="U117" t="s">
        <v>36</v>
      </c>
      <c r="V117" t="s">
        <v>36</v>
      </c>
      <c r="W117">
        <v>4000</v>
      </c>
      <c r="X117" t="s">
        <v>49</v>
      </c>
      <c r="Y117" t="s">
        <v>50</v>
      </c>
      <c r="Z117" t="s">
        <v>51</v>
      </c>
      <c r="AA117" t="s">
        <v>37</v>
      </c>
      <c r="AB117" t="s">
        <v>52</v>
      </c>
      <c r="AC117" t="s">
        <v>53</v>
      </c>
      <c r="AD117" t="s">
        <v>54</v>
      </c>
      <c r="AE117">
        <v>16.528647962800001</v>
      </c>
      <c r="AF117">
        <v>2665</v>
      </c>
      <c r="AG117">
        <v>2665.4260769500002</v>
      </c>
      <c r="AH117">
        <v>165289.13088800001</v>
      </c>
      <c r="AI117">
        <v>45</v>
      </c>
      <c r="AJ117">
        <v>165304.96524561101</v>
      </c>
      <c r="AK117" s="1">
        <f>intersection_ss_Lden___surface[[#This Row],[surf m2 bout ss]]/intersection_ss_Lden___surface[[#This Row],[Shape_Area]]</f>
        <v>1.0000957979361735</v>
      </c>
      <c r="AL117">
        <v>2158</v>
      </c>
      <c r="AM117">
        <f>intersection_ss_Lden___surface[[#This Row],[Population totale 2024 ss]]*intersection_ss_Lden___surface[[#This Row],[Part de la surface du qs dans le noise contour]]</f>
        <v>2158.2067319462626</v>
      </c>
    </row>
    <row r="118" spans="1:39" x14ac:dyDescent="0.3">
      <c r="A118">
        <v>148</v>
      </c>
      <c r="B118" t="s">
        <v>262</v>
      </c>
      <c r="C118" t="s">
        <v>263</v>
      </c>
      <c r="D118" t="s">
        <v>264</v>
      </c>
      <c r="E118" t="s">
        <v>264</v>
      </c>
      <c r="F118" t="s">
        <v>248</v>
      </c>
      <c r="G118" t="s">
        <v>249</v>
      </c>
      <c r="H118" t="s">
        <v>250</v>
      </c>
      <c r="I118" t="s">
        <v>251</v>
      </c>
      <c r="J118" t="s">
        <v>36</v>
      </c>
      <c r="K118">
        <v>21003</v>
      </c>
      <c r="L118" t="s">
        <v>252</v>
      </c>
      <c r="M118" t="s">
        <v>253</v>
      </c>
      <c r="N118" t="s">
        <v>253</v>
      </c>
      <c r="O118">
        <v>21000</v>
      </c>
      <c r="P118" t="s">
        <v>46</v>
      </c>
      <c r="Q118" t="s">
        <v>47</v>
      </c>
      <c r="R118" t="s">
        <v>48</v>
      </c>
      <c r="T118" t="s">
        <v>36</v>
      </c>
      <c r="U118" t="s">
        <v>36</v>
      </c>
      <c r="V118" t="s">
        <v>36</v>
      </c>
      <c r="W118">
        <v>4000</v>
      </c>
      <c r="X118" t="s">
        <v>49</v>
      </c>
      <c r="Y118" t="s">
        <v>50</v>
      </c>
      <c r="Z118" t="s">
        <v>51</v>
      </c>
      <c r="AA118" t="s">
        <v>37</v>
      </c>
      <c r="AB118" t="s">
        <v>52</v>
      </c>
      <c r="AC118" t="s">
        <v>53</v>
      </c>
      <c r="AD118" t="s">
        <v>54</v>
      </c>
      <c r="AE118">
        <v>6.2344005972699996</v>
      </c>
      <c r="AF118">
        <v>1173</v>
      </c>
      <c r="AG118">
        <v>1172.8884020099999</v>
      </c>
      <c r="AH118">
        <v>62345.004058500002</v>
      </c>
      <c r="AI118">
        <v>45</v>
      </c>
      <c r="AJ118">
        <v>62350.954651501001</v>
      </c>
      <c r="AK118" s="1">
        <f>intersection_ss_Lden___surface[[#This Row],[surf m2 bout ss]]/intersection_ss_Lden___surface[[#This Row],[Shape_Area]]</f>
        <v>1.0000954461883653</v>
      </c>
      <c r="AL118">
        <v>1124</v>
      </c>
      <c r="AM118">
        <f>intersection_ss_Lden___surface[[#This Row],[Population totale 2024 ss]]*intersection_ss_Lden___surface[[#This Row],[Part de la surface du qs dans le noise contour]]</f>
        <v>1124.1072815157227</v>
      </c>
    </row>
    <row r="119" spans="1:39" x14ac:dyDescent="0.3">
      <c r="A119">
        <v>149</v>
      </c>
      <c r="B119" t="s">
        <v>265</v>
      </c>
      <c r="C119" t="s">
        <v>266</v>
      </c>
      <c r="D119" t="s">
        <v>266</v>
      </c>
      <c r="E119" t="s">
        <v>266</v>
      </c>
      <c r="F119" t="s">
        <v>248</v>
      </c>
      <c r="G119" t="s">
        <v>249</v>
      </c>
      <c r="H119" t="s">
        <v>250</v>
      </c>
      <c r="I119" t="s">
        <v>251</v>
      </c>
      <c r="J119" t="s">
        <v>36</v>
      </c>
      <c r="K119">
        <v>21003</v>
      </c>
      <c r="L119" t="s">
        <v>252</v>
      </c>
      <c r="M119" t="s">
        <v>253</v>
      </c>
      <c r="N119" t="s">
        <v>253</v>
      </c>
      <c r="O119">
        <v>21000</v>
      </c>
      <c r="P119" t="s">
        <v>46</v>
      </c>
      <c r="Q119" t="s">
        <v>47</v>
      </c>
      <c r="R119" t="s">
        <v>48</v>
      </c>
      <c r="T119" t="s">
        <v>36</v>
      </c>
      <c r="U119" t="s">
        <v>36</v>
      </c>
      <c r="V119" t="s">
        <v>36</v>
      </c>
      <c r="W119">
        <v>4000</v>
      </c>
      <c r="X119" t="s">
        <v>49</v>
      </c>
      <c r="Y119" t="s">
        <v>50</v>
      </c>
      <c r="Z119" t="s">
        <v>51</v>
      </c>
      <c r="AA119" t="s">
        <v>37</v>
      </c>
      <c r="AB119" t="s">
        <v>52</v>
      </c>
      <c r="AC119" t="s">
        <v>53</v>
      </c>
      <c r="AD119" t="s">
        <v>54</v>
      </c>
      <c r="AE119">
        <v>22.7790948729</v>
      </c>
      <c r="AF119">
        <v>2462</v>
      </c>
      <c r="AG119">
        <v>2462.41558988</v>
      </c>
      <c r="AH119">
        <v>227794.61470400001</v>
      </c>
      <c r="AI119">
        <v>45</v>
      </c>
      <c r="AJ119">
        <v>35455.8806546899</v>
      </c>
      <c r="AK119" s="1">
        <f>intersection_ss_Lden___surface[[#This Row],[surf m2 bout ss]]/intersection_ss_Lden___surface[[#This Row],[Shape_Area]]</f>
        <v>0.15564845859399198</v>
      </c>
      <c r="AL119">
        <v>1959</v>
      </c>
      <c r="AM119">
        <f>intersection_ss_Lden___surface[[#This Row],[Population totale 2024 ss]]*intersection_ss_Lden___surface[[#This Row],[Part de la surface du qs dans le noise contour]]</f>
        <v>304.91533038563028</v>
      </c>
    </row>
    <row r="120" spans="1:39" x14ac:dyDescent="0.3">
      <c r="A120">
        <v>150</v>
      </c>
      <c r="B120" t="s">
        <v>265</v>
      </c>
      <c r="C120" t="s">
        <v>266</v>
      </c>
      <c r="D120" t="s">
        <v>266</v>
      </c>
      <c r="E120" t="s">
        <v>266</v>
      </c>
      <c r="F120" t="s">
        <v>248</v>
      </c>
      <c r="G120" t="s">
        <v>249</v>
      </c>
      <c r="H120" t="s">
        <v>250</v>
      </c>
      <c r="I120" t="s">
        <v>251</v>
      </c>
      <c r="J120" t="s">
        <v>36</v>
      </c>
      <c r="K120">
        <v>21003</v>
      </c>
      <c r="L120" t="s">
        <v>252</v>
      </c>
      <c r="M120" t="s">
        <v>253</v>
      </c>
      <c r="N120" t="s">
        <v>253</v>
      </c>
      <c r="O120">
        <v>21000</v>
      </c>
      <c r="P120" t="s">
        <v>46</v>
      </c>
      <c r="Q120" t="s">
        <v>47</v>
      </c>
      <c r="R120" t="s">
        <v>48</v>
      </c>
      <c r="T120" t="s">
        <v>36</v>
      </c>
      <c r="U120" t="s">
        <v>36</v>
      </c>
      <c r="V120" t="s">
        <v>36</v>
      </c>
      <c r="W120">
        <v>4000</v>
      </c>
      <c r="X120" t="s">
        <v>49</v>
      </c>
      <c r="Y120" t="s">
        <v>50</v>
      </c>
      <c r="Z120" t="s">
        <v>51</v>
      </c>
      <c r="AA120" t="s">
        <v>37</v>
      </c>
      <c r="AB120" t="s">
        <v>52</v>
      </c>
      <c r="AC120" t="s">
        <v>53</v>
      </c>
      <c r="AD120" t="s">
        <v>54</v>
      </c>
      <c r="AE120">
        <v>22.7790948729</v>
      </c>
      <c r="AF120">
        <v>2462</v>
      </c>
      <c r="AG120">
        <v>2462.41558988</v>
      </c>
      <c r="AH120">
        <v>227794.61470400001</v>
      </c>
      <c r="AI120">
        <v>46</v>
      </c>
      <c r="AJ120">
        <v>173858.24116021401</v>
      </c>
      <c r="AK120" s="1">
        <f>intersection_ss_Lden___surface[[#This Row],[surf m2 bout ss]]/intersection_ss_Lden___surface[[#This Row],[Shape_Area]]</f>
        <v>0.76322366701305999</v>
      </c>
      <c r="AL120">
        <v>1959</v>
      </c>
      <c r="AM120">
        <f>intersection_ss_Lden___surface[[#This Row],[Population totale 2024 ss]]*intersection_ss_Lden___surface[[#This Row],[Part de la surface du qs dans le noise contour]]</f>
        <v>1495.1551636785846</v>
      </c>
    </row>
    <row r="121" spans="1:39" x14ac:dyDescent="0.3">
      <c r="A121">
        <v>151</v>
      </c>
      <c r="B121" t="s">
        <v>265</v>
      </c>
      <c r="C121" t="s">
        <v>266</v>
      </c>
      <c r="D121" t="s">
        <v>266</v>
      </c>
      <c r="E121" t="s">
        <v>266</v>
      </c>
      <c r="F121" t="s">
        <v>248</v>
      </c>
      <c r="G121" t="s">
        <v>249</v>
      </c>
      <c r="H121" t="s">
        <v>250</v>
      </c>
      <c r="I121" t="s">
        <v>251</v>
      </c>
      <c r="J121" t="s">
        <v>36</v>
      </c>
      <c r="K121">
        <v>21003</v>
      </c>
      <c r="L121" t="s">
        <v>252</v>
      </c>
      <c r="M121" t="s">
        <v>253</v>
      </c>
      <c r="N121" t="s">
        <v>253</v>
      </c>
      <c r="O121">
        <v>21000</v>
      </c>
      <c r="P121" t="s">
        <v>46</v>
      </c>
      <c r="Q121" t="s">
        <v>47</v>
      </c>
      <c r="R121" t="s">
        <v>48</v>
      </c>
      <c r="T121" t="s">
        <v>36</v>
      </c>
      <c r="U121" t="s">
        <v>36</v>
      </c>
      <c r="V121" t="s">
        <v>36</v>
      </c>
      <c r="W121">
        <v>4000</v>
      </c>
      <c r="X121" t="s">
        <v>49</v>
      </c>
      <c r="Y121" t="s">
        <v>50</v>
      </c>
      <c r="Z121" t="s">
        <v>51</v>
      </c>
      <c r="AA121" t="s">
        <v>37</v>
      </c>
      <c r="AB121" t="s">
        <v>52</v>
      </c>
      <c r="AC121" t="s">
        <v>53</v>
      </c>
      <c r="AD121" t="s">
        <v>54</v>
      </c>
      <c r="AE121">
        <v>22.7790948729</v>
      </c>
      <c r="AF121">
        <v>2462</v>
      </c>
      <c r="AG121">
        <v>2462.41558988</v>
      </c>
      <c r="AH121">
        <v>227794.61470400001</v>
      </c>
      <c r="AI121">
        <v>47</v>
      </c>
      <c r="AJ121">
        <v>18501.991067983199</v>
      </c>
      <c r="AK121" s="1">
        <f>intersection_ss_Lden___surface[[#This Row],[surf m2 bout ss]]/intersection_ss_Lden___surface[[#This Row],[Shape_Area]]</f>
        <v>8.1222249665669155E-2</v>
      </c>
      <c r="AL121">
        <v>1959</v>
      </c>
      <c r="AM121">
        <f>intersection_ss_Lden___surface[[#This Row],[Population totale 2024 ss]]*intersection_ss_Lden___surface[[#This Row],[Part de la surface du qs dans le noise contour]]</f>
        <v>159.11438709504588</v>
      </c>
    </row>
    <row r="122" spans="1:39" x14ac:dyDescent="0.3">
      <c r="A122">
        <v>152</v>
      </c>
      <c r="B122" t="s">
        <v>267</v>
      </c>
      <c r="C122" t="s">
        <v>268</v>
      </c>
      <c r="D122" t="s">
        <v>268</v>
      </c>
      <c r="E122" t="s">
        <v>268</v>
      </c>
      <c r="F122" t="s">
        <v>248</v>
      </c>
      <c r="G122" t="s">
        <v>249</v>
      </c>
      <c r="H122" t="s">
        <v>250</v>
      </c>
      <c r="I122" t="s">
        <v>251</v>
      </c>
      <c r="J122" t="s">
        <v>36</v>
      </c>
      <c r="K122">
        <v>21003</v>
      </c>
      <c r="L122" t="s">
        <v>252</v>
      </c>
      <c r="M122" t="s">
        <v>253</v>
      </c>
      <c r="N122" t="s">
        <v>253</v>
      </c>
      <c r="O122">
        <v>21000</v>
      </c>
      <c r="P122" t="s">
        <v>46</v>
      </c>
      <c r="Q122" t="s">
        <v>47</v>
      </c>
      <c r="R122" t="s">
        <v>48</v>
      </c>
      <c r="T122" t="s">
        <v>36</v>
      </c>
      <c r="U122" t="s">
        <v>36</v>
      </c>
      <c r="V122" t="s">
        <v>36</v>
      </c>
      <c r="W122">
        <v>4000</v>
      </c>
      <c r="X122" t="s">
        <v>49</v>
      </c>
      <c r="Y122" t="s">
        <v>50</v>
      </c>
      <c r="Z122" t="s">
        <v>51</v>
      </c>
      <c r="AA122" t="s">
        <v>37</v>
      </c>
      <c r="AB122" t="s">
        <v>52</v>
      </c>
      <c r="AC122" t="s">
        <v>53</v>
      </c>
      <c r="AD122" t="s">
        <v>54</v>
      </c>
      <c r="AE122">
        <v>14.668551086800001</v>
      </c>
      <c r="AF122">
        <v>2058</v>
      </c>
      <c r="AG122">
        <v>2058.2522324500001</v>
      </c>
      <c r="AH122">
        <v>146687.87476599999</v>
      </c>
      <c r="AI122">
        <v>46</v>
      </c>
      <c r="AJ122">
        <v>36826.512300126698</v>
      </c>
      <c r="AK122" s="1">
        <f>intersection_ss_Lden___surface[[#This Row],[surf m2 bout ss]]/intersection_ss_Lden___surface[[#This Row],[Shape_Area]]</f>
        <v>0.25105355407782159</v>
      </c>
      <c r="AL122">
        <v>1003</v>
      </c>
      <c r="AM122">
        <f>intersection_ss_Lden___surface[[#This Row],[Population totale 2024 ss]]*intersection_ss_Lden___surface[[#This Row],[Part de la surface du qs dans le noise contour]]</f>
        <v>251.80671474005507</v>
      </c>
    </row>
    <row r="123" spans="1:39" x14ac:dyDescent="0.3">
      <c r="A123">
        <v>153</v>
      </c>
      <c r="B123" t="s">
        <v>267</v>
      </c>
      <c r="C123" t="s">
        <v>268</v>
      </c>
      <c r="D123" t="s">
        <v>268</v>
      </c>
      <c r="E123" t="s">
        <v>268</v>
      </c>
      <c r="F123" t="s">
        <v>248</v>
      </c>
      <c r="G123" t="s">
        <v>249</v>
      </c>
      <c r="H123" t="s">
        <v>250</v>
      </c>
      <c r="I123" t="s">
        <v>251</v>
      </c>
      <c r="J123" t="s">
        <v>36</v>
      </c>
      <c r="K123">
        <v>21003</v>
      </c>
      <c r="L123" t="s">
        <v>252</v>
      </c>
      <c r="M123" t="s">
        <v>253</v>
      </c>
      <c r="N123" t="s">
        <v>253</v>
      </c>
      <c r="O123">
        <v>21000</v>
      </c>
      <c r="P123" t="s">
        <v>46</v>
      </c>
      <c r="Q123" t="s">
        <v>47</v>
      </c>
      <c r="R123" t="s">
        <v>48</v>
      </c>
      <c r="T123" t="s">
        <v>36</v>
      </c>
      <c r="U123" t="s">
        <v>36</v>
      </c>
      <c r="V123" t="s">
        <v>36</v>
      </c>
      <c r="W123">
        <v>4000</v>
      </c>
      <c r="X123" t="s">
        <v>49</v>
      </c>
      <c r="Y123" t="s">
        <v>50</v>
      </c>
      <c r="Z123" t="s">
        <v>51</v>
      </c>
      <c r="AA123" t="s">
        <v>37</v>
      </c>
      <c r="AB123" t="s">
        <v>52</v>
      </c>
      <c r="AC123" t="s">
        <v>53</v>
      </c>
      <c r="AD123" t="s">
        <v>54</v>
      </c>
      <c r="AE123">
        <v>14.668551086800001</v>
      </c>
      <c r="AF123">
        <v>2058</v>
      </c>
      <c r="AG123">
        <v>2058.2522324500001</v>
      </c>
      <c r="AH123">
        <v>146687.87476599999</v>
      </c>
      <c r="AI123">
        <v>47</v>
      </c>
      <c r="AJ123">
        <v>109875.12787784501</v>
      </c>
      <c r="AK123" s="1">
        <f>intersection_ss_Lden___surface[[#This Row],[surf m2 bout ss]]/intersection_ss_Lden___surface[[#This Row],[Shape_Area]]</f>
        <v>0.74904028743425755</v>
      </c>
      <c r="AL123">
        <v>1003</v>
      </c>
      <c r="AM123">
        <f>intersection_ss_Lden___surface[[#This Row],[Population totale 2024 ss]]*intersection_ss_Lden___surface[[#This Row],[Part de la surface du qs dans le noise contour]]</f>
        <v>751.28740829656033</v>
      </c>
    </row>
    <row r="124" spans="1:39" x14ac:dyDescent="0.3">
      <c r="A124">
        <v>154</v>
      </c>
      <c r="B124" t="s">
        <v>269</v>
      </c>
      <c r="C124" t="s">
        <v>270</v>
      </c>
      <c r="D124" t="s">
        <v>271</v>
      </c>
      <c r="E124" t="s">
        <v>271</v>
      </c>
      <c r="F124" t="s">
        <v>272</v>
      </c>
      <c r="G124" t="s">
        <v>249</v>
      </c>
      <c r="H124" t="s">
        <v>250</v>
      </c>
      <c r="I124" t="s">
        <v>251</v>
      </c>
      <c r="J124" t="s">
        <v>36</v>
      </c>
      <c r="K124">
        <v>21003</v>
      </c>
      <c r="L124" t="s">
        <v>252</v>
      </c>
      <c r="M124" t="s">
        <v>253</v>
      </c>
      <c r="N124" t="s">
        <v>253</v>
      </c>
      <c r="O124">
        <v>21000</v>
      </c>
      <c r="P124" t="s">
        <v>46</v>
      </c>
      <c r="Q124" t="s">
        <v>47</v>
      </c>
      <c r="R124" t="s">
        <v>48</v>
      </c>
      <c r="T124" t="s">
        <v>36</v>
      </c>
      <c r="U124" t="s">
        <v>36</v>
      </c>
      <c r="V124" t="s">
        <v>36</v>
      </c>
      <c r="W124">
        <v>4000</v>
      </c>
      <c r="X124" t="s">
        <v>49</v>
      </c>
      <c r="Y124" t="s">
        <v>50</v>
      </c>
      <c r="Z124" t="s">
        <v>51</v>
      </c>
      <c r="AA124" t="s">
        <v>37</v>
      </c>
      <c r="AB124" t="s">
        <v>52</v>
      </c>
      <c r="AC124" t="s">
        <v>53</v>
      </c>
      <c r="AD124" t="s">
        <v>54</v>
      </c>
      <c r="AE124">
        <v>16.679037365599999</v>
      </c>
      <c r="AF124">
        <v>2214</v>
      </c>
      <c r="AG124">
        <v>2214.0926075699999</v>
      </c>
      <c r="AH124">
        <v>166793.05377599999</v>
      </c>
      <c r="AI124">
        <v>45</v>
      </c>
      <c r="AJ124">
        <v>31960.182599505399</v>
      </c>
      <c r="AK124" s="1">
        <f>intersection_ss_Lden___surface[[#This Row],[surf m2 bout ss]]/intersection_ss_Lden___surface[[#This Row],[Shape_Area]]</f>
        <v>0.19161578900298412</v>
      </c>
      <c r="AL124">
        <v>3342</v>
      </c>
      <c r="AM124">
        <f>intersection_ss_Lden___surface[[#This Row],[Population totale 2024 ss]]*intersection_ss_Lden___surface[[#This Row],[Part de la surface du qs dans le noise contour]]</f>
        <v>640.37996684797292</v>
      </c>
    </row>
    <row r="125" spans="1:39" x14ac:dyDescent="0.3">
      <c r="A125">
        <v>155</v>
      </c>
      <c r="B125" t="s">
        <v>269</v>
      </c>
      <c r="C125" t="s">
        <v>270</v>
      </c>
      <c r="D125" t="s">
        <v>271</v>
      </c>
      <c r="E125" t="s">
        <v>271</v>
      </c>
      <c r="F125" t="s">
        <v>272</v>
      </c>
      <c r="G125" t="s">
        <v>249</v>
      </c>
      <c r="H125" t="s">
        <v>250</v>
      </c>
      <c r="I125" t="s">
        <v>251</v>
      </c>
      <c r="J125" t="s">
        <v>36</v>
      </c>
      <c r="K125">
        <v>21003</v>
      </c>
      <c r="L125" t="s">
        <v>252</v>
      </c>
      <c r="M125" t="s">
        <v>253</v>
      </c>
      <c r="N125" t="s">
        <v>253</v>
      </c>
      <c r="O125">
        <v>21000</v>
      </c>
      <c r="P125" t="s">
        <v>46</v>
      </c>
      <c r="Q125" t="s">
        <v>47</v>
      </c>
      <c r="R125" t="s">
        <v>48</v>
      </c>
      <c r="T125" t="s">
        <v>36</v>
      </c>
      <c r="U125" t="s">
        <v>36</v>
      </c>
      <c r="V125" t="s">
        <v>36</v>
      </c>
      <c r="W125">
        <v>4000</v>
      </c>
      <c r="X125" t="s">
        <v>49</v>
      </c>
      <c r="Y125" t="s">
        <v>50</v>
      </c>
      <c r="Z125" t="s">
        <v>51</v>
      </c>
      <c r="AA125" t="s">
        <v>37</v>
      </c>
      <c r="AB125" t="s">
        <v>52</v>
      </c>
      <c r="AC125" t="s">
        <v>53</v>
      </c>
      <c r="AD125" t="s">
        <v>54</v>
      </c>
      <c r="AE125">
        <v>16.679037365599999</v>
      </c>
      <c r="AF125">
        <v>2214</v>
      </c>
      <c r="AG125">
        <v>2214.0926075699999</v>
      </c>
      <c r="AH125">
        <v>166793.05377599999</v>
      </c>
      <c r="AI125">
        <v>46</v>
      </c>
      <c r="AJ125">
        <v>134848.58643484401</v>
      </c>
      <c r="AK125" s="1">
        <f>intersection_ss_Lden___surface[[#This Row],[surf m2 bout ss]]/intersection_ss_Lden___surface[[#This Row],[Shape_Area]]</f>
        <v>0.80847843109787532</v>
      </c>
      <c r="AL125">
        <v>3342</v>
      </c>
      <c r="AM125">
        <f>intersection_ss_Lden___surface[[#This Row],[Population totale 2024 ss]]*intersection_ss_Lden___surface[[#This Row],[Part de la surface du qs dans le noise contour]]</f>
        <v>2701.9349167290993</v>
      </c>
    </row>
    <row r="126" spans="1:39" x14ac:dyDescent="0.3">
      <c r="A126">
        <v>156</v>
      </c>
      <c r="B126" t="s">
        <v>273</v>
      </c>
      <c r="C126" t="s">
        <v>274</v>
      </c>
      <c r="D126" t="s">
        <v>275</v>
      </c>
      <c r="E126" t="s">
        <v>275</v>
      </c>
      <c r="F126" t="s">
        <v>272</v>
      </c>
      <c r="G126" t="s">
        <v>249</v>
      </c>
      <c r="H126" t="s">
        <v>250</v>
      </c>
      <c r="I126" t="s">
        <v>251</v>
      </c>
      <c r="J126" t="s">
        <v>36</v>
      </c>
      <c r="K126">
        <v>21003</v>
      </c>
      <c r="L126" t="s">
        <v>252</v>
      </c>
      <c r="M126" t="s">
        <v>253</v>
      </c>
      <c r="N126" t="s">
        <v>253</v>
      </c>
      <c r="O126">
        <v>21000</v>
      </c>
      <c r="P126" t="s">
        <v>46</v>
      </c>
      <c r="Q126" t="s">
        <v>47</v>
      </c>
      <c r="R126" t="s">
        <v>48</v>
      </c>
      <c r="T126" t="s">
        <v>36</v>
      </c>
      <c r="U126" t="s">
        <v>36</v>
      </c>
      <c r="V126" t="s">
        <v>36</v>
      </c>
      <c r="W126">
        <v>4000</v>
      </c>
      <c r="X126" t="s">
        <v>49</v>
      </c>
      <c r="Y126" t="s">
        <v>50</v>
      </c>
      <c r="Z126" t="s">
        <v>51</v>
      </c>
      <c r="AA126" t="s">
        <v>37</v>
      </c>
      <c r="AB126" t="s">
        <v>52</v>
      </c>
      <c r="AC126" t="s">
        <v>53</v>
      </c>
      <c r="AD126" t="s">
        <v>54</v>
      </c>
      <c r="AE126">
        <v>7.01471107335</v>
      </c>
      <c r="AF126">
        <v>1418</v>
      </c>
      <c r="AG126">
        <v>1418.2469629100001</v>
      </c>
      <c r="AH126">
        <v>70148.240752900005</v>
      </c>
      <c r="AI126">
        <v>46</v>
      </c>
      <c r="AJ126">
        <v>70154.829634093199</v>
      </c>
      <c r="AK126" s="1">
        <f>intersection_ss_Lden___surface[[#This Row],[surf m2 bout ss]]/intersection_ss_Lden___surface[[#This Row],[Shape_Area]]</f>
        <v>1.0000939279605943</v>
      </c>
      <c r="AL126">
        <v>714</v>
      </c>
      <c r="AM126">
        <f>intersection_ss_Lden___surface[[#This Row],[Population totale 2024 ss]]*intersection_ss_Lden___surface[[#This Row],[Part de la surface du qs dans le noise contour]]</f>
        <v>714.06706456386428</v>
      </c>
    </row>
    <row r="127" spans="1:39" x14ac:dyDescent="0.3">
      <c r="A127">
        <v>157</v>
      </c>
      <c r="B127" t="s">
        <v>276</v>
      </c>
      <c r="C127" t="s">
        <v>277</v>
      </c>
      <c r="D127" t="s">
        <v>278</v>
      </c>
      <c r="E127" t="s">
        <v>278</v>
      </c>
      <c r="F127" t="s">
        <v>279</v>
      </c>
      <c r="G127" t="s">
        <v>249</v>
      </c>
      <c r="H127" t="s">
        <v>250</v>
      </c>
      <c r="I127" t="s">
        <v>251</v>
      </c>
      <c r="J127" t="s">
        <v>36</v>
      </c>
      <c r="K127">
        <v>21003</v>
      </c>
      <c r="L127" t="s">
        <v>252</v>
      </c>
      <c r="M127" t="s">
        <v>253</v>
      </c>
      <c r="N127" t="s">
        <v>253</v>
      </c>
      <c r="O127">
        <v>21000</v>
      </c>
      <c r="P127" t="s">
        <v>46</v>
      </c>
      <c r="Q127" t="s">
        <v>47</v>
      </c>
      <c r="R127" t="s">
        <v>48</v>
      </c>
      <c r="T127" t="s">
        <v>36</v>
      </c>
      <c r="U127" t="s">
        <v>36</v>
      </c>
      <c r="V127" t="s">
        <v>36</v>
      </c>
      <c r="W127">
        <v>4000</v>
      </c>
      <c r="X127" t="s">
        <v>49</v>
      </c>
      <c r="Y127" t="s">
        <v>50</v>
      </c>
      <c r="Z127" t="s">
        <v>51</v>
      </c>
      <c r="AA127" t="s">
        <v>37</v>
      </c>
      <c r="AB127" t="s">
        <v>52</v>
      </c>
      <c r="AC127" t="s">
        <v>53</v>
      </c>
      <c r="AD127" t="s">
        <v>54</v>
      </c>
      <c r="AE127">
        <v>4.3768669409000003</v>
      </c>
      <c r="AF127">
        <v>1041</v>
      </c>
      <c r="AG127">
        <v>1041.5079841899999</v>
      </c>
      <c r="AH127">
        <v>43769.370052600003</v>
      </c>
      <c r="AI127">
        <v>46</v>
      </c>
      <c r="AJ127">
        <v>17933.62640284</v>
      </c>
      <c r="AK127" s="1">
        <f>intersection_ss_Lden___surface[[#This Row],[surf m2 bout ss]]/intersection_ss_Lden___surface[[#This Row],[Shape_Area]]</f>
        <v>0.40973005508848309</v>
      </c>
      <c r="AL127">
        <v>650</v>
      </c>
      <c r="AM127">
        <f>intersection_ss_Lden___surface[[#This Row],[Population totale 2024 ss]]*intersection_ss_Lden___surface[[#This Row],[Part de la surface du qs dans le noise contour]]</f>
        <v>266.324535807514</v>
      </c>
    </row>
    <row r="128" spans="1:39" x14ac:dyDescent="0.3">
      <c r="A128">
        <v>158</v>
      </c>
      <c r="B128" t="s">
        <v>276</v>
      </c>
      <c r="C128" t="s">
        <v>277</v>
      </c>
      <c r="D128" t="s">
        <v>278</v>
      </c>
      <c r="E128" t="s">
        <v>278</v>
      </c>
      <c r="F128" t="s">
        <v>279</v>
      </c>
      <c r="G128" t="s">
        <v>249</v>
      </c>
      <c r="H128" t="s">
        <v>250</v>
      </c>
      <c r="I128" t="s">
        <v>251</v>
      </c>
      <c r="J128" t="s">
        <v>36</v>
      </c>
      <c r="K128">
        <v>21003</v>
      </c>
      <c r="L128" t="s">
        <v>252</v>
      </c>
      <c r="M128" t="s">
        <v>253</v>
      </c>
      <c r="N128" t="s">
        <v>253</v>
      </c>
      <c r="O128">
        <v>21000</v>
      </c>
      <c r="P128" t="s">
        <v>46</v>
      </c>
      <c r="Q128" t="s">
        <v>47</v>
      </c>
      <c r="R128" t="s">
        <v>48</v>
      </c>
      <c r="T128" t="s">
        <v>36</v>
      </c>
      <c r="U128" t="s">
        <v>36</v>
      </c>
      <c r="V128" t="s">
        <v>36</v>
      </c>
      <c r="W128">
        <v>4000</v>
      </c>
      <c r="X128" t="s">
        <v>49</v>
      </c>
      <c r="Y128" t="s">
        <v>50</v>
      </c>
      <c r="Z128" t="s">
        <v>51</v>
      </c>
      <c r="AA128" t="s">
        <v>37</v>
      </c>
      <c r="AB128" t="s">
        <v>52</v>
      </c>
      <c r="AC128" t="s">
        <v>53</v>
      </c>
      <c r="AD128" t="s">
        <v>54</v>
      </c>
      <c r="AE128">
        <v>4.3768669409000003</v>
      </c>
      <c r="AF128">
        <v>1041</v>
      </c>
      <c r="AG128">
        <v>1041.5079841899999</v>
      </c>
      <c r="AH128">
        <v>43769.370052600003</v>
      </c>
      <c r="AI128">
        <v>47</v>
      </c>
      <c r="AJ128">
        <v>25839.843285013001</v>
      </c>
      <c r="AK128" s="1">
        <f>intersection_ss_Lden___surface[[#This Row],[surf m2 bout ss]]/intersection_ss_Lden___surface[[#This Row],[Shape_Area]]</f>
        <v>0.59036360939076515</v>
      </c>
      <c r="AL128">
        <v>650</v>
      </c>
      <c r="AM128">
        <f>intersection_ss_Lden___surface[[#This Row],[Population totale 2024 ss]]*intersection_ss_Lden___surface[[#This Row],[Part de la surface du qs dans le noise contour]]</f>
        <v>383.73634610399733</v>
      </c>
    </row>
    <row r="129" spans="1:39" x14ac:dyDescent="0.3">
      <c r="A129">
        <v>159</v>
      </c>
      <c r="B129" t="s">
        <v>280</v>
      </c>
      <c r="C129" t="s">
        <v>281</v>
      </c>
      <c r="D129" t="s">
        <v>281</v>
      </c>
      <c r="E129" t="s">
        <v>281</v>
      </c>
      <c r="F129" t="s">
        <v>279</v>
      </c>
      <c r="G129" t="s">
        <v>249</v>
      </c>
      <c r="H129" t="s">
        <v>250</v>
      </c>
      <c r="I129" t="s">
        <v>251</v>
      </c>
      <c r="J129" t="s">
        <v>36</v>
      </c>
      <c r="K129">
        <v>21003</v>
      </c>
      <c r="L129" t="s">
        <v>252</v>
      </c>
      <c r="M129" t="s">
        <v>253</v>
      </c>
      <c r="N129" t="s">
        <v>253</v>
      </c>
      <c r="O129">
        <v>21000</v>
      </c>
      <c r="P129" t="s">
        <v>46</v>
      </c>
      <c r="Q129" t="s">
        <v>47</v>
      </c>
      <c r="R129" t="s">
        <v>48</v>
      </c>
      <c r="T129" t="s">
        <v>36</v>
      </c>
      <c r="U129" t="s">
        <v>36</v>
      </c>
      <c r="V129" t="s">
        <v>36</v>
      </c>
      <c r="W129">
        <v>4000</v>
      </c>
      <c r="X129" t="s">
        <v>49</v>
      </c>
      <c r="Y129" t="s">
        <v>50</v>
      </c>
      <c r="Z129" t="s">
        <v>51</v>
      </c>
      <c r="AA129" t="s">
        <v>37</v>
      </c>
      <c r="AB129" t="s">
        <v>52</v>
      </c>
      <c r="AC129" t="s">
        <v>53</v>
      </c>
      <c r="AD129" t="s">
        <v>54</v>
      </c>
      <c r="AE129">
        <v>18.622663233400001</v>
      </c>
      <c r="AF129">
        <v>2107</v>
      </c>
      <c r="AG129">
        <v>2106.7434891299999</v>
      </c>
      <c r="AH129">
        <v>186229.61763399999</v>
      </c>
      <c r="AI129">
        <v>46</v>
      </c>
      <c r="AJ129">
        <v>103444.69013585401</v>
      </c>
      <c r="AK129" s="1">
        <f>intersection_ss_Lden___surface[[#This Row],[surf m2 bout ss]]/intersection_ss_Lden___surface[[#This Row],[Shape_Area]]</f>
        <v>0.5554685202605929</v>
      </c>
      <c r="AL129">
        <v>235</v>
      </c>
      <c r="AM129">
        <f>intersection_ss_Lden___surface[[#This Row],[Population totale 2024 ss]]*intersection_ss_Lden___surface[[#This Row],[Part de la surface du qs dans le noise contour]]</f>
        <v>130.53510226123933</v>
      </c>
    </row>
    <row r="130" spans="1:39" x14ac:dyDescent="0.3">
      <c r="A130">
        <v>160</v>
      </c>
      <c r="B130" t="s">
        <v>280</v>
      </c>
      <c r="C130" t="s">
        <v>281</v>
      </c>
      <c r="D130" t="s">
        <v>281</v>
      </c>
      <c r="E130" t="s">
        <v>281</v>
      </c>
      <c r="F130" t="s">
        <v>279</v>
      </c>
      <c r="G130" t="s">
        <v>249</v>
      </c>
      <c r="H130" t="s">
        <v>250</v>
      </c>
      <c r="I130" t="s">
        <v>251</v>
      </c>
      <c r="J130" t="s">
        <v>36</v>
      </c>
      <c r="K130">
        <v>21003</v>
      </c>
      <c r="L130" t="s">
        <v>252</v>
      </c>
      <c r="M130" t="s">
        <v>253</v>
      </c>
      <c r="N130" t="s">
        <v>253</v>
      </c>
      <c r="O130">
        <v>21000</v>
      </c>
      <c r="P130" t="s">
        <v>46</v>
      </c>
      <c r="Q130" t="s">
        <v>47</v>
      </c>
      <c r="R130" t="s">
        <v>48</v>
      </c>
      <c r="T130" t="s">
        <v>36</v>
      </c>
      <c r="U130" t="s">
        <v>36</v>
      </c>
      <c r="V130" t="s">
        <v>36</v>
      </c>
      <c r="W130">
        <v>4000</v>
      </c>
      <c r="X130" t="s">
        <v>49</v>
      </c>
      <c r="Y130" t="s">
        <v>50</v>
      </c>
      <c r="Z130" t="s">
        <v>51</v>
      </c>
      <c r="AA130" t="s">
        <v>37</v>
      </c>
      <c r="AB130" t="s">
        <v>52</v>
      </c>
      <c r="AC130" t="s">
        <v>53</v>
      </c>
      <c r="AD130" t="s">
        <v>54</v>
      </c>
      <c r="AE130">
        <v>18.622663233400001</v>
      </c>
      <c r="AF130">
        <v>2107</v>
      </c>
      <c r="AG130">
        <v>2106.7434891299999</v>
      </c>
      <c r="AH130">
        <v>186229.61763399999</v>
      </c>
      <c r="AI130">
        <v>47</v>
      </c>
      <c r="AJ130">
        <v>82802.359050477695</v>
      </c>
      <c r="AK130" s="1">
        <f>intersection_ss_Lden___surface[[#This Row],[surf m2 bout ss]]/intersection_ss_Lden___surface[[#This Row],[Shape_Area]]</f>
        <v>0.44462508221012664</v>
      </c>
      <c r="AL130">
        <v>235</v>
      </c>
      <c r="AM130">
        <f>intersection_ss_Lden___surface[[#This Row],[Population totale 2024 ss]]*intersection_ss_Lden___surface[[#This Row],[Part de la surface du qs dans le noise contour]]</f>
        <v>104.48689431937976</v>
      </c>
    </row>
    <row r="131" spans="1:39" x14ac:dyDescent="0.3">
      <c r="A131">
        <v>161</v>
      </c>
      <c r="B131" t="s">
        <v>282</v>
      </c>
      <c r="C131" t="s">
        <v>283</v>
      </c>
      <c r="D131" t="s">
        <v>284</v>
      </c>
      <c r="E131" t="s">
        <v>284</v>
      </c>
      <c r="F131" t="s">
        <v>279</v>
      </c>
      <c r="G131" t="s">
        <v>249</v>
      </c>
      <c r="H131" t="s">
        <v>250</v>
      </c>
      <c r="I131" t="s">
        <v>251</v>
      </c>
      <c r="J131" t="s">
        <v>36</v>
      </c>
      <c r="K131">
        <v>21003</v>
      </c>
      <c r="L131" t="s">
        <v>252</v>
      </c>
      <c r="M131" t="s">
        <v>253</v>
      </c>
      <c r="N131" t="s">
        <v>253</v>
      </c>
      <c r="O131">
        <v>21000</v>
      </c>
      <c r="P131" t="s">
        <v>46</v>
      </c>
      <c r="Q131" t="s">
        <v>47</v>
      </c>
      <c r="R131" t="s">
        <v>48</v>
      </c>
      <c r="T131" t="s">
        <v>36</v>
      </c>
      <c r="U131" t="s">
        <v>36</v>
      </c>
      <c r="V131" t="s">
        <v>36</v>
      </c>
      <c r="W131">
        <v>4000</v>
      </c>
      <c r="X131" t="s">
        <v>49</v>
      </c>
      <c r="Y131" t="s">
        <v>50</v>
      </c>
      <c r="Z131" t="s">
        <v>51</v>
      </c>
      <c r="AA131" t="s">
        <v>37</v>
      </c>
      <c r="AB131" t="s">
        <v>52</v>
      </c>
      <c r="AC131" t="s">
        <v>53</v>
      </c>
      <c r="AD131" t="s">
        <v>54</v>
      </c>
      <c r="AE131">
        <v>24.053375780700001</v>
      </c>
      <c r="AF131">
        <v>2614</v>
      </c>
      <c r="AG131">
        <v>2614.3644460300002</v>
      </c>
      <c r="AH131">
        <v>240537.62814300001</v>
      </c>
      <c r="AI131">
        <v>47</v>
      </c>
      <c r="AJ131">
        <v>120107.159695539</v>
      </c>
      <c r="AK131" s="1">
        <f>intersection_ss_Lden___surface[[#This Row],[surf m2 bout ss]]/intersection_ss_Lden___surface[[#This Row],[Shape_Area]]</f>
        <v>0.49932794558086813</v>
      </c>
      <c r="AL131">
        <v>534</v>
      </c>
      <c r="AM131">
        <f>intersection_ss_Lden___surface[[#This Row],[Population totale 2024 ss]]*intersection_ss_Lden___surface[[#This Row],[Part de la surface du qs dans le noise contour]]</f>
        <v>266.64112294018361</v>
      </c>
    </row>
    <row r="132" spans="1:39" x14ac:dyDescent="0.3">
      <c r="A132">
        <v>162</v>
      </c>
      <c r="B132" t="s">
        <v>282</v>
      </c>
      <c r="C132" t="s">
        <v>283</v>
      </c>
      <c r="D132" t="s">
        <v>284</v>
      </c>
      <c r="E132" t="s">
        <v>284</v>
      </c>
      <c r="F132" t="s">
        <v>279</v>
      </c>
      <c r="G132" t="s">
        <v>249</v>
      </c>
      <c r="H132" t="s">
        <v>250</v>
      </c>
      <c r="I132" t="s">
        <v>251</v>
      </c>
      <c r="J132" t="s">
        <v>36</v>
      </c>
      <c r="K132">
        <v>21003</v>
      </c>
      <c r="L132" t="s">
        <v>252</v>
      </c>
      <c r="M132" t="s">
        <v>253</v>
      </c>
      <c r="N132" t="s">
        <v>253</v>
      </c>
      <c r="O132">
        <v>21000</v>
      </c>
      <c r="P132" t="s">
        <v>46</v>
      </c>
      <c r="Q132" t="s">
        <v>47</v>
      </c>
      <c r="R132" t="s">
        <v>48</v>
      </c>
      <c r="T132" t="s">
        <v>36</v>
      </c>
      <c r="U132" t="s">
        <v>36</v>
      </c>
      <c r="V132" t="s">
        <v>36</v>
      </c>
      <c r="W132">
        <v>4000</v>
      </c>
      <c r="X132" t="s">
        <v>49</v>
      </c>
      <c r="Y132" t="s">
        <v>50</v>
      </c>
      <c r="Z132" t="s">
        <v>51</v>
      </c>
      <c r="AA132" t="s">
        <v>37</v>
      </c>
      <c r="AB132" t="s">
        <v>52</v>
      </c>
      <c r="AC132" t="s">
        <v>53</v>
      </c>
      <c r="AD132" t="s">
        <v>54</v>
      </c>
      <c r="AE132">
        <v>24.053375780700001</v>
      </c>
      <c r="AF132">
        <v>2614</v>
      </c>
      <c r="AG132">
        <v>2614.3644460300002</v>
      </c>
      <c r="AH132">
        <v>240537.62814300001</v>
      </c>
      <c r="AI132">
        <v>48</v>
      </c>
      <c r="AJ132">
        <v>120452.84985040101</v>
      </c>
      <c r="AK132" s="1">
        <f>intersection_ss_Lden___surface[[#This Row],[surf m2 bout ss]]/intersection_ss_Lden___surface[[#This Row],[Shape_Area]]</f>
        <v>0.50076510182760925</v>
      </c>
      <c r="AL132">
        <v>534</v>
      </c>
      <c r="AM132">
        <f>intersection_ss_Lden___surface[[#This Row],[Population totale 2024 ss]]*intersection_ss_Lden___surface[[#This Row],[Part de la surface du qs dans le noise contour]]</f>
        <v>267.40856437594334</v>
      </c>
    </row>
    <row r="133" spans="1:39" x14ac:dyDescent="0.3">
      <c r="A133">
        <v>163</v>
      </c>
      <c r="B133" t="s">
        <v>285</v>
      </c>
      <c r="C133" t="s">
        <v>286</v>
      </c>
      <c r="D133" t="s">
        <v>287</v>
      </c>
      <c r="E133" t="s">
        <v>287</v>
      </c>
      <c r="F133" t="s">
        <v>288</v>
      </c>
      <c r="G133" t="s">
        <v>249</v>
      </c>
      <c r="H133" t="s">
        <v>250</v>
      </c>
      <c r="I133" t="s">
        <v>251</v>
      </c>
      <c r="J133" t="s">
        <v>36</v>
      </c>
      <c r="K133">
        <v>21003</v>
      </c>
      <c r="L133" t="s">
        <v>252</v>
      </c>
      <c r="M133" t="s">
        <v>253</v>
      </c>
      <c r="N133" t="s">
        <v>253</v>
      </c>
      <c r="O133">
        <v>21000</v>
      </c>
      <c r="P133" t="s">
        <v>46</v>
      </c>
      <c r="Q133" t="s">
        <v>47</v>
      </c>
      <c r="R133" t="s">
        <v>48</v>
      </c>
      <c r="T133" t="s">
        <v>36</v>
      </c>
      <c r="U133" t="s">
        <v>36</v>
      </c>
      <c r="V133" t="s">
        <v>36</v>
      </c>
      <c r="W133">
        <v>4000</v>
      </c>
      <c r="X133" t="s">
        <v>49</v>
      </c>
      <c r="Y133" t="s">
        <v>50</v>
      </c>
      <c r="Z133" t="s">
        <v>51</v>
      </c>
      <c r="AA133" t="s">
        <v>37</v>
      </c>
      <c r="AB133" t="s">
        <v>52</v>
      </c>
      <c r="AC133" t="s">
        <v>53</v>
      </c>
      <c r="AD133" t="s">
        <v>54</v>
      </c>
      <c r="AE133">
        <v>41.239558989999999</v>
      </c>
      <c r="AF133">
        <v>3270</v>
      </c>
      <c r="AG133">
        <v>3269.5417675200001</v>
      </c>
      <c r="AH133">
        <v>412402.21883700002</v>
      </c>
      <c r="AI133">
        <v>45</v>
      </c>
      <c r="AJ133">
        <v>231920.095766135</v>
      </c>
      <c r="AK133" s="1">
        <f>intersection_ss_Lden___surface[[#This Row],[surf m2 bout ss]]/intersection_ss_Lden___surface[[#This Row],[Shape_Area]]</f>
        <v>0.56236384086430025</v>
      </c>
      <c r="AL133">
        <v>2161</v>
      </c>
      <c r="AM133">
        <f>intersection_ss_Lden___surface[[#This Row],[Population totale 2024 ss]]*intersection_ss_Lden___surface[[#This Row],[Part de la surface du qs dans le noise contour]]</f>
        <v>1215.2682601077529</v>
      </c>
    </row>
    <row r="134" spans="1:39" x14ac:dyDescent="0.3">
      <c r="A134">
        <v>164</v>
      </c>
      <c r="B134" t="s">
        <v>285</v>
      </c>
      <c r="C134" t="s">
        <v>286</v>
      </c>
      <c r="D134" t="s">
        <v>287</v>
      </c>
      <c r="E134" t="s">
        <v>287</v>
      </c>
      <c r="F134" t="s">
        <v>288</v>
      </c>
      <c r="G134" t="s">
        <v>249</v>
      </c>
      <c r="H134" t="s">
        <v>250</v>
      </c>
      <c r="I134" t="s">
        <v>251</v>
      </c>
      <c r="J134" t="s">
        <v>36</v>
      </c>
      <c r="K134">
        <v>21003</v>
      </c>
      <c r="L134" t="s">
        <v>252</v>
      </c>
      <c r="M134" t="s">
        <v>253</v>
      </c>
      <c r="N134" t="s">
        <v>253</v>
      </c>
      <c r="O134">
        <v>21000</v>
      </c>
      <c r="P134" t="s">
        <v>46</v>
      </c>
      <c r="Q134" t="s">
        <v>47</v>
      </c>
      <c r="R134" t="s">
        <v>48</v>
      </c>
      <c r="T134" t="s">
        <v>36</v>
      </c>
      <c r="U134" t="s">
        <v>36</v>
      </c>
      <c r="V134" t="s">
        <v>36</v>
      </c>
      <c r="W134">
        <v>4000</v>
      </c>
      <c r="X134" t="s">
        <v>49</v>
      </c>
      <c r="Y134" t="s">
        <v>50</v>
      </c>
      <c r="Z134" t="s">
        <v>51</v>
      </c>
      <c r="AA134" t="s">
        <v>37</v>
      </c>
      <c r="AB134" t="s">
        <v>52</v>
      </c>
      <c r="AC134" t="s">
        <v>53</v>
      </c>
      <c r="AD134" t="s">
        <v>54</v>
      </c>
      <c r="AE134">
        <v>41.239558989999999</v>
      </c>
      <c r="AF134">
        <v>3270</v>
      </c>
      <c r="AG134">
        <v>3269.5417675200001</v>
      </c>
      <c r="AH134">
        <v>412402.21883700002</v>
      </c>
      <c r="AI134">
        <v>46</v>
      </c>
      <c r="AJ134">
        <v>179690.45986303099</v>
      </c>
      <c r="AK134" s="1">
        <f>intersection_ss_Lden___surface[[#This Row],[surf m2 bout ss]]/intersection_ss_Lden___surface[[#This Row],[Shape_Area]]</f>
        <v>0.43571652056036286</v>
      </c>
      <c r="AL134">
        <v>2161</v>
      </c>
      <c r="AM134">
        <f>intersection_ss_Lden___surface[[#This Row],[Population totale 2024 ss]]*intersection_ss_Lden___surface[[#This Row],[Part de la surface du qs dans le noise contour]]</f>
        <v>941.58340093094409</v>
      </c>
    </row>
    <row r="135" spans="1:39" x14ac:dyDescent="0.3">
      <c r="A135">
        <v>165</v>
      </c>
      <c r="B135" t="s">
        <v>285</v>
      </c>
      <c r="C135" t="s">
        <v>286</v>
      </c>
      <c r="D135" t="s">
        <v>287</v>
      </c>
      <c r="E135" t="s">
        <v>287</v>
      </c>
      <c r="F135" t="s">
        <v>288</v>
      </c>
      <c r="G135" t="s">
        <v>249</v>
      </c>
      <c r="H135" t="s">
        <v>250</v>
      </c>
      <c r="I135" t="s">
        <v>251</v>
      </c>
      <c r="J135" t="s">
        <v>36</v>
      </c>
      <c r="K135">
        <v>21003</v>
      </c>
      <c r="L135" t="s">
        <v>252</v>
      </c>
      <c r="M135" t="s">
        <v>253</v>
      </c>
      <c r="N135" t="s">
        <v>253</v>
      </c>
      <c r="O135">
        <v>21000</v>
      </c>
      <c r="P135" t="s">
        <v>46</v>
      </c>
      <c r="Q135" t="s">
        <v>47</v>
      </c>
      <c r="R135" t="s">
        <v>48</v>
      </c>
      <c r="T135" t="s">
        <v>36</v>
      </c>
      <c r="U135" t="s">
        <v>36</v>
      </c>
      <c r="V135" t="s">
        <v>36</v>
      </c>
      <c r="W135">
        <v>4000</v>
      </c>
      <c r="X135" t="s">
        <v>49</v>
      </c>
      <c r="Y135" t="s">
        <v>50</v>
      </c>
      <c r="Z135" t="s">
        <v>51</v>
      </c>
      <c r="AA135" t="s">
        <v>37</v>
      </c>
      <c r="AB135" t="s">
        <v>52</v>
      </c>
      <c r="AC135" t="s">
        <v>53</v>
      </c>
      <c r="AD135" t="s">
        <v>54</v>
      </c>
      <c r="AE135">
        <v>41.239558989999999</v>
      </c>
      <c r="AF135">
        <v>3270</v>
      </c>
      <c r="AG135">
        <v>3269.5417675200001</v>
      </c>
      <c r="AH135">
        <v>412402.21883700002</v>
      </c>
      <c r="AI135">
        <v>47</v>
      </c>
      <c r="AJ135">
        <v>830.95795966312301</v>
      </c>
      <c r="AK135" s="1">
        <f>intersection_ss_Lden___surface[[#This Row],[surf m2 bout ss]]/intersection_ss_Lden___surface[[#This Row],[Shape_Area]]</f>
        <v>2.0149211660559834E-3</v>
      </c>
      <c r="AL135">
        <v>2161</v>
      </c>
      <c r="AM135">
        <f>intersection_ss_Lden___surface[[#This Row],[Population totale 2024 ss]]*intersection_ss_Lden___surface[[#This Row],[Part de la surface du qs dans le noise contour]]</f>
        <v>4.3542446398469803</v>
      </c>
    </row>
    <row r="136" spans="1:39" x14ac:dyDescent="0.3">
      <c r="A136">
        <v>166</v>
      </c>
      <c r="B136" t="s">
        <v>289</v>
      </c>
      <c r="C136" t="s">
        <v>290</v>
      </c>
      <c r="D136" t="s">
        <v>291</v>
      </c>
      <c r="E136" t="s">
        <v>291</v>
      </c>
      <c r="F136" t="s">
        <v>288</v>
      </c>
      <c r="G136" t="s">
        <v>249</v>
      </c>
      <c r="H136" t="s">
        <v>250</v>
      </c>
      <c r="I136" t="s">
        <v>251</v>
      </c>
      <c r="J136" t="s">
        <v>36</v>
      </c>
      <c r="K136">
        <v>21003</v>
      </c>
      <c r="L136" t="s">
        <v>252</v>
      </c>
      <c r="M136" t="s">
        <v>253</v>
      </c>
      <c r="N136" t="s">
        <v>253</v>
      </c>
      <c r="O136">
        <v>21000</v>
      </c>
      <c r="P136" t="s">
        <v>46</v>
      </c>
      <c r="Q136" t="s">
        <v>47</v>
      </c>
      <c r="R136" t="s">
        <v>48</v>
      </c>
      <c r="T136" t="s">
        <v>36</v>
      </c>
      <c r="U136" t="s">
        <v>36</v>
      </c>
      <c r="V136" t="s">
        <v>36</v>
      </c>
      <c r="W136">
        <v>4000</v>
      </c>
      <c r="X136" t="s">
        <v>49</v>
      </c>
      <c r="Y136" t="s">
        <v>50</v>
      </c>
      <c r="Z136" t="s">
        <v>51</v>
      </c>
      <c r="AA136" t="s">
        <v>37</v>
      </c>
      <c r="AB136" t="s">
        <v>52</v>
      </c>
      <c r="AC136" t="s">
        <v>53</v>
      </c>
      <c r="AD136" t="s">
        <v>54</v>
      </c>
      <c r="AE136">
        <v>9.7243385206100008</v>
      </c>
      <c r="AF136">
        <v>1575</v>
      </c>
      <c r="AG136">
        <v>1575.40569134</v>
      </c>
      <c r="AH136">
        <v>97244.949918500002</v>
      </c>
      <c r="AI136">
        <v>45</v>
      </c>
      <c r="AJ136">
        <v>11860.2940692878</v>
      </c>
      <c r="AK136" s="1">
        <f>intersection_ss_Lden___surface[[#This Row],[surf m2 bout ss]]/intersection_ss_Lden___surface[[#This Row],[Shape_Area]]</f>
        <v>0.12196308475892878</v>
      </c>
      <c r="AL136">
        <v>1000</v>
      </c>
      <c r="AM136">
        <f>intersection_ss_Lden___surface[[#This Row],[Population totale 2024 ss]]*intersection_ss_Lden___surface[[#This Row],[Part de la surface du qs dans le noise contour]]</f>
        <v>121.96308475892879</v>
      </c>
    </row>
    <row r="137" spans="1:39" x14ac:dyDescent="0.3">
      <c r="A137">
        <v>167</v>
      </c>
      <c r="B137" t="s">
        <v>289</v>
      </c>
      <c r="C137" t="s">
        <v>290</v>
      </c>
      <c r="D137" t="s">
        <v>291</v>
      </c>
      <c r="E137" t="s">
        <v>291</v>
      </c>
      <c r="F137" t="s">
        <v>288</v>
      </c>
      <c r="G137" t="s">
        <v>249</v>
      </c>
      <c r="H137" t="s">
        <v>250</v>
      </c>
      <c r="I137" t="s">
        <v>251</v>
      </c>
      <c r="J137" t="s">
        <v>36</v>
      </c>
      <c r="K137">
        <v>21003</v>
      </c>
      <c r="L137" t="s">
        <v>252</v>
      </c>
      <c r="M137" t="s">
        <v>253</v>
      </c>
      <c r="N137" t="s">
        <v>253</v>
      </c>
      <c r="O137">
        <v>21000</v>
      </c>
      <c r="P137" t="s">
        <v>46</v>
      </c>
      <c r="Q137" t="s">
        <v>47</v>
      </c>
      <c r="R137" t="s">
        <v>48</v>
      </c>
      <c r="T137" t="s">
        <v>36</v>
      </c>
      <c r="U137" t="s">
        <v>36</v>
      </c>
      <c r="V137" t="s">
        <v>36</v>
      </c>
      <c r="W137">
        <v>4000</v>
      </c>
      <c r="X137" t="s">
        <v>49</v>
      </c>
      <c r="Y137" t="s">
        <v>50</v>
      </c>
      <c r="Z137" t="s">
        <v>51</v>
      </c>
      <c r="AA137" t="s">
        <v>37</v>
      </c>
      <c r="AB137" t="s">
        <v>52</v>
      </c>
      <c r="AC137" t="s">
        <v>53</v>
      </c>
      <c r="AD137" t="s">
        <v>54</v>
      </c>
      <c r="AE137">
        <v>9.7243385206100008</v>
      </c>
      <c r="AF137">
        <v>1575</v>
      </c>
      <c r="AG137">
        <v>1575.40569134</v>
      </c>
      <c r="AH137">
        <v>97244.949918500002</v>
      </c>
      <c r="AI137">
        <v>46</v>
      </c>
      <c r="AJ137">
        <v>85393.858026563699</v>
      </c>
      <c r="AK137" s="1">
        <f>intersection_ss_Lden___surface[[#This Row],[surf m2 bout ss]]/intersection_ss_Lden___surface[[#This Row],[Shape_Area]]</f>
        <v>0.87813154408667404</v>
      </c>
      <c r="AL137">
        <v>1000</v>
      </c>
      <c r="AM137">
        <f>intersection_ss_Lden___surface[[#This Row],[Population totale 2024 ss]]*intersection_ss_Lden___surface[[#This Row],[Part de la surface du qs dans le noise contour]]</f>
        <v>878.13154408667401</v>
      </c>
    </row>
    <row r="138" spans="1:39" x14ac:dyDescent="0.3">
      <c r="A138">
        <v>168</v>
      </c>
      <c r="B138" t="s">
        <v>292</v>
      </c>
      <c r="C138" t="s">
        <v>293</v>
      </c>
      <c r="D138" t="s">
        <v>294</v>
      </c>
      <c r="E138" t="s">
        <v>294</v>
      </c>
      <c r="F138" t="s">
        <v>288</v>
      </c>
      <c r="G138" t="s">
        <v>249</v>
      </c>
      <c r="H138" t="s">
        <v>250</v>
      </c>
      <c r="I138" t="s">
        <v>251</v>
      </c>
      <c r="J138" t="s">
        <v>36</v>
      </c>
      <c r="K138">
        <v>21003</v>
      </c>
      <c r="L138" t="s">
        <v>252</v>
      </c>
      <c r="M138" t="s">
        <v>253</v>
      </c>
      <c r="N138" t="s">
        <v>253</v>
      </c>
      <c r="O138">
        <v>21000</v>
      </c>
      <c r="P138" t="s">
        <v>46</v>
      </c>
      <c r="Q138" t="s">
        <v>47</v>
      </c>
      <c r="R138" t="s">
        <v>48</v>
      </c>
      <c r="T138" t="s">
        <v>36</v>
      </c>
      <c r="U138" t="s">
        <v>36</v>
      </c>
      <c r="V138" t="s">
        <v>36</v>
      </c>
      <c r="W138">
        <v>4000</v>
      </c>
      <c r="X138" t="s">
        <v>49</v>
      </c>
      <c r="Y138" t="s">
        <v>50</v>
      </c>
      <c r="Z138" t="s">
        <v>51</v>
      </c>
      <c r="AA138" t="s">
        <v>37</v>
      </c>
      <c r="AB138" t="s">
        <v>52</v>
      </c>
      <c r="AC138" t="s">
        <v>53</v>
      </c>
      <c r="AD138" t="s">
        <v>54</v>
      </c>
      <c r="AE138">
        <v>6.7785344375900003</v>
      </c>
      <c r="AF138">
        <v>1285</v>
      </c>
      <c r="AG138">
        <v>1284.5960175800001</v>
      </c>
      <c r="AH138">
        <v>67786.420319900004</v>
      </c>
      <c r="AI138">
        <v>45</v>
      </c>
      <c r="AJ138">
        <v>67792.906458720594</v>
      </c>
      <c r="AK138" s="1">
        <f>intersection_ss_Lden___surface[[#This Row],[surf m2 bout ss]]/intersection_ss_Lden___surface[[#This Row],[Shape_Area]]</f>
        <v>1.0000956849290754</v>
      </c>
      <c r="AL138">
        <v>782</v>
      </c>
      <c r="AM138">
        <f>intersection_ss_Lden___surface[[#This Row],[Population totale 2024 ss]]*intersection_ss_Lden___surface[[#This Row],[Part de la surface du qs dans le noise contour]]</f>
        <v>782.07482561453696</v>
      </c>
    </row>
    <row r="139" spans="1:39" x14ac:dyDescent="0.3">
      <c r="A139">
        <v>169</v>
      </c>
      <c r="B139" t="s">
        <v>295</v>
      </c>
      <c r="C139" t="s">
        <v>296</v>
      </c>
      <c r="D139" t="s">
        <v>296</v>
      </c>
      <c r="E139" t="s">
        <v>296</v>
      </c>
      <c r="F139" t="s">
        <v>288</v>
      </c>
      <c r="G139" t="s">
        <v>249</v>
      </c>
      <c r="H139" t="s">
        <v>250</v>
      </c>
      <c r="I139" t="s">
        <v>251</v>
      </c>
      <c r="J139" t="s">
        <v>36</v>
      </c>
      <c r="K139">
        <v>21003</v>
      </c>
      <c r="L139" t="s">
        <v>252</v>
      </c>
      <c r="M139" t="s">
        <v>253</v>
      </c>
      <c r="N139" t="s">
        <v>253</v>
      </c>
      <c r="O139">
        <v>21000</v>
      </c>
      <c r="P139" t="s">
        <v>46</v>
      </c>
      <c r="Q139" t="s">
        <v>47</v>
      </c>
      <c r="R139" t="s">
        <v>48</v>
      </c>
      <c r="T139" t="s">
        <v>36</v>
      </c>
      <c r="U139" t="s">
        <v>36</v>
      </c>
      <c r="V139" t="s">
        <v>36</v>
      </c>
      <c r="W139">
        <v>4000</v>
      </c>
      <c r="X139" t="s">
        <v>49</v>
      </c>
      <c r="Y139" t="s">
        <v>50</v>
      </c>
      <c r="Z139" t="s">
        <v>51</v>
      </c>
      <c r="AA139" t="s">
        <v>37</v>
      </c>
      <c r="AB139" t="s">
        <v>52</v>
      </c>
      <c r="AC139" t="s">
        <v>53</v>
      </c>
      <c r="AD139" t="s">
        <v>54</v>
      </c>
      <c r="AE139">
        <v>17.702164057000001</v>
      </c>
      <c r="AF139">
        <v>2131</v>
      </c>
      <c r="AG139">
        <v>2131.1251554199998</v>
      </c>
      <c r="AH139">
        <v>177024.48965100001</v>
      </c>
      <c r="AI139">
        <v>45</v>
      </c>
      <c r="AJ139">
        <v>177041.55222450601</v>
      </c>
      <c r="AK139" s="1">
        <f>intersection_ss_Lden___surface[[#This Row],[surf m2 bout ss]]/intersection_ss_Lden___surface[[#This Row],[Shape_Area]]</f>
        <v>1.0000963853845286</v>
      </c>
      <c r="AL139">
        <v>1181</v>
      </c>
      <c r="AM139">
        <f>intersection_ss_Lden___surface[[#This Row],[Population totale 2024 ss]]*intersection_ss_Lden___surface[[#This Row],[Part de la surface du qs dans le noise contour]]</f>
        <v>1181.1138311391283</v>
      </c>
    </row>
    <row r="140" spans="1:39" x14ac:dyDescent="0.3">
      <c r="A140">
        <v>170</v>
      </c>
      <c r="B140" t="s">
        <v>297</v>
      </c>
      <c r="C140" t="s">
        <v>298</v>
      </c>
      <c r="D140" t="s">
        <v>298</v>
      </c>
      <c r="E140" t="s">
        <v>298</v>
      </c>
      <c r="F140" t="s">
        <v>288</v>
      </c>
      <c r="G140" t="s">
        <v>249</v>
      </c>
      <c r="H140" t="s">
        <v>250</v>
      </c>
      <c r="I140" t="s">
        <v>251</v>
      </c>
      <c r="J140" t="s">
        <v>36</v>
      </c>
      <c r="K140">
        <v>21003</v>
      </c>
      <c r="L140" t="s">
        <v>252</v>
      </c>
      <c r="M140" t="s">
        <v>253</v>
      </c>
      <c r="N140" t="s">
        <v>253</v>
      </c>
      <c r="O140">
        <v>21000</v>
      </c>
      <c r="P140" t="s">
        <v>46</v>
      </c>
      <c r="Q140" t="s">
        <v>47</v>
      </c>
      <c r="R140" t="s">
        <v>48</v>
      </c>
      <c r="T140" t="s">
        <v>36</v>
      </c>
      <c r="U140" t="s">
        <v>36</v>
      </c>
      <c r="V140" t="s">
        <v>36</v>
      </c>
      <c r="W140">
        <v>4000</v>
      </c>
      <c r="X140" t="s">
        <v>49</v>
      </c>
      <c r="Y140" t="s">
        <v>50</v>
      </c>
      <c r="Z140" t="s">
        <v>51</v>
      </c>
      <c r="AA140" t="s">
        <v>37</v>
      </c>
      <c r="AB140" t="s">
        <v>52</v>
      </c>
      <c r="AC140" t="s">
        <v>53</v>
      </c>
      <c r="AD140" t="s">
        <v>54</v>
      </c>
      <c r="AE140">
        <v>17.802605737299999</v>
      </c>
      <c r="AF140">
        <v>1675</v>
      </c>
      <c r="AG140">
        <v>1674.8240614399999</v>
      </c>
      <c r="AH140">
        <v>178028.934637</v>
      </c>
      <c r="AI140">
        <v>45</v>
      </c>
      <c r="AJ140">
        <v>178046.03787390201</v>
      </c>
      <c r="AK140" s="1">
        <f>intersection_ss_Lden___surface[[#This Row],[surf m2 bout ss]]/intersection_ss_Lden___surface[[#This Row],[Shape_Area]]</f>
        <v>1.0000960699839994</v>
      </c>
      <c r="AL140">
        <v>180</v>
      </c>
      <c r="AM140">
        <f>intersection_ss_Lden___surface[[#This Row],[Population totale 2024 ss]]*intersection_ss_Lden___surface[[#This Row],[Part de la surface du qs dans le noise contour]]</f>
        <v>180.01729259711988</v>
      </c>
    </row>
    <row r="141" spans="1:39" x14ac:dyDescent="0.3">
      <c r="A141">
        <v>171</v>
      </c>
      <c r="B141" t="s">
        <v>299</v>
      </c>
      <c r="C141" t="s">
        <v>300</v>
      </c>
      <c r="D141" t="s">
        <v>300</v>
      </c>
      <c r="E141" t="s">
        <v>300</v>
      </c>
      <c r="F141" t="s">
        <v>301</v>
      </c>
      <c r="G141" t="s">
        <v>249</v>
      </c>
      <c r="H141" t="s">
        <v>250</v>
      </c>
      <c r="I141" t="s">
        <v>251</v>
      </c>
      <c r="J141" t="s">
        <v>36</v>
      </c>
      <c r="K141">
        <v>21003</v>
      </c>
      <c r="L141" t="s">
        <v>252</v>
      </c>
      <c r="M141" t="s">
        <v>253</v>
      </c>
      <c r="N141" t="s">
        <v>253</v>
      </c>
      <c r="O141">
        <v>21000</v>
      </c>
      <c r="P141" t="s">
        <v>46</v>
      </c>
      <c r="Q141" t="s">
        <v>47</v>
      </c>
      <c r="R141" t="s">
        <v>48</v>
      </c>
      <c r="T141" t="s">
        <v>36</v>
      </c>
      <c r="U141" t="s">
        <v>36</v>
      </c>
      <c r="V141" t="s">
        <v>36</v>
      </c>
      <c r="W141">
        <v>4000</v>
      </c>
      <c r="X141" t="s">
        <v>49</v>
      </c>
      <c r="Y141" t="s">
        <v>50</v>
      </c>
      <c r="Z141" t="s">
        <v>51</v>
      </c>
      <c r="AA141" t="s">
        <v>37</v>
      </c>
      <c r="AB141" t="s">
        <v>52</v>
      </c>
      <c r="AC141" t="s">
        <v>53</v>
      </c>
      <c r="AD141" t="s">
        <v>54</v>
      </c>
      <c r="AE141">
        <v>2.3364263947000001</v>
      </c>
      <c r="AF141">
        <v>688</v>
      </c>
      <c r="AG141">
        <v>688.12065218600003</v>
      </c>
      <c r="AH141">
        <v>23364.635970800002</v>
      </c>
      <c r="AI141">
        <v>46</v>
      </c>
      <c r="AJ141">
        <v>11435.690196663099</v>
      </c>
      <c r="AK141" s="1">
        <f>intersection_ss_Lden___surface[[#This Row],[surf m2 bout ss]]/intersection_ss_Lden___surface[[#This Row],[Shape_Area]]</f>
        <v>0.48944439840427539</v>
      </c>
      <c r="AL141">
        <v>765</v>
      </c>
      <c r="AM141">
        <f>intersection_ss_Lden___surface[[#This Row],[Population totale 2024 ss]]*intersection_ss_Lden___surface[[#This Row],[Part de la surface du qs dans le noise contour]]</f>
        <v>374.42496477927068</v>
      </c>
    </row>
    <row r="142" spans="1:39" x14ac:dyDescent="0.3">
      <c r="A142">
        <v>172</v>
      </c>
      <c r="B142" t="s">
        <v>299</v>
      </c>
      <c r="C142" t="s">
        <v>300</v>
      </c>
      <c r="D142" t="s">
        <v>300</v>
      </c>
      <c r="E142" t="s">
        <v>300</v>
      </c>
      <c r="F142" t="s">
        <v>301</v>
      </c>
      <c r="G142" t="s">
        <v>249</v>
      </c>
      <c r="H142" t="s">
        <v>250</v>
      </c>
      <c r="I142" t="s">
        <v>251</v>
      </c>
      <c r="J142" t="s">
        <v>36</v>
      </c>
      <c r="K142">
        <v>21003</v>
      </c>
      <c r="L142" t="s">
        <v>252</v>
      </c>
      <c r="M142" t="s">
        <v>253</v>
      </c>
      <c r="N142" t="s">
        <v>253</v>
      </c>
      <c r="O142">
        <v>21000</v>
      </c>
      <c r="P142" t="s">
        <v>46</v>
      </c>
      <c r="Q142" t="s">
        <v>47</v>
      </c>
      <c r="R142" t="s">
        <v>48</v>
      </c>
      <c r="T142" t="s">
        <v>36</v>
      </c>
      <c r="U142" t="s">
        <v>36</v>
      </c>
      <c r="V142" t="s">
        <v>36</v>
      </c>
      <c r="W142">
        <v>4000</v>
      </c>
      <c r="X142" t="s">
        <v>49</v>
      </c>
      <c r="Y142" t="s">
        <v>50</v>
      </c>
      <c r="Z142" t="s">
        <v>51</v>
      </c>
      <c r="AA142" t="s">
        <v>37</v>
      </c>
      <c r="AB142" t="s">
        <v>52</v>
      </c>
      <c r="AC142" t="s">
        <v>53</v>
      </c>
      <c r="AD142" t="s">
        <v>54</v>
      </c>
      <c r="AE142">
        <v>2.3364263947000001</v>
      </c>
      <c r="AF142">
        <v>688</v>
      </c>
      <c r="AG142">
        <v>688.12065218600003</v>
      </c>
      <c r="AH142">
        <v>23364.635970800002</v>
      </c>
      <c r="AI142">
        <v>47</v>
      </c>
      <c r="AJ142">
        <v>11931.139597216599</v>
      </c>
      <c r="AK142" s="1">
        <f>intersection_ss_Lden___surface[[#This Row],[surf m2 bout ss]]/intersection_ss_Lden___surface[[#This Row],[Shape_Area]]</f>
        <v>0.51064949662077186</v>
      </c>
      <c r="AL142">
        <v>765</v>
      </c>
      <c r="AM142">
        <f>intersection_ss_Lden___surface[[#This Row],[Population totale 2024 ss]]*intersection_ss_Lden___surface[[#This Row],[Part de la surface du qs dans le noise contour]]</f>
        <v>390.6468649148905</v>
      </c>
    </row>
    <row r="143" spans="1:39" x14ac:dyDescent="0.3">
      <c r="A143">
        <v>173</v>
      </c>
      <c r="B143" t="s">
        <v>302</v>
      </c>
      <c r="C143" t="s">
        <v>303</v>
      </c>
      <c r="D143" t="s">
        <v>304</v>
      </c>
      <c r="E143" t="s">
        <v>304</v>
      </c>
      <c r="F143" t="s">
        <v>305</v>
      </c>
      <c r="G143" t="s">
        <v>306</v>
      </c>
      <c r="H143" t="s">
        <v>307</v>
      </c>
      <c r="I143" t="s">
        <v>308</v>
      </c>
      <c r="J143" t="s">
        <v>36</v>
      </c>
      <c r="K143">
        <v>21004</v>
      </c>
      <c r="L143" t="s">
        <v>309</v>
      </c>
      <c r="M143" t="s">
        <v>310</v>
      </c>
      <c r="N143" t="s">
        <v>311</v>
      </c>
      <c r="O143">
        <v>21000</v>
      </c>
      <c r="P143" t="s">
        <v>46</v>
      </c>
      <c r="Q143" t="s">
        <v>47</v>
      </c>
      <c r="R143" t="s">
        <v>48</v>
      </c>
      <c r="T143" t="s">
        <v>36</v>
      </c>
      <c r="U143" t="s">
        <v>36</v>
      </c>
      <c r="V143" t="s">
        <v>36</v>
      </c>
      <c r="W143">
        <v>4000</v>
      </c>
      <c r="X143" t="s">
        <v>49</v>
      </c>
      <c r="Y143" t="s">
        <v>50</v>
      </c>
      <c r="Z143" t="s">
        <v>51</v>
      </c>
      <c r="AA143" t="s">
        <v>37</v>
      </c>
      <c r="AB143" t="s">
        <v>52</v>
      </c>
      <c r="AC143" t="s">
        <v>53</v>
      </c>
      <c r="AD143" t="s">
        <v>54</v>
      </c>
      <c r="AE143">
        <v>10.775005649900001</v>
      </c>
      <c r="AF143">
        <v>1421</v>
      </c>
      <c r="AG143">
        <v>1420.5228980700001</v>
      </c>
      <c r="AH143">
        <v>107751.80151400001</v>
      </c>
      <c r="AI143">
        <v>45</v>
      </c>
      <c r="AJ143">
        <v>32695.184809965998</v>
      </c>
      <c r="AK143" s="1">
        <f>intersection_ss_Lden___surface[[#This Row],[surf m2 bout ss]]/intersection_ss_Lden___surface[[#This Row],[Shape_Area]]</f>
        <v>0.30343051671129573</v>
      </c>
      <c r="AL143">
        <v>1003</v>
      </c>
      <c r="AM143">
        <f>intersection_ss_Lden___surface[[#This Row],[Population totale 2024 ss]]*intersection_ss_Lden___surface[[#This Row],[Part de la surface du qs dans le noise contour]]</f>
        <v>304.34080826142963</v>
      </c>
    </row>
    <row r="144" spans="1:39" x14ac:dyDescent="0.3">
      <c r="A144">
        <v>174</v>
      </c>
      <c r="B144" t="s">
        <v>302</v>
      </c>
      <c r="C144" t="s">
        <v>303</v>
      </c>
      <c r="D144" t="s">
        <v>304</v>
      </c>
      <c r="E144" t="s">
        <v>304</v>
      </c>
      <c r="F144" t="s">
        <v>305</v>
      </c>
      <c r="G144" t="s">
        <v>306</v>
      </c>
      <c r="H144" t="s">
        <v>307</v>
      </c>
      <c r="I144" t="s">
        <v>308</v>
      </c>
      <c r="J144" t="s">
        <v>36</v>
      </c>
      <c r="K144">
        <v>21004</v>
      </c>
      <c r="L144" t="s">
        <v>309</v>
      </c>
      <c r="M144" t="s">
        <v>310</v>
      </c>
      <c r="N144" t="s">
        <v>311</v>
      </c>
      <c r="O144">
        <v>21000</v>
      </c>
      <c r="P144" t="s">
        <v>46</v>
      </c>
      <c r="Q144" t="s">
        <v>47</v>
      </c>
      <c r="R144" t="s">
        <v>48</v>
      </c>
      <c r="T144" t="s">
        <v>36</v>
      </c>
      <c r="U144" t="s">
        <v>36</v>
      </c>
      <c r="V144" t="s">
        <v>36</v>
      </c>
      <c r="W144">
        <v>4000</v>
      </c>
      <c r="X144" t="s">
        <v>49</v>
      </c>
      <c r="Y144" t="s">
        <v>50</v>
      </c>
      <c r="Z144" t="s">
        <v>51</v>
      </c>
      <c r="AA144" t="s">
        <v>37</v>
      </c>
      <c r="AB144" t="s">
        <v>52</v>
      </c>
      <c r="AC144" t="s">
        <v>53</v>
      </c>
      <c r="AD144" t="s">
        <v>54</v>
      </c>
      <c r="AE144">
        <v>10.775005649900001</v>
      </c>
      <c r="AF144">
        <v>1421</v>
      </c>
      <c r="AG144">
        <v>1420.5228980700001</v>
      </c>
      <c r="AH144">
        <v>107751.80151400001</v>
      </c>
      <c r="AI144">
        <v>46</v>
      </c>
      <c r="AJ144">
        <v>75067.263842626402</v>
      </c>
      <c r="AK144" s="1">
        <f>intersection_ss_Lden___surface[[#This Row],[surf m2 bout ss]]/intersection_ss_Lden___surface[[#This Row],[Shape_Area]]</f>
        <v>0.69666829498783867</v>
      </c>
      <c r="AL144">
        <v>1003</v>
      </c>
      <c r="AM144">
        <f>intersection_ss_Lden___surface[[#This Row],[Population totale 2024 ss]]*intersection_ss_Lden___surface[[#This Row],[Part de la surface du qs dans le noise contour]]</f>
        <v>698.75829987280213</v>
      </c>
    </row>
    <row r="145" spans="1:39" x14ac:dyDescent="0.3">
      <c r="A145">
        <v>175</v>
      </c>
      <c r="B145" t="s">
        <v>312</v>
      </c>
      <c r="C145" t="s">
        <v>313</v>
      </c>
      <c r="D145" t="s">
        <v>314</v>
      </c>
      <c r="E145" t="s">
        <v>314</v>
      </c>
      <c r="F145" t="s">
        <v>305</v>
      </c>
      <c r="G145" t="s">
        <v>306</v>
      </c>
      <c r="H145" t="s">
        <v>307</v>
      </c>
      <c r="I145" t="s">
        <v>308</v>
      </c>
      <c r="J145" t="s">
        <v>36</v>
      </c>
      <c r="K145">
        <v>21004</v>
      </c>
      <c r="L145" t="s">
        <v>309</v>
      </c>
      <c r="M145" t="s">
        <v>310</v>
      </c>
      <c r="N145" t="s">
        <v>311</v>
      </c>
      <c r="O145">
        <v>21000</v>
      </c>
      <c r="P145" t="s">
        <v>46</v>
      </c>
      <c r="Q145" t="s">
        <v>47</v>
      </c>
      <c r="R145" t="s">
        <v>48</v>
      </c>
      <c r="T145" t="s">
        <v>36</v>
      </c>
      <c r="U145" t="s">
        <v>36</v>
      </c>
      <c r="V145" t="s">
        <v>36</v>
      </c>
      <c r="W145">
        <v>4000</v>
      </c>
      <c r="X145" t="s">
        <v>49</v>
      </c>
      <c r="Y145" t="s">
        <v>50</v>
      </c>
      <c r="Z145" t="s">
        <v>51</v>
      </c>
      <c r="AA145" t="s">
        <v>37</v>
      </c>
      <c r="AB145" t="s">
        <v>52</v>
      </c>
      <c r="AC145" t="s">
        <v>53</v>
      </c>
      <c r="AD145" t="s">
        <v>54</v>
      </c>
      <c r="AE145">
        <v>3.9516229893200001</v>
      </c>
      <c r="AF145">
        <v>877</v>
      </c>
      <c r="AG145">
        <v>877.48828937500002</v>
      </c>
      <c r="AH145">
        <v>39516.859835299998</v>
      </c>
      <c r="AI145">
        <v>46</v>
      </c>
      <c r="AJ145">
        <v>31202.646776613299</v>
      </c>
      <c r="AK145" s="1">
        <f>intersection_ss_Lden___surface[[#This Row],[surf m2 bout ss]]/intersection_ss_Lden___surface[[#This Row],[Shape_Area]]</f>
        <v>0.78960339730082252</v>
      </c>
      <c r="AL145">
        <v>653</v>
      </c>
      <c r="AM145">
        <f>intersection_ss_Lden___surface[[#This Row],[Population totale 2024 ss]]*intersection_ss_Lden___surface[[#This Row],[Part de la surface du qs dans le noise contour]]</f>
        <v>515.61101843743711</v>
      </c>
    </row>
    <row r="146" spans="1:39" x14ac:dyDescent="0.3">
      <c r="A146">
        <v>176</v>
      </c>
      <c r="B146" t="s">
        <v>312</v>
      </c>
      <c r="C146" t="s">
        <v>313</v>
      </c>
      <c r="D146" t="s">
        <v>314</v>
      </c>
      <c r="E146" t="s">
        <v>314</v>
      </c>
      <c r="F146" t="s">
        <v>305</v>
      </c>
      <c r="G146" t="s">
        <v>306</v>
      </c>
      <c r="H146" t="s">
        <v>307</v>
      </c>
      <c r="I146" t="s">
        <v>308</v>
      </c>
      <c r="J146" t="s">
        <v>36</v>
      </c>
      <c r="K146">
        <v>21004</v>
      </c>
      <c r="L146" t="s">
        <v>309</v>
      </c>
      <c r="M146" t="s">
        <v>310</v>
      </c>
      <c r="N146" t="s">
        <v>311</v>
      </c>
      <c r="O146">
        <v>21000</v>
      </c>
      <c r="P146" t="s">
        <v>46</v>
      </c>
      <c r="Q146" t="s">
        <v>47</v>
      </c>
      <c r="R146" t="s">
        <v>48</v>
      </c>
      <c r="T146" t="s">
        <v>36</v>
      </c>
      <c r="U146" t="s">
        <v>36</v>
      </c>
      <c r="V146" t="s">
        <v>36</v>
      </c>
      <c r="W146">
        <v>4000</v>
      </c>
      <c r="X146" t="s">
        <v>49</v>
      </c>
      <c r="Y146" t="s">
        <v>50</v>
      </c>
      <c r="Z146" t="s">
        <v>51</v>
      </c>
      <c r="AA146" t="s">
        <v>37</v>
      </c>
      <c r="AB146" t="s">
        <v>52</v>
      </c>
      <c r="AC146" t="s">
        <v>53</v>
      </c>
      <c r="AD146" t="s">
        <v>54</v>
      </c>
      <c r="AE146">
        <v>3.9516229893200001</v>
      </c>
      <c r="AF146">
        <v>877</v>
      </c>
      <c r="AG146">
        <v>877.48828937500002</v>
      </c>
      <c r="AH146">
        <v>39516.859835299998</v>
      </c>
      <c r="AI146">
        <v>47</v>
      </c>
      <c r="AJ146">
        <v>8318.1037947568093</v>
      </c>
      <c r="AK146" s="1">
        <f>intersection_ss_Lden___surface[[#This Row],[surf m2 bout ss]]/intersection_ss_Lden___surface[[#This Row],[Shape_Area]]</f>
        <v>0.21049506032172965</v>
      </c>
      <c r="AL146">
        <v>653</v>
      </c>
      <c r="AM146">
        <f>intersection_ss_Lden___surface[[#This Row],[Population totale 2024 ss]]*intersection_ss_Lden___surface[[#This Row],[Part de la surface du qs dans le noise contour]]</f>
        <v>137.45327439008946</v>
      </c>
    </row>
    <row r="147" spans="1:39" x14ac:dyDescent="0.3">
      <c r="A147">
        <v>177</v>
      </c>
      <c r="B147" t="s">
        <v>315</v>
      </c>
      <c r="C147" t="s">
        <v>316</v>
      </c>
      <c r="D147" t="s">
        <v>317</v>
      </c>
      <c r="E147" t="s">
        <v>317</v>
      </c>
      <c r="F147" t="s">
        <v>305</v>
      </c>
      <c r="G147" t="s">
        <v>306</v>
      </c>
      <c r="H147" t="s">
        <v>307</v>
      </c>
      <c r="I147" t="s">
        <v>308</v>
      </c>
      <c r="J147" t="s">
        <v>36</v>
      </c>
      <c r="K147">
        <v>21004</v>
      </c>
      <c r="L147" t="s">
        <v>309</v>
      </c>
      <c r="M147" t="s">
        <v>310</v>
      </c>
      <c r="N147" t="s">
        <v>311</v>
      </c>
      <c r="O147">
        <v>21000</v>
      </c>
      <c r="P147" t="s">
        <v>46</v>
      </c>
      <c r="Q147" t="s">
        <v>47</v>
      </c>
      <c r="R147" t="s">
        <v>48</v>
      </c>
      <c r="T147" t="s">
        <v>36</v>
      </c>
      <c r="U147" t="s">
        <v>36</v>
      </c>
      <c r="V147" t="s">
        <v>36</v>
      </c>
      <c r="W147">
        <v>4000</v>
      </c>
      <c r="X147" t="s">
        <v>49</v>
      </c>
      <c r="Y147" t="s">
        <v>50</v>
      </c>
      <c r="Z147" t="s">
        <v>51</v>
      </c>
      <c r="AA147" t="s">
        <v>37</v>
      </c>
      <c r="AB147" t="s">
        <v>52</v>
      </c>
      <c r="AC147" t="s">
        <v>53</v>
      </c>
      <c r="AD147" t="s">
        <v>54</v>
      </c>
      <c r="AE147">
        <v>9.0024313146000008</v>
      </c>
      <c r="AF147">
        <v>1252</v>
      </c>
      <c r="AG147">
        <v>1252.2956323200001</v>
      </c>
      <c r="AH147">
        <v>90025.768116099993</v>
      </c>
      <c r="AI147">
        <v>45</v>
      </c>
      <c r="AJ147">
        <v>44920.028945010199</v>
      </c>
      <c r="AK147" s="1">
        <f>intersection_ss_Lden___surface[[#This Row],[surf m2 bout ss]]/intersection_ss_Lden___surface[[#This Row],[Shape_Area]]</f>
        <v>0.49896857183245524</v>
      </c>
      <c r="AL147">
        <v>1028</v>
      </c>
      <c r="AM147">
        <f>intersection_ss_Lden___surface[[#This Row],[Population totale 2024 ss]]*intersection_ss_Lden___surface[[#This Row],[Part de la surface du qs dans le noise contour]]</f>
        <v>512.93969184376397</v>
      </c>
    </row>
    <row r="148" spans="1:39" x14ac:dyDescent="0.3">
      <c r="A148">
        <v>178</v>
      </c>
      <c r="B148" t="s">
        <v>315</v>
      </c>
      <c r="C148" t="s">
        <v>316</v>
      </c>
      <c r="D148" t="s">
        <v>317</v>
      </c>
      <c r="E148" t="s">
        <v>317</v>
      </c>
      <c r="F148" t="s">
        <v>305</v>
      </c>
      <c r="G148" t="s">
        <v>306</v>
      </c>
      <c r="H148" t="s">
        <v>307</v>
      </c>
      <c r="I148" t="s">
        <v>308</v>
      </c>
      <c r="J148" t="s">
        <v>36</v>
      </c>
      <c r="K148">
        <v>21004</v>
      </c>
      <c r="L148" t="s">
        <v>309</v>
      </c>
      <c r="M148" t="s">
        <v>310</v>
      </c>
      <c r="N148" t="s">
        <v>311</v>
      </c>
      <c r="O148">
        <v>21000</v>
      </c>
      <c r="P148" t="s">
        <v>46</v>
      </c>
      <c r="Q148" t="s">
        <v>47</v>
      </c>
      <c r="R148" t="s">
        <v>48</v>
      </c>
      <c r="T148" t="s">
        <v>36</v>
      </c>
      <c r="U148" t="s">
        <v>36</v>
      </c>
      <c r="V148" t="s">
        <v>36</v>
      </c>
      <c r="W148">
        <v>4000</v>
      </c>
      <c r="X148" t="s">
        <v>49</v>
      </c>
      <c r="Y148" t="s">
        <v>50</v>
      </c>
      <c r="Z148" t="s">
        <v>51</v>
      </c>
      <c r="AA148" t="s">
        <v>37</v>
      </c>
      <c r="AB148" t="s">
        <v>52</v>
      </c>
      <c r="AC148" t="s">
        <v>53</v>
      </c>
      <c r="AD148" t="s">
        <v>54</v>
      </c>
      <c r="AE148">
        <v>9.0024313146000008</v>
      </c>
      <c r="AF148">
        <v>1252</v>
      </c>
      <c r="AG148">
        <v>1252.2956323200001</v>
      </c>
      <c r="AH148">
        <v>90025.768116099993</v>
      </c>
      <c r="AI148">
        <v>46</v>
      </c>
      <c r="AJ148">
        <v>45114.667930640302</v>
      </c>
      <c r="AK148" s="1">
        <f>intersection_ss_Lden___surface[[#This Row],[surf m2 bout ss]]/intersection_ss_Lden___surface[[#This Row],[Shape_Area]]</f>
        <v>0.50113060821051858</v>
      </c>
      <c r="AL148">
        <v>1028</v>
      </c>
      <c r="AM148">
        <f>intersection_ss_Lden___surface[[#This Row],[Population totale 2024 ss]]*intersection_ss_Lden___surface[[#This Row],[Part de la surface du qs dans le noise contour]]</f>
        <v>515.16226524041315</v>
      </c>
    </row>
    <row r="149" spans="1:39" x14ac:dyDescent="0.3">
      <c r="A149">
        <v>179</v>
      </c>
      <c r="B149" t="s">
        <v>318</v>
      </c>
      <c r="C149" t="s">
        <v>319</v>
      </c>
      <c r="D149" t="s">
        <v>320</v>
      </c>
      <c r="E149" t="s">
        <v>320</v>
      </c>
      <c r="F149" t="s">
        <v>305</v>
      </c>
      <c r="G149" t="s">
        <v>306</v>
      </c>
      <c r="H149" t="s">
        <v>307</v>
      </c>
      <c r="I149" t="s">
        <v>308</v>
      </c>
      <c r="J149" t="s">
        <v>36</v>
      </c>
      <c r="K149">
        <v>21004</v>
      </c>
      <c r="L149" t="s">
        <v>309</v>
      </c>
      <c r="M149" t="s">
        <v>310</v>
      </c>
      <c r="N149" t="s">
        <v>311</v>
      </c>
      <c r="O149">
        <v>21000</v>
      </c>
      <c r="P149" t="s">
        <v>46</v>
      </c>
      <c r="Q149" t="s">
        <v>47</v>
      </c>
      <c r="R149" t="s">
        <v>48</v>
      </c>
      <c r="T149" t="s">
        <v>36</v>
      </c>
      <c r="U149" t="s">
        <v>36</v>
      </c>
      <c r="V149" t="s">
        <v>36</v>
      </c>
      <c r="W149">
        <v>4000</v>
      </c>
      <c r="X149" t="s">
        <v>49</v>
      </c>
      <c r="Y149" t="s">
        <v>50</v>
      </c>
      <c r="Z149" t="s">
        <v>51</v>
      </c>
      <c r="AA149" t="s">
        <v>37</v>
      </c>
      <c r="AB149" t="s">
        <v>52</v>
      </c>
      <c r="AC149" t="s">
        <v>53</v>
      </c>
      <c r="AD149" t="s">
        <v>54</v>
      </c>
      <c r="AE149">
        <v>13.6505856082</v>
      </c>
      <c r="AF149">
        <v>2097</v>
      </c>
      <c r="AG149">
        <v>2096.6564489399998</v>
      </c>
      <c r="AH149">
        <v>136508.06357200001</v>
      </c>
      <c r="AI149">
        <v>45</v>
      </c>
      <c r="AJ149">
        <v>49409.068361316102</v>
      </c>
      <c r="AK149" s="1">
        <f>intersection_ss_Lden___surface[[#This Row],[surf m2 bout ss]]/intersection_ss_Lden___surface[[#This Row],[Shape_Area]]</f>
        <v>0.36194981503972262</v>
      </c>
      <c r="AL149">
        <v>1949</v>
      </c>
      <c r="AM149">
        <f>intersection_ss_Lden___surface[[#This Row],[Population totale 2024 ss]]*intersection_ss_Lden___surface[[#This Row],[Part de la surface du qs dans le noise contour]]</f>
        <v>705.44018951241935</v>
      </c>
    </row>
    <row r="150" spans="1:39" x14ac:dyDescent="0.3">
      <c r="A150">
        <v>180</v>
      </c>
      <c r="B150" t="s">
        <v>318</v>
      </c>
      <c r="C150" t="s">
        <v>319</v>
      </c>
      <c r="D150" t="s">
        <v>320</v>
      </c>
      <c r="E150" t="s">
        <v>320</v>
      </c>
      <c r="F150" t="s">
        <v>305</v>
      </c>
      <c r="G150" t="s">
        <v>306</v>
      </c>
      <c r="H150" t="s">
        <v>307</v>
      </c>
      <c r="I150" t="s">
        <v>308</v>
      </c>
      <c r="J150" t="s">
        <v>36</v>
      </c>
      <c r="K150">
        <v>21004</v>
      </c>
      <c r="L150" t="s">
        <v>309</v>
      </c>
      <c r="M150" t="s">
        <v>310</v>
      </c>
      <c r="N150" t="s">
        <v>311</v>
      </c>
      <c r="O150">
        <v>21000</v>
      </c>
      <c r="P150" t="s">
        <v>46</v>
      </c>
      <c r="Q150" t="s">
        <v>47</v>
      </c>
      <c r="R150" t="s">
        <v>48</v>
      </c>
      <c r="T150" t="s">
        <v>36</v>
      </c>
      <c r="U150" t="s">
        <v>36</v>
      </c>
      <c r="V150" t="s">
        <v>36</v>
      </c>
      <c r="W150">
        <v>4000</v>
      </c>
      <c r="X150" t="s">
        <v>49</v>
      </c>
      <c r="Y150" t="s">
        <v>50</v>
      </c>
      <c r="Z150" t="s">
        <v>51</v>
      </c>
      <c r="AA150" t="s">
        <v>37</v>
      </c>
      <c r="AB150" t="s">
        <v>52</v>
      </c>
      <c r="AC150" t="s">
        <v>53</v>
      </c>
      <c r="AD150" t="s">
        <v>54</v>
      </c>
      <c r="AE150">
        <v>13.6505856082</v>
      </c>
      <c r="AF150">
        <v>2097</v>
      </c>
      <c r="AG150">
        <v>2096.6564489399998</v>
      </c>
      <c r="AH150">
        <v>136508.06357200001</v>
      </c>
      <c r="AI150">
        <v>46</v>
      </c>
      <c r="AJ150">
        <v>87112.599427399706</v>
      </c>
      <c r="AK150" s="1">
        <f>intersection_ss_Lden___surface[[#This Row],[surf m2 bout ss]]/intersection_ss_Lden___surface[[#This Row],[Shape_Area]]</f>
        <v>0.63814984366438476</v>
      </c>
      <c r="AL150">
        <v>1949</v>
      </c>
      <c r="AM150">
        <f>intersection_ss_Lden___surface[[#This Row],[Population totale 2024 ss]]*intersection_ss_Lden___surface[[#This Row],[Part de la surface du qs dans le noise contour]]</f>
        <v>1243.754045301886</v>
      </c>
    </row>
    <row r="151" spans="1:39" x14ac:dyDescent="0.3">
      <c r="A151">
        <v>181</v>
      </c>
      <c r="B151" t="s">
        <v>321</v>
      </c>
      <c r="C151" t="s">
        <v>322</v>
      </c>
      <c r="D151" t="s">
        <v>323</v>
      </c>
      <c r="E151" t="s">
        <v>323</v>
      </c>
      <c r="F151" t="s">
        <v>305</v>
      </c>
      <c r="G151" t="s">
        <v>306</v>
      </c>
      <c r="H151" t="s">
        <v>307</v>
      </c>
      <c r="I151" t="s">
        <v>308</v>
      </c>
      <c r="J151" t="s">
        <v>36</v>
      </c>
      <c r="K151">
        <v>21004</v>
      </c>
      <c r="L151" t="s">
        <v>309</v>
      </c>
      <c r="M151" t="s">
        <v>310</v>
      </c>
      <c r="N151" t="s">
        <v>311</v>
      </c>
      <c r="O151">
        <v>21000</v>
      </c>
      <c r="P151" t="s">
        <v>46</v>
      </c>
      <c r="Q151" t="s">
        <v>47</v>
      </c>
      <c r="R151" t="s">
        <v>48</v>
      </c>
      <c r="T151" t="s">
        <v>36</v>
      </c>
      <c r="U151" t="s">
        <v>36</v>
      </c>
      <c r="V151" t="s">
        <v>36</v>
      </c>
      <c r="W151">
        <v>4000</v>
      </c>
      <c r="X151" t="s">
        <v>49</v>
      </c>
      <c r="Y151" t="s">
        <v>50</v>
      </c>
      <c r="Z151" t="s">
        <v>51</v>
      </c>
      <c r="AA151" t="s">
        <v>37</v>
      </c>
      <c r="AB151" t="s">
        <v>52</v>
      </c>
      <c r="AC151" t="s">
        <v>53</v>
      </c>
      <c r="AD151" t="s">
        <v>54</v>
      </c>
      <c r="AE151">
        <v>10.5255793424</v>
      </c>
      <c r="AF151">
        <v>2187</v>
      </c>
      <c r="AG151">
        <v>2186.9111948999998</v>
      </c>
      <c r="AH151">
        <v>105257.46376</v>
      </c>
      <c r="AI151">
        <v>46</v>
      </c>
      <c r="AJ151">
        <v>105267.920196501</v>
      </c>
      <c r="AK151" s="1">
        <f>intersection_ss_Lden___surface[[#This Row],[surf m2 bout ss]]/intersection_ss_Lden___surface[[#This Row],[Shape_Area]]</f>
        <v>1.0000993415205675</v>
      </c>
      <c r="AL151">
        <v>2236</v>
      </c>
      <c r="AM151">
        <f>intersection_ss_Lden___surface[[#This Row],[Population totale 2024 ss]]*intersection_ss_Lden___surface[[#This Row],[Part de la surface du qs dans le noise contour]]</f>
        <v>2236.2221276399887</v>
      </c>
    </row>
    <row r="152" spans="1:39" x14ac:dyDescent="0.3">
      <c r="A152">
        <v>182</v>
      </c>
      <c r="B152" t="s">
        <v>324</v>
      </c>
      <c r="C152" t="s">
        <v>325</v>
      </c>
      <c r="D152" t="s">
        <v>326</v>
      </c>
      <c r="E152" t="s">
        <v>326</v>
      </c>
      <c r="F152" t="s">
        <v>305</v>
      </c>
      <c r="G152" t="s">
        <v>306</v>
      </c>
      <c r="H152" t="s">
        <v>307</v>
      </c>
      <c r="I152" t="s">
        <v>308</v>
      </c>
      <c r="J152" t="s">
        <v>36</v>
      </c>
      <c r="K152">
        <v>21004</v>
      </c>
      <c r="L152" t="s">
        <v>309</v>
      </c>
      <c r="M152" t="s">
        <v>310</v>
      </c>
      <c r="N152" t="s">
        <v>311</v>
      </c>
      <c r="O152">
        <v>21000</v>
      </c>
      <c r="P152" t="s">
        <v>46</v>
      </c>
      <c r="Q152" t="s">
        <v>47</v>
      </c>
      <c r="R152" t="s">
        <v>48</v>
      </c>
      <c r="T152" t="s">
        <v>36</v>
      </c>
      <c r="U152" t="s">
        <v>36</v>
      </c>
      <c r="V152" t="s">
        <v>36</v>
      </c>
      <c r="W152">
        <v>4000</v>
      </c>
      <c r="X152" t="s">
        <v>49</v>
      </c>
      <c r="Y152" t="s">
        <v>50</v>
      </c>
      <c r="Z152" t="s">
        <v>51</v>
      </c>
      <c r="AA152" t="s">
        <v>37</v>
      </c>
      <c r="AB152" t="s">
        <v>52</v>
      </c>
      <c r="AC152" t="s">
        <v>53</v>
      </c>
      <c r="AD152" t="s">
        <v>54</v>
      </c>
      <c r="AE152">
        <v>7.6952888791499996</v>
      </c>
      <c r="AF152">
        <v>1330</v>
      </c>
      <c r="AG152">
        <v>1330.3827677300001</v>
      </c>
      <c r="AH152">
        <v>76954.116547400001</v>
      </c>
      <c r="AI152">
        <v>45</v>
      </c>
      <c r="AJ152">
        <v>76961.577402872994</v>
      </c>
      <c r="AK152" s="1">
        <f>intersection_ss_Lden___surface[[#This Row],[surf m2 bout ss]]/intersection_ss_Lden___surface[[#This Row],[Shape_Area]]</f>
        <v>1.0000969519995515</v>
      </c>
      <c r="AL152">
        <v>1146</v>
      </c>
      <c r="AM152">
        <f>intersection_ss_Lden___surface[[#This Row],[Population totale 2024 ss]]*intersection_ss_Lden___surface[[#This Row],[Part de la surface du qs dans le noise contour]]</f>
        <v>1146.1111069914859</v>
      </c>
    </row>
    <row r="153" spans="1:39" x14ac:dyDescent="0.3">
      <c r="A153">
        <v>183</v>
      </c>
      <c r="B153" t="s">
        <v>327</v>
      </c>
      <c r="C153" t="s">
        <v>328</v>
      </c>
      <c r="D153" t="s">
        <v>329</v>
      </c>
      <c r="E153" t="s">
        <v>329</v>
      </c>
      <c r="F153" t="s">
        <v>330</v>
      </c>
      <c r="G153" t="s">
        <v>306</v>
      </c>
      <c r="H153" t="s">
        <v>307</v>
      </c>
      <c r="I153" t="s">
        <v>308</v>
      </c>
      <c r="J153" t="s">
        <v>36</v>
      </c>
      <c r="K153">
        <v>21004</v>
      </c>
      <c r="L153" t="s">
        <v>309</v>
      </c>
      <c r="M153" t="s">
        <v>310</v>
      </c>
      <c r="N153" t="s">
        <v>311</v>
      </c>
      <c r="O153">
        <v>21000</v>
      </c>
      <c r="P153" t="s">
        <v>46</v>
      </c>
      <c r="Q153" t="s">
        <v>47</v>
      </c>
      <c r="R153" t="s">
        <v>48</v>
      </c>
      <c r="T153" t="s">
        <v>36</v>
      </c>
      <c r="U153" t="s">
        <v>36</v>
      </c>
      <c r="V153" t="s">
        <v>36</v>
      </c>
      <c r="W153">
        <v>4000</v>
      </c>
      <c r="X153" t="s">
        <v>49</v>
      </c>
      <c r="Y153" t="s">
        <v>50</v>
      </c>
      <c r="Z153" t="s">
        <v>51</v>
      </c>
      <c r="AA153" t="s">
        <v>37</v>
      </c>
      <c r="AB153" t="s">
        <v>52</v>
      </c>
      <c r="AC153" t="s">
        <v>53</v>
      </c>
      <c r="AD153" t="s">
        <v>54</v>
      </c>
      <c r="AE153">
        <v>19.3709348784</v>
      </c>
      <c r="AF153">
        <v>1920</v>
      </c>
      <c r="AG153">
        <v>1919.9558274799999</v>
      </c>
      <c r="AH153">
        <v>193712.470206</v>
      </c>
      <c r="AI153">
        <v>45</v>
      </c>
      <c r="AJ153">
        <v>125767.483754648</v>
      </c>
      <c r="AK153" s="1">
        <f>intersection_ss_Lden___surface[[#This Row],[surf m2 bout ss]]/intersection_ss_Lden___surface[[#This Row],[Shape_Area]]</f>
        <v>0.64924825758973004</v>
      </c>
      <c r="AL153">
        <v>56</v>
      </c>
      <c r="AM153">
        <f>intersection_ss_Lden___surface[[#This Row],[Population totale 2024 ss]]*intersection_ss_Lden___surface[[#This Row],[Part de la surface du qs dans le noise contour]]</f>
        <v>36.357902425024882</v>
      </c>
    </row>
    <row r="154" spans="1:39" x14ac:dyDescent="0.3">
      <c r="A154">
        <v>184</v>
      </c>
      <c r="B154" t="s">
        <v>327</v>
      </c>
      <c r="C154" t="s">
        <v>328</v>
      </c>
      <c r="D154" t="s">
        <v>329</v>
      </c>
      <c r="E154" t="s">
        <v>329</v>
      </c>
      <c r="F154" t="s">
        <v>330</v>
      </c>
      <c r="G154" t="s">
        <v>306</v>
      </c>
      <c r="H154" t="s">
        <v>307</v>
      </c>
      <c r="I154" t="s">
        <v>308</v>
      </c>
      <c r="J154" t="s">
        <v>36</v>
      </c>
      <c r="K154">
        <v>21004</v>
      </c>
      <c r="L154" t="s">
        <v>309</v>
      </c>
      <c r="M154" t="s">
        <v>310</v>
      </c>
      <c r="N154" t="s">
        <v>311</v>
      </c>
      <c r="O154">
        <v>21000</v>
      </c>
      <c r="P154" t="s">
        <v>46</v>
      </c>
      <c r="Q154" t="s">
        <v>47</v>
      </c>
      <c r="R154" t="s">
        <v>48</v>
      </c>
      <c r="T154" t="s">
        <v>36</v>
      </c>
      <c r="U154" t="s">
        <v>36</v>
      </c>
      <c r="V154" t="s">
        <v>36</v>
      </c>
      <c r="W154">
        <v>4000</v>
      </c>
      <c r="X154" t="s">
        <v>49</v>
      </c>
      <c r="Y154" t="s">
        <v>50</v>
      </c>
      <c r="Z154" t="s">
        <v>51</v>
      </c>
      <c r="AA154" t="s">
        <v>37</v>
      </c>
      <c r="AB154" t="s">
        <v>52</v>
      </c>
      <c r="AC154" t="s">
        <v>53</v>
      </c>
      <c r="AD154" t="s">
        <v>54</v>
      </c>
      <c r="AE154">
        <v>19.3709348784</v>
      </c>
      <c r="AF154">
        <v>1920</v>
      </c>
      <c r="AG154">
        <v>1919.9558274799999</v>
      </c>
      <c r="AH154">
        <v>193712.470206</v>
      </c>
      <c r="AI154">
        <v>46</v>
      </c>
      <c r="AJ154">
        <v>2716.9315846423601</v>
      </c>
      <c r="AK154" s="1">
        <f>intersection_ss_Lden___surface[[#This Row],[surf m2 bout ss]]/intersection_ss_Lden___surface[[#This Row],[Shape_Area]]</f>
        <v>1.402558948194243E-2</v>
      </c>
      <c r="AL154">
        <v>56</v>
      </c>
      <c r="AM154">
        <f>intersection_ss_Lden___surface[[#This Row],[Population totale 2024 ss]]*intersection_ss_Lden___surface[[#This Row],[Part de la surface du qs dans le noise contour]]</f>
        <v>0.78543301098877605</v>
      </c>
    </row>
    <row r="155" spans="1:39" x14ac:dyDescent="0.3">
      <c r="A155">
        <v>185</v>
      </c>
      <c r="B155" t="s">
        <v>331</v>
      </c>
      <c r="C155" t="s">
        <v>332</v>
      </c>
      <c r="D155" t="s">
        <v>333</v>
      </c>
      <c r="E155" t="s">
        <v>333</v>
      </c>
      <c r="F155" t="s">
        <v>330</v>
      </c>
      <c r="G155" t="s">
        <v>306</v>
      </c>
      <c r="H155" t="s">
        <v>307</v>
      </c>
      <c r="I155" t="s">
        <v>308</v>
      </c>
      <c r="J155" t="s">
        <v>36</v>
      </c>
      <c r="K155">
        <v>21004</v>
      </c>
      <c r="L155" t="s">
        <v>309</v>
      </c>
      <c r="M155" t="s">
        <v>310</v>
      </c>
      <c r="N155" t="s">
        <v>311</v>
      </c>
      <c r="O155">
        <v>21000</v>
      </c>
      <c r="P155" t="s">
        <v>46</v>
      </c>
      <c r="Q155" t="s">
        <v>47</v>
      </c>
      <c r="R155" t="s">
        <v>48</v>
      </c>
      <c r="T155" t="s">
        <v>36</v>
      </c>
      <c r="U155" t="s">
        <v>36</v>
      </c>
      <c r="V155" t="s">
        <v>36</v>
      </c>
      <c r="W155">
        <v>4000</v>
      </c>
      <c r="X155" t="s">
        <v>49</v>
      </c>
      <c r="Y155" t="s">
        <v>50</v>
      </c>
      <c r="Z155" t="s">
        <v>51</v>
      </c>
      <c r="AA155" t="s">
        <v>37</v>
      </c>
      <c r="AB155" t="s">
        <v>52</v>
      </c>
      <c r="AC155" t="s">
        <v>53</v>
      </c>
      <c r="AD155" t="s">
        <v>54</v>
      </c>
      <c r="AE155">
        <v>8.2464361083100002</v>
      </c>
      <c r="AF155">
        <v>1506</v>
      </c>
      <c r="AG155">
        <v>1506.2276958499999</v>
      </c>
      <c r="AH155">
        <v>82465.677246799998</v>
      </c>
      <c r="AI155">
        <v>45</v>
      </c>
      <c r="AJ155">
        <v>16193.301533796899</v>
      </c>
      <c r="AK155" s="1">
        <f>intersection_ss_Lden___surface[[#This Row],[surf m2 bout ss]]/intersection_ss_Lden___surface[[#This Row],[Shape_Area]]</f>
        <v>0.19636413686792664</v>
      </c>
      <c r="AL155">
        <v>165</v>
      </c>
      <c r="AM155">
        <f>intersection_ss_Lden___surface[[#This Row],[Population totale 2024 ss]]*intersection_ss_Lden___surface[[#This Row],[Part de la surface du qs dans le noise contour]]</f>
        <v>32.400082583207897</v>
      </c>
    </row>
    <row r="156" spans="1:39" x14ac:dyDescent="0.3">
      <c r="A156">
        <v>186</v>
      </c>
      <c r="B156" t="s">
        <v>334</v>
      </c>
      <c r="C156" t="s">
        <v>335</v>
      </c>
      <c r="D156" t="s">
        <v>336</v>
      </c>
      <c r="E156" t="s">
        <v>336</v>
      </c>
      <c r="F156" t="s">
        <v>330</v>
      </c>
      <c r="G156" t="s">
        <v>306</v>
      </c>
      <c r="H156" t="s">
        <v>307</v>
      </c>
      <c r="I156" t="s">
        <v>308</v>
      </c>
      <c r="J156" t="s">
        <v>36</v>
      </c>
      <c r="K156">
        <v>21004</v>
      </c>
      <c r="L156" t="s">
        <v>309</v>
      </c>
      <c r="M156" t="s">
        <v>310</v>
      </c>
      <c r="N156" t="s">
        <v>311</v>
      </c>
      <c r="O156">
        <v>21000</v>
      </c>
      <c r="P156" t="s">
        <v>46</v>
      </c>
      <c r="Q156" t="s">
        <v>47</v>
      </c>
      <c r="R156" t="s">
        <v>48</v>
      </c>
      <c r="T156" t="s">
        <v>36</v>
      </c>
      <c r="U156" t="s">
        <v>36</v>
      </c>
      <c r="V156" t="s">
        <v>36</v>
      </c>
      <c r="W156">
        <v>4000</v>
      </c>
      <c r="X156" t="s">
        <v>49</v>
      </c>
      <c r="Y156" t="s">
        <v>50</v>
      </c>
      <c r="Z156" t="s">
        <v>51</v>
      </c>
      <c r="AA156" t="s">
        <v>37</v>
      </c>
      <c r="AB156" t="s">
        <v>52</v>
      </c>
      <c r="AC156" t="s">
        <v>53</v>
      </c>
      <c r="AD156" t="s">
        <v>54</v>
      </c>
      <c r="AE156">
        <v>18.870661827500001</v>
      </c>
      <c r="AF156">
        <v>1841</v>
      </c>
      <c r="AG156">
        <v>1841.03750261</v>
      </c>
      <c r="AH156">
        <v>188709.65515000001</v>
      </c>
      <c r="AI156">
        <v>45</v>
      </c>
      <c r="AJ156">
        <v>71798.775694653406</v>
      </c>
      <c r="AK156" s="1">
        <f>intersection_ss_Lden___surface[[#This Row],[surf m2 bout ss]]/intersection_ss_Lden___surface[[#This Row],[Shape_Area]]</f>
        <v>0.38047218960568063</v>
      </c>
      <c r="AL156">
        <v>1916</v>
      </c>
      <c r="AM156">
        <f>intersection_ss_Lden___surface[[#This Row],[Population totale 2024 ss]]*intersection_ss_Lden___surface[[#This Row],[Part de la surface du qs dans le noise contour]]</f>
        <v>728.98471528448408</v>
      </c>
    </row>
    <row r="157" spans="1:39" x14ac:dyDescent="0.3">
      <c r="A157">
        <v>187</v>
      </c>
      <c r="B157" t="s">
        <v>337</v>
      </c>
      <c r="C157" t="s">
        <v>36</v>
      </c>
      <c r="D157" t="s">
        <v>36</v>
      </c>
      <c r="E157" t="s">
        <v>36</v>
      </c>
      <c r="F157" t="s">
        <v>330</v>
      </c>
      <c r="G157" t="s">
        <v>306</v>
      </c>
      <c r="H157" t="s">
        <v>307</v>
      </c>
      <c r="I157" t="s">
        <v>308</v>
      </c>
      <c r="J157" t="s">
        <v>36</v>
      </c>
      <c r="K157">
        <v>21004</v>
      </c>
      <c r="L157" t="s">
        <v>309</v>
      </c>
      <c r="M157" t="s">
        <v>310</v>
      </c>
      <c r="N157" t="s">
        <v>311</v>
      </c>
      <c r="O157">
        <v>21000</v>
      </c>
      <c r="P157" t="s">
        <v>46</v>
      </c>
      <c r="Q157" t="s">
        <v>47</v>
      </c>
      <c r="R157" t="s">
        <v>48</v>
      </c>
      <c r="T157" t="s">
        <v>36</v>
      </c>
      <c r="U157" t="s">
        <v>36</v>
      </c>
      <c r="V157" t="s">
        <v>36</v>
      </c>
      <c r="W157">
        <v>4000</v>
      </c>
      <c r="X157" t="s">
        <v>49</v>
      </c>
      <c r="Y157" t="s">
        <v>50</v>
      </c>
      <c r="Z157" t="s">
        <v>51</v>
      </c>
      <c r="AA157" t="s">
        <v>37</v>
      </c>
      <c r="AB157" t="s">
        <v>52</v>
      </c>
      <c r="AC157" t="s">
        <v>53</v>
      </c>
      <c r="AD157" t="s">
        <v>54</v>
      </c>
      <c r="AE157">
        <v>29.708507876199999</v>
      </c>
      <c r="AF157">
        <v>2477</v>
      </c>
      <c r="AG157">
        <v>2477.4983909399998</v>
      </c>
      <c r="AH157">
        <v>297089.89407699998</v>
      </c>
      <c r="AI157">
        <v>45</v>
      </c>
      <c r="AJ157">
        <v>49888.944203248197</v>
      </c>
      <c r="AK157" s="1">
        <f>intersection_ss_Lden___surface[[#This Row],[surf m2 bout ss]]/intersection_ss_Lden___surface[[#This Row],[Shape_Area]]</f>
        <v>0.16792541650816956</v>
      </c>
      <c r="AL157">
        <v>35</v>
      </c>
      <c r="AM157">
        <f>intersection_ss_Lden___surface[[#This Row],[Population totale 2024 ss]]*intersection_ss_Lden___surface[[#This Row],[Part de la surface du qs dans le noise contour]]</f>
        <v>5.8773895777859346</v>
      </c>
    </row>
    <row r="158" spans="1:39" x14ac:dyDescent="0.3">
      <c r="A158">
        <v>188</v>
      </c>
      <c r="B158" t="s">
        <v>338</v>
      </c>
      <c r="C158" t="s">
        <v>339</v>
      </c>
      <c r="D158" t="s">
        <v>340</v>
      </c>
      <c r="E158" t="s">
        <v>340</v>
      </c>
      <c r="F158" t="s">
        <v>330</v>
      </c>
      <c r="G158" t="s">
        <v>306</v>
      </c>
      <c r="H158" t="s">
        <v>307</v>
      </c>
      <c r="I158" t="s">
        <v>308</v>
      </c>
      <c r="J158" t="s">
        <v>36</v>
      </c>
      <c r="K158">
        <v>21004</v>
      </c>
      <c r="L158" t="s">
        <v>309</v>
      </c>
      <c r="M158" t="s">
        <v>310</v>
      </c>
      <c r="N158" t="s">
        <v>311</v>
      </c>
      <c r="O158">
        <v>21000</v>
      </c>
      <c r="P158" t="s">
        <v>46</v>
      </c>
      <c r="Q158" t="s">
        <v>47</v>
      </c>
      <c r="R158" t="s">
        <v>48</v>
      </c>
      <c r="T158" t="s">
        <v>36</v>
      </c>
      <c r="U158" t="s">
        <v>36</v>
      </c>
      <c r="V158" t="s">
        <v>36</v>
      </c>
      <c r="W158">
        <v>4000</v>
      </c>
      <c r="X158" t="s">
        <v>49</v>
      </c>
      <c r="Y158" t="s">
        <v>50</v>
      </c>
      <c r="Z158" t="s">
        <v>51</v>
      </c>
      <c r="AA158" t="s">
        <v>37</v>
      </c>
      <c r="AB158" t="s">
        <v>52</v>
      </c>
      <c r="AC158" t="s">
        <v>53</v>
      </c>
      <c r="AD158" t="s">
        <v>54</v>
      </c>
      <c r="AE158">
        <v>6.8652072086300002</v>
      </c>
      <c r="AF158">
        <v>1170</v>
      </c>
      <c r="AG158">
        <v>1170.38038261</v>
      </c>
      <c r="AH158">
        <v>68653.185068599996</v>
      </c>
      <c r="AI158">
        <v>45</v>
      </c>
      <c r="AJ158">
        <v>66863.562996945198</v>
      </c>
      <c r="AK158" s="1">
        <f>intersection_ss_Lden___surface[[#This Row],[surf m2 bout ss]]/intersection_ss_Lden___surface[[#This Row],[Shape_Area]]</f>
        <v>0.97393242469571428</v>
      </c>
      <c r="AL158">
        <v>38</v>
      </c>
      <c r="AM158">
        <f>intersection_ss_Lden___surface[[#This Row],[Population totale 2024 ss]]*intersection_ss_Lden___surface[[#This Row],[Part de la surface du qs dans le noise contour]]</f>
        <v>37.009432138437141</v>
      </c>
    </row>
    <row r="159" spans="1:39" x14ac:dyDescent="0.3">
      <c r="A159">
        <v>189</v>
      </c>
      <c r="B159" t="s">
        <v>338</v>
      </c>
      <c r="C159" t="s">
        <v>339</v>
      </c>
      <c r="D159" t="s">
        <v>340</v>
      </c>
      <c r="E159" t="s">
        <v>340</v>
      </c>
      <c r="F159" t="s">
        <v>330</v>
      </c>
      <c r="G159" t="s">
        <v>306</v>
      </c>
      <c r="H159" t="s">
        <v>307</v>
      </c>
      <c r="I159" t="s">
        <v>308</v>
      </c>
      <c r="J159" t="s">
        <v>36</v>
      </c>
      <c r="K159">
        <v>21004</v>
      </c>
      <c r="L159" t="s">
        <v>309</v>
      </c>
      <c r="M159" t="s">
        <v>310</v>
      </c>
      <c r="N159" t="s">
        <v>311</v>
      </c>
      <c r="O159">
        <v>21000</v>
      </c>
      <c r="P159" t="s">
        <v>46</v>
      </c>
      <c r="Q159" t="s">
        <v>47</v>
      </c>
      <c r="R159" t="s">
        <v>48</v>
      </c>
      <c r="T159" t="s">
        <v>36</v>
      </c>
      <c r="U159" t="s">
        <v>36</v>
      </c>
      <c r="V159" t="s">
        <v>36</v>
      </c>
      <c r="W159">
        <v>4000</v>
      </c>
      <c r="X159" t="s">
        <v>49</v>
      </c>
      <c r="Y159" t="s">
        <v>50</v>
      </c>
      <c r="Z159" t="s">
        <v>51</v>
      </c>
      <c r="AA159" t="s">
        <v>37</v>
      </c>
      <c r="AB159" t="s">
        <v>52</v>
      </c>
      <c r="AC159" t="s">
        <v>53</v>
      </c>
      <c r="AD159" t="s">
        <v>54</v>
      </c>
      <c r="AE159">
        <v>6.8652072086300002</v>
      </c>
      <c r="AF159">
        <v>1170</v>
      </c>
      <c r="AG159">
        <v>1170.38038261</v>
      </c>
      <c r="AH159">
        <v>68653.185068599996</v>
      </c>
      <c r="AI159">
        <v>46</v>
      </c>
      <c r="AJ159">
        <v>1796.39186231897</v>
      </c>
      <c r="AK159" s="1">
        <f>intersection_ss_Lden___surface[[#This Row],[surf m2 bout ss]]/intersection_ss_Lden___surface[[#This Row],[Shape_Area]]</f>
        <v>2.6166183848920773E-2</v>
      </c>
      <c r="AL159">
        <v>38</v>
      </c>
      <c r="AM159">
        <f>intersection_ss_Lden___surface[[#This Row],[Population totale 2024 ss]]*intersection_ss_Lden___surface[[#This Row],[Part de la surface du qs dans le noise contour]]</f>
        <v>0.9943149862589894</v>
      </c>
    </row>
    <row r="160" spans="1:39" x14ac:dyDescent="0.3">
      <c r="A160">
        <v>190</v>
      </c>
      <c r="B160" t="s">
        <v>341</v>
      </c>
      <c r="C160" t="s">
        <v>342</v>
      </c>
      <c r="D160" t="s">
        <v>343</v>
      </c>
      <c r="E160" t="s">
        <v>343</v>
      </c>
      <c r="F160" t="s">
        <v>344</v>
      </c>
      <c r="G160" t="s">
        <v>306</v>
      </c>
      <c r="H160" t="s">
        <v>307</v>
      </c>
      <c r="I160" t="s">
        <v>308</v>
      </c>
      <c r="J160" t="s">
        <v>36</v>
      </c>
      <c r="K160">
        <v>21004</v>
      </c>
      <c r="L160" t="s">
        <v>309</v>
      </c>
      <c r="M160" t="s">
        <v>310</v>
      </c>
      <c r="N160" t="s">
        <v>311</v>
      </c>
      <c r="O160">
        <v>21000</v>
      </c>
      <c r="P160" t="s">
        <v>46</v>
      </c>
      <c r="Q160" t="s">
        <v>47</v>
      </c>
      <c r="R160" t="s">
        <v>48</v>
      </c>
      <c r="T160" t="s">
        <v>36</v>
      </c>
      <c r="U160" t="s">
        <v>36</v>
      </c>
      <c r="V160" t="s">
        <v>36</v>
      </c>
      <c r="W160">
        <v>4000</v>
      </c>
      <c r="X160" t="s">
        <v>49</v>
      </c>
      <c r="Y160" t="s">
        <v>50</v>
      </c>
      <c r="Z160" t="s">
        <v>51</v>
      </c>
      <c r="AA160" t="s">
        <v>37</v>
      </c>
      <c r="AB160" t="s">
        <v>52</v>
      </c>
      <c r="AC160" t="s">
        <v>53</v>
      </c>
      <c r="AD160" t="s">
        <v>54</v>
      </c>
      <c r="AE160">
        <v>13.8494593512</v>
      </c>
      <c r="AF160">
        <v>1907</v>
      </c>
      <c r="AG160">
        <v>1907.0380585800001</v>
      </c>
      <c r="AH160">
        <v>138496.82376900001</v>
      </c>
      <c r="AI160">
        <v>46</v>
      </c>
      <c r="AJ160">
        <v>12602.496809783601</v>
      </c>
      <c r="AK160" s="1">
        <f>intersection_ss_Lden___surface[[#This Row],[surf m2 bout ss]]/intersection_ss_Lden___surface[[#This Row],[Shape_Area]]</f>
        <v>9.0994843540985526E-2</v>
      </c>
      <c r="AL160">
        <v>2464</v>
      </c>
      <c r="AM160">
        <f>intersection_ss_Lden___surface[[#This Row],[Population totale 2024 ss]]*intersection_ss_Lden___surface[[#This Row],[Part de la surface du qs dans le noise contour]]</f>
        <v>224.21129448498834</v>
      </c>
    </row>
    <row r="161" spans="1:39" x14ac:dyDescent="0.3">
      <c r="A161">
        <v>191</v>
      </c>
      <c r="B161" t="s">
        <v>341</v>
      </c>
      <c r="C161" t="s">
        <v>342</v>
      </c>
      <c r="D161" t="s">
        <v>343</v>
      </c>
      <c r="E161" t="s">
        <v>343</v>
      </c>
      <c r="F161" t="s">
        <v>344</v>
      </c>
      <c r="G161" t="s">
        <v>306</v>
      </c>
      <c r="H161" t="s">
        <v>307</v>
      </c>
      <c r="I161" t="s">
        <v>308</v>
      </c>
      <c r="J161" t="s">
        <v>36</v>
      </c>
      <c r="K161">
        <v>21004</v>
      </c>
      <c r="L161" t="s">
        <v>309</v>
      </c>
      <c r="M161" t="s">
        <v>310</v>
      </c>
      <c r="N161" t="s">
        <v>311</v>
      </c>
      <c r="O161">
        <v>21000</v>
      </c>
      <c r="P161" t="s">
        <v>46</v>
      </c>
      <c r="Q161" t="s">
        <v>47</v>
      </c>
      <c r="R161" t="s">
        <v>48</v>
      </c>
      <c r="T161" t="s">
        <v>36</v>
      </c>
      <c r="U161" t="s">
        <v>36</v>
      </c>
      <c r="V161" t="s">
        <v>36</v>
      </c>
      <c r="W161">
        <v>4000</v>
      </c>
      <c r="X161" t="s">
        <v>49</v>
      </c>
      <c r="Y161" t="s">
        <v>50</v>
      </c>
      <c r="Z161" t="s">
        <v>51</v>
      </c>
      <c r="AA161" t="s">
        <v>37</v>
      </c>
      <c r="AB161" t="s">
        <v>52</v>
      </c>
      <c r="AC161" t="s">
        <v>53</v>
      </c>
      <c r="AD161" t="s">
        <v>54</v>
      </c>
      <c r="AE161">
        <v>13.8494593512</v>
      </c>
      <c r="AF161">
        <v>1907</v>
      </c>
      <c r="AG161">
        <v>1907.0380585800001</v>
      </c>
      <c r="AH161">
        <v>138496.82376900001</v>
      </c>
      <c r="AI161">
        <v>47</v>
      </c>
      <c r="AJ161">
        <v>125907.92231024901</v>
      </c>
      <c r="AK161" s="1">
        <f>intersection_ss_Lden___surface[[#This Row],[surf m2 bout ss]]/intersection_ss_Lden___surface[[#This Row],[Shape_Area]]</f>
        <v>0.90910332008950523</v>
      </c>
      <c r="AL161">
        <v>2464</v>
      </c>
      <c r="AM161">
        <f>intersection_ss_Lden___surface[[#This Row],[Population totale 2024 ss]]*intersection_ss_Lden___surface[[#This Row],[Part de la surface du qs dans le noise contour]]</f>
        <v>2240.0305807005407</v>
      </c>
    </row>
    <row r="162" spans="1:39" x14ac:dyDescent="0.3">
      <c r="A162">
        <v>192</v>
      </c>
      <c r="B162" t="s">
        <v>345</v>
      </c>
      <c r="C162" t="s">
        <v>346</v>
      </c>
      <c r="D162" t="s">
        <v>347</v>
      </c>
      <c r="E162" t="s">
        <v>347</v>
      </c>
      <c r="F162" t="s">
        <v>344</v>
      </c>
      <c r="G162" t="s">
        <v>306</v>
      </c>
      <c r="H162" t="s">
        <v>307</v>
      </c>
      <c r="I162" t="s">
        <v>308</v>
      </c>
      <c r="J162" t="s">
        <v>36</v>
      </c>
      <c r="K162">
        <v>21004</v>
      </c>
      <c r="L162" t="s">
        <v>309</v>
      </c>
      <c r="M162" t="s">
        <v>310</v>
      </c>
      <c r="N162" t="s">
        <v>311</v>
      </c>
      <c r="O162">
        <v>21000</v>
      </c>
      <c r="P162" t="s">
        <v>46</v>
      </c>
      <c r="Q162" t="s">
        <v>47</v>
      </c>
      <c r="R162" t="s">
        <v>48</v>
      </c>
      <c r="T162" t="s">
        <v>36</v>
      </c>
      <c r="U162" t="s">
        <v>36</v>
      </c>
      <c r="V162" t="s">
        <v>36</v>
      </c>
      <c r="W162">
        <v>4000</v>
      </c>
      <c r="X162" t="s">
        <v>49</v>
      </c>
      <c r="Y162" t="s">
        <v>50</v>
      </c>
      <c r="Z162" t="s">
        <v>51</v>
      </c>
      <c r="AA162" t="s">
        <v>37</v>
      </c>
      <c r="AB162" t="s">
        <v>52</v>
      </c>
      <c r="AC162" t="s">
        <v>53</v>
      </c>
      <c r="AD162" t="s">
        <v>54</v>
      </c>
      <c r="AE162">
        <v>24.306406739</v>
      </c>
      <c r="AF162">
        <v>2389</v>
      </c>
      <c r="AG162">
        <v>2388.5805396300002</v>
      </c>
      <c r="AH162">
        <v>243068.00605699999</v>
      </c>
      <c r="AI162">
        <v>46</v>
      </c>
      <c r="AJ162">
        <v>179796.158401086</v>
      </c>
      <c r="AK162" s="1">
        <f>intersection_ss_Lden___surface[[#This Row],[surf m2 bout ss]]/intersection_ss_Lden___surface[[#This Row],[Shape_Area]]</f>
        <v>0.73969487518206489</v>
      </c>
      <c r="AL162">
        <v>6541</v>
      </c>
      <c r="AM162">
        <f>intersection_ss_Lden___surface[[#This Row],[Population totale 2024 ss]]*intersection_ss_Lden___surface[[#This Row],[Part de la surface du qs dans le noise contour]]</f>
        <v>4838.3441785658861</v>
      </c>
    </row>
    <row r="163" spans="1:39" x14ac:dyDescent="0.3">
      <c r="A163">
        <v>193</v>
      </c>
      <c r="B163" t="s">
        <v>345</v>
      </c>
      <c r="C163" t="s">
        <v>346</v>
      </c>
      <c r="D163" t="s">
        <v>347</v>
      </c>
      <c r="E163" t="s">
        <v>347</v>
      </c>
      <c r="F163" t="s">
        <v>344</v>
      </c>
      <c r="G163" t="s">
        <v>306</v>
      </c>
      <c r="H163" t="s">
        <v>307</v>
      </c>
      <c r="I163" t="s">
        <v>308</v>
      </c>
      <c r="J163" t="s">
        <v>36</v>
      </c>
      <c r="K163">
        <v>21004</v>
      </c>
      <c r="L163" t="s">
        <v>309</v>
      </c>
      <c r="M163" t="s">
        <v>310</v>
      </c>
      <c r="N163" t="s">
        <v>311</v>
      </c>
      <c r="O163">
        <v>21000</v>
      </c>
      <c r="P163" t="s">
        <v>46</v>
      </c>
      <c r="Q163" t="s">
        <v>47</v>
      </c>
      <c r="R163" t="s">
        <v>48</v>
      </c>
      <c r="T163" t="s">
        <v>36</v>
      </c>
      <c r="U163" t="s">
        <v>36</v>
      </c>
      <c r="V163" t="s">
        <v>36</v>
      </c>
      <c r="W163">
        <v>4000</v>
      </c>
      <c r="X163" t="s">
        <v>49</v>
      </c>
      <c r="Y163" t="s">
        <v>50</v>
      </c>
      <c r="Z163" t="s">
        <v>51</v>
      </c>
      <c r="AA163" t="s">
        <v>37</v>
      </c>
      <c r="AB163" t="s">
        <v>52</v>
      </c>
      <c r="AC163" t="s">
        <v>53</v>
      </c>
      <c r="AD163" t="s">
        <v>54</v>
      </c>
      <c r="AE163">
        <v>24.306406739</v>
      </c>
      <c r="AF163">
        <v>2389</v>
      </c>
      <c r="AG163">
        <v>2388.5805396300002</v>
      </c>
      <c r="AH163">
        <v>243068.00605699999</v>
      </c>
      <c r="AI163">
        <v>47</v>
      </c>
      <c r="AJ163">
        <v>63295.961050579303</v>
      </c>
      <c r="AK163" s="1">
        <f>intersection_ss_Lden___surface[[#This Row],[surf m2 bout ss]]/intersection_ss_Lden___surface[[#This Row],[Shape_Area]]</f>
        <v>0.26040432913139649</v>
      </c>
      <c r="AL163">
        <v>6541</v>
      </c>
      <c r="AM163">
        <f>intersection_ss_Lden___surface[[#This Row],[Population totale 2024 ss]]*intersection_ss_Lden___surface[[#This Row],[Part de la surface du qs dans le noise contour]]</f>
        <v>1703.3047168484645</v>
      </c>
    </row>
    <row r="164" spans="1:39" x14ac:dyDescent="0.3">
      <c r="A164">
        <v>194</v>
      </c>
      <c r="B164" t="s">
        <v>348</v>
      </c>
      <c r="C164" t="s">
        <v>349</v>
      </c>
      <c r="D164" t="s">
        <v>350</v>
      </c>
      <c r="E164" t="s">
        <v>350</v>
      </c>
      <c r="F164" t="s">
        <v>344</v>
      </c>
      <c r="G164" t="s">
        <v>306</v>
      </c>
      <c r="H164" t="s">
        <v>307</v>
      </c>
      <c r="I164" t="s">
        <v>308</v>
      </c>
      <c r="J164" t="s">
        <v>36</v>
      </c>
      <c r="K164">
        <v>21004</v>
      </c>
      <c r="L164" t="s">
        <v>309</v>
      </c>
      <c r="M164" t="s">
        <v>310</v>
      </c>
      <c r="N164" t="s">
        <v>311</v>
      </c>
      <c r="O164">
        <v>21000</v>
      </c>
      <c r="P164" t="s">
        <v>46</v>
      </c>
      <c r="Q164" t="s">
        <v>47</v>
      </c>
      <c r="R164" t="s">
        <v>48</v>
      </c>
      <c r="T164" t="s">
        <v>36</v>
      </c>
      <c r="U164" t="s">
        <v>36</v>
      </c>
      <c r="V164" t="s">
        <v>36</v>
      </c>
      <c r="W164">
        <v>4000</v>
      </c>
      <c r="X164" t="s">
        <v>49</v>
      </c>
      <c r="Y164" t="s">
        <v>50</v>
      </c>
      <c r="Z164" t="s">
        <v>51</v>
      </c>
      <c r="AA164" t="s">
        <v>37</v>
      </c>
      <c r="AB164" t="s">
        <v>52</v>
      </c>
      <c r="AC164" t="s">
        <v>53</v>
      </c>
      <c r="AD164" t="s">
        <v>54</v>
      </c>
      <c r="AE164">
        <v>19.9387034023</v>
      </c>
      <c r="AF164">
        <v>2093</v>
      </c>
      <c r="AG164">
        <v>2092.5957451899999</v>
      </c>
      <c r="AH164">
        <v>199390.237364</v>
      </c>
      <c r="AI164">
        <v>47</v>
      </c>
      <c r="AJ164">
        <v>198784.77521422901</v>
      </c>
      <c r="AK164" s="1">
        <f>intersection_ss_Lden___surface[[#This Row],[surf m2 bout ss]]/intersection_ss_Lden___surface[[#This Row],[Shape_Area]]</f>
        <v>0.99696343132053311</v>
      </c>
      <c r="AL164">
        <v>3807</v>
      </c>
      <c r="AM164">
        <f>intersection_ss_Lden___surface[[#This Row],[Population totale 2024 ss]]*intersection_ss_Lden___surface[[#This Row],[Part de la surface du qs dans le noise contour]]</f>
        <v>3795.4397830372695</v>
      </c>
    </row>
    <row r="165" spans="1:39" x14ac:dyDescent="0.3">
      <c r="A165">
        <v>195</v>
      </c>
      <c r="B165" t="s">
        <v>348</v>
      </c>
      <c r="C165" t="s">
        <v>349</v>
      </c>
      <c r="D165" t="s">
        <v>350</v>
      </c>
      <c r="E165" t="s">
        <v>350</v>
      </c>
      <c r="F165" t="s">
        <v>344</v>
      </c>
      <c r="G165" t="s">
        <v>306</v>
      </c>
      <c r="H165" t="s">
        <v>307</v>
      </c>
      <c r="I165" t="s">
        <v>308</v>
      </c>
      <c r="J165" t="s">
        <v>36</v>
      </c>
      <c r="K165">
        <v>21004</v>
      </c>
      <c r="L165" t="s">
        <v>309</v>
      </c>
      <c r="M165" t="s">
        <v>310</v>
      </c>
      <c r="N165" t="s">
        <v>311</v>
      </c>
      <c r="O165">
        <v>21000</v>
      </c>
      <c r="P165" t="s">
        <v>46</v>
      </c>
      <c r="Q165" t="s">
        <v>47</v>
      </c>
      <c r="R165" t="s">
        <v>48</v>
      </c>
      <c r="T165" t="s">
        <v>36</v>
      </c>
      <c r="U165" t="s">
        <v>36</v>
      </c>
      <c r="V165" t="s">
        <v>36</v>
      </c>
      <c r="W165">
        <v>4000</v>
      </c>
      <c r="X165" t="s">
        <v>49</v>
      </c>
      <c r="Y165" t="s">
        <v>50</v>
      </c>
      <c r="Z165" t="s">
        <v>51</v>
      </c>
      <c r="AA165" t="s">
        <v>37</v>
      </c>
      <c r="AB165" t="s">
        <v>52</v>
      </c>
      <c r="AC165" t="s">
        <v>53</v>
      </c>
      <c r="AD165" t="s">
        <v>54</v>
      </c>
      <c r="AE165">
        <v>19.9387034023</v>
      </c>
      <c r="AF165">
        <v>2093</v>
      </c>
      <c r="AG165">
        <v>2092.5957451899999</v>
      </c>
      <c r="AH165">
        <v>199390.237364</v>
      </c>
      <c r="AI165">
        <v>48</v>
      </c>
      <c r="AJ165">
        <v>625.10923436936002</v>
      </c>
      <c r="AK165" s="1">
        <f>intersection_ss_Lden___surface[[#This Row],[surf m2 bout ss]]/intersection_ss_Lden___surface[[#This Row],[Shape_Area]]</f>
        <v>3.1351045198275279E-3</v>
      </c>
      <c r="AL165">
        <v>3807</v>
      </c>
      <c r="AM165">
        <f>intersection_ss_Lden___surface[[#This Row],[Population totale 2024 ss]]*intersection_ss_Lden___surface[[#This Row],[Part de la surface du qs dans le noise contour]]</f>
        <v>11.935342906983399</v>
      </c>
    </row>
    <row r="166" spans="1:39" x14ac:dyDescent="0.3">
      <c r="A166">
        <v>196</v>
      </c>
      <c r="B166" t="s">
        <v>351</v>
      </c>
      <c r="C166" t="s">
        <v>352</v>
      </c>
      <c r="D166" t="s">
        <v>353</v>
      </c>
      <c r="E166" t="s">
        <v>353</v>
      </c>
      <c r="F166" t="s">
        <v>344</v>
      </c>
      <c r="G166" t="s">
        <v>306</v>
      </c>
      <c r="H166" t="s">
        <v>307</v>
      </c>
      <c r="I166" t="s">
        <v>308</v>
      </c>
      <c r="J166" t="s">
        <v>36</v>
      </c>
      <c r="K166">
        <v>21004</v>
      </c>
      <c r="L166" t="s">
        <v>309</v>
      </c>
      <c r="M166" t="s">
        <v>310</v>
      </c>
      <c r="N166" t="s">
        <v>311</v>
      </c>
      <c r="O166">
        <v>21000</v>
      </c>
      <c r="P166" t="s">
        <v>46</v>
      </c>
      <c r="Q166" t="s">
        <v>47</v>
      </c>
      <c r="R166" t="s">
        <v>48</v>
      </c>
      <c r="T166" t="s">
        <v>36</v>
      </c>
      <c r="U166" t="s">
        <v>36</v>
      </c>
      <c r="V166" t="s">
        <v>36</v>
      </c>
      <c r="W166">
        <v>4000</v>
      </c>
      <c r="X166" t="s">
        <v>49</v>
      </c>
      <c r="Y166" t="s">
        <v>50</v>
      </c>
      <c r="Z166" t="s">
        <v>51</v>
      </c>
      <c r="AA166" t="s">
        <v>37</v>
      </c>
      <c r="AB166" t="s">
        <v>52</v>
      </c>
      <c r="AC166" t="s">
        <v>53</v>
      </c>
      <c r="AD166" t="s">
        <v>54</v>
      </c>
      <c r="AE166">
        <v>20.459859886099999</v>
      </c>
      <c r="AF166">
        <v>1870</v>
      </c>
      <c r="AG166">
        <v>1869.6854401600001</v>
      </c>
      <c r="AH166">
        <v>204601.87231199999</v>
      </c>
      <c r="AI166">
        <v>47</v>
      </c>
      <c r="AJ166">
        <v>80827.875284554902</v>
      </c>
      <c r="AK166" s="1">
        <f>intersection_ss_Lden___surface[[#This Row],[surf m2 bout ss]]/intersection_ss_Lden___surface[[#This Row],[Shape_Area]]</f>
        <v>0.39504953875152937</v>
      </c>
      <c r="AL166">
        <v>2991</v>
      </c>
      <c r="AM166">
        <f>intersection_ss_Lden___surface[[#This Row],[Population totale 2024 ss]]*intersection_ss_Lden___surface[[#This Row],[Part de la surface du qs dans le noise contour]]</f>
        <v>1181.5931704058244</v>
      </c>
    </row>
    <row r="167" spans="1:39" x14ac:dyDescent="0.3">
      <c r="A167">
        <v>197</v>
      </c>
      <c r="B167" t="s">
        <v>351</v>
      </c>
      <c r="C167" t="s">
        <v>352</v>
      </c>
      <c r="D167" t="s">
        <v>353</v>
      </c>
      <c r="E167" t="s">
        <v>353</v>
      </c>
      <c r="F167" t="s">
        <v>344</v>
      </c>
      <c r="G167" t="s">
        <v>306</v>
      </c>
      <c r="H167" t="s">
        <v>307</v>
      </c>
      <c r="I167" t="s">
        <v>308</v>
      </c>
      <c r="J167" t="s">
        <v>36</v>
      </c>
      <c r="K167">
        <v>21004</v>
      </c>
      <c r="L167" t="s">
        <v>309</v>
      </c>
      <c r="M167" t="s">
        <v>310</v>
      </c>
      <c r="N167" t="s">
        <v>311</v>
      </c>
      <c r="O167">
        <v>21000</v>
      </c>
      <c r="P167" t="s">
        <v>46</v>
      </c>
      <c r="Q167" t="s">
        <v>47</v>
      </c>
      <c r="R167" t="s">
        <v>48</v>
      </c>
      <c r="T167" t="s">
        <v>36</v>
      </c>
      <c r="U167" t="s">
        <v>36</v>
      </c>
      <c r="V167" t="s">
        <v>36</v>
      </c>
      <c r="W167">
        <v>4000</v>
      </c>
      <c r="X167" t="s">
        <v>49</v>
      </c>
      <c r="Y167" t="s">
        <v>50</v>
      </c>
      <c r="Z167" t="s">
        <v>51</v>
      </c>
      <c r="AA167" t="s">
        <v>37</v>
      </c>
      <c r="AB167" t="s">
        <v>52</v>
      </c>
      <c r="AC167" t="s">
        <v>53</v>
      </c>
      <c r="AD167" t="s">
        <v>54</v>
      </c>
      <c r="AE167">
        <v>20.459859886099999</v>
      </c>
      <c r="AF167">
        <v>1870</v>
      </c>
      <c r="AG167">
        <v>1869.6854401600001</v>
      </c>
      <c r="AH167">
        <v>204601.87231199999</v>
      </c>
      <c r="AI167">
        <v>48</v>
      </c>
      <c r="AJ167">
        <v>123794.01842242399</v>
      </c>
      <c r="AK167" s="1">
        <f>intersection_ss_Lden___surface[[#This Row],[surf m2 bout ss]]/intersection_ss_Lden___surface[[#This Row],[Shape_Area]]</f>
        <v>0.60504831663343195</v>
      </c>
      <c r="AL167">
        <v>2991</v>
      </c>
      <c r="AM167">
        <f>intersection_ss_Lden___surface[[#This Row],[Population totale 2024 ss]]*intersection_ss_Lden___surface[[#This Row],[Part de la surface du qs dans le noise contour]]</f>
        <v>1809.699515050595</v>
      </c>
    </row>
    <row r="168" spans="1:39" x14ac:dyDescent="0.3">
      <c r="A168">
        <v>198</v>
      </c>
      <c r="B168" t="s">
        <v>354</v>
      </c>
      <c r="C168" t="s">
        <v>355</v>
      </c>
      <c r="D168" t="s">
        <v>356</v>
      </c>
      <c r="E168" t="s">
        <v>356</v>
      </c>
      <c r="F168" t="s">
        <v>344</v>
      </c>
      <c r="G168" t="s">
        <v>306</v>
      </c>
      <c r="H168" t="s">
        <v>307</v>
      </c>
      <c r="I168" t="s">
        <v>308</v>
      </c>
      <c r="J168" t="s">
        <v>36</v>
      </c>
      <c r="K168">
        <v>21004</v>
      </c>
      <c r="L168" t="s">
        <v>309</v>
      </c>
      <c r="M168" t="s">
        <v>310</v>
      </c>
      <c r="N168" t="s">
        <v>311</v>
      </c>
      <c r="O168">
        <v>21000</v>
      </c>
      <c r="P168" t="s">
        <v>46</v>
      </c>
      <c r="Q168" t="s">
        <v>47</v>
      </c>
      <c r="R168" t="s">
        <v>48</v>
      </c>
      <c r="T168" t="s">
        <v>36</v>
      </c>
      <c r="U168" t="s">
        <v>36</v>
      </c>
      <c r="V168" t="s">
        <v>36</v>
      </c>
      <c r="W168">
        <v>4000</v>
      </c>
      <c r="X168" t="s">
        <v>49</v>
      </c>
      <c r="Y168" t="s">
        <v>50</v>
      </c>
      <c r="Z168" t="s">
        <v>51</v>
      </c>
      <c r="AA168" t="s">
        <v>37</v>
      </c>
      <c r="AB168" t="s">
        <v>52</v>
      </c>
      <c r="AC168" t="s">
        <v>53</v>
      </c>
      <c r="AD168" t="s">
        <v>54</v>
      </c>
      <c r="AE168">
        <v>18.962739763599998</v>
      </c>
      <c r="AF168">
        <v>2053</v>
      </c>
      <c r="AG168">
        <v>2053.0672626099999</v>
      </c>
      <c r="AH168">
        <v>189630.44932399999</v>
      </c>
      <c r="AI168">
        <v>47</v>
      </c>
      <c r="AJ168">
        <v>17775.275245579</v>
      </c>
      <c r="AK168" s="1">
        <f>intersection_ss_Lden___surface[[#This Row],[surf m2 bout ss]]/intersection_ss_Lden___surface[[#This Row],[Shape_Area]]</f>
        <v>9.3736397867245511E-2</v>
      </c>
      <c r="AL168">
        <v>3487</v>
      </c>
      <c r="AM168">
        <f>intersection_ss_Lden___surface[[#This Row],[Population totale 2024 ss]]*intersection_ss_Lden___surface[[#This Row],[Part de la surface du qs dans le noise contour]]</f>
        <v>326.8588193630851</v>
      </c>
    </row>
    <row r="169" spans="1:39" x14ac:dyDescent="0.3">
      <c r="A169">
        <v>199</v>
      </c>
      <c r="B169" t="s">
        <v>354</v>
      </c>
      <c r="C169" t="s">
        <v>355</v>
      </c>
      <c r="D169" t="s">
        <v>356</v>
      </c>
      <c r="E169" t="s">
        <v>356</v>
      </c>
      <c r="F169" t="s">
        <v>344</v>
      </c>
      <c r="G169" t="s">
        <v>306</v>
      </c>
      <c r="H169" t="s">
        <v>307</v>
      </c>
      <c r="I169" t="s">
        <v>308</v>
      </c>
      <c r="J169" t="s">
        <v>36</v>
      </c>
      <c r="K169">
        <v>21004</v>
      </c>
      <c r="L169" t="s">
        <v>309</v>
      </c>
      <c r="M169" t="s">
        <v>310</v>
      </c>
      <c r="N169" t="s">
        <v>311</v>
      </c>
      <c r="O169">
        <v>21000</v>
      </c>
      <c r="P169" t="s">
        <v>46</v>
      </c>
      <c r="Q169" t="s">
        <v>47</v>
      </c>
      <c r="R169" t="s">
        <v>48</v>
      </c>
      <c r="T169" t="s">
        <v>36</v>
      </c>
      <c r="U169" t="s">
        <v>36</v>
      </c>
      <c r="V169" t="s">
        <v>36</v>
      </c>
      <c r="W169">
        <v>4000</v>
      </c>
      <c r="X169" t="s">
        <v>49</v>
      </c>
      <c r="Y169" t="s">
        <v>50</v>
      </c>
      <c r="Z169" t="s">
        <v>51</v>
      </c>
      <c r="AA169" t="s">
        <v>37</v>
      </c>
      <c r="AB169" t="s">
        <v>52</v>
      </c>
      <c r="AC169" t="s">
        <v>53</v>
      </c>
      <c r="AD169" t="s">
        <v>54</v>
      </c>
      <c r="AE169">
        <v>18.962739763599998</v>
      </c>
      <c r="AF169">
        <v>2053</v>
      </c>
      <c r="AG169">
        <v>2053.0672626099999</v>
      </c>
      <c r="AH169">
        <v>189630.44932399999</v>
      </c>
      <c r="AI169">
        <v>48</v>
      </c>
      <c r="AJ169">
        <v>106448.036558737</v>
      </c>
      <c r="AK169" s="1">
        <f>intersection_ss_Lden___surface[[#This Row],[surf m2 bout ss]]/intersection_ss_Lden___surface[[#This Row],[Shape_Area]]</f>
        <v>0.56134464131792117</v>
      </c>
      <c r="AL169">
        <v>3487</v>
      </c>
      <c r="AM169">
        <f>intersection_ss_Lden___surface[[#This Row],[Population totale 2024 ss]]*intersection_ss_Lden___surface[[#This Row],[Part de la surface du qs dans le noise contour]]</f>
        <v>1957.408764275591</v>
      </c>
    </row>
    <row r="170" spans="1:39" x14ac:dyDescent="0.3">
      <c r="A170">
        <v>200</v>
      </c>
      <c r="B170" t="s">
        <v>354</v>
      </c>
      <c r="C170" t="s">
        <v>355</v>
      </c>
      <c r="D170" t="s">
        <v>356</v>
      </c>
      <c r="E170" t="s">
        <v>356</v>
      </c>
      <c r="F170" t="s">
        <v>344</v>
      </c>
      <c r="G170" t="s">
        <v>306</v>
      </c>
      <c r="H170" t="s">
        <v>307</v>
      </c>
      <c r="I170" t="s">
        <v>308</v>
      </c>
      <c r="J170" t="s">
        <v>36</v>
      </c>
      <c r="K170">
        <v>21004</v>
      </c>
      <c r="L170" t="s">
        <v>309</v>
      </c>
      <c r="M170" t="s">
        <v>310</v>
      </c>
      <c r="N170" t="s">
        <v>311</v>
      </c>
      <c r="O170">
        <v>21000</v>
      </c>
      <c r="P170" t="s">
        <v>46</v>
      </c>
      <c r="Q170" t="s">
        <v>47</v>
      </c>
      <c r="R170" t="s">
        <v>48</v>
      </c>
      <c r="T170" t="s">
        <v>36</v>
      </c>
      <c r="U170" t="s">
        <v>36</v>
      </c>
      <c r="V170" t="s">
        <v>36</v>
      </c>
      <c r="W170">
        <v>4000</v>
      </c>
      <c r="X170" t="s">
        <v>49</v>
      </c>
      <c r="Y170" t="s">
        <v>50</v>
      </c>
      <c r="Z170" t="s">
        <v>51</v>
      </c>
      <c r="AA170" t="s">
        <v>37</v>
      </c>
      <c r="AB170" t="s">
        <v>52</v>
      </c>
      <c r="AC170" t="s">
        <v>53</v>
      </c>
      <c r="AD170" t="s">
        <v>54</v>
      </c>
      <c r="AE170">
        <v>18.962739763599998</v>
      </c>
      <c r="AF170">
        <v>2053</v>
      </c>
      <c r="AG170">
        <v>2053.0672626099999</v>
      </c>
      <c r="AH170">
        <v>189630.44932399999</v>
      </c>
      <c r="AI170">
        <v>49</v>
      </c>
      <c r="AJ170">
        <v>65425.579617598101</v>
      </c>
      <c r="AK170" s="1">
        <f>intersection_ss_Lden___surface[[#This Row],[surf m2 bout ss]]/intersection_ss_Lden___surface[[#This Row],[Shape_Area]]</f>
        <v>0.34501621364516649</v>
      </c>
      <c r="AL170">
        <v>3487</v>
      </c>
      <c r="AM170">
        <f>intersection_ss_Lden___surface[[#This Row],[Population totale 2024 ss]]*intersection_ss_Lden___surface[[#This Row],[Part de la surface du qs dans le noise contour]]</f>
        <v>1203.0715369806956</v>
      </c>
    </row>
    <row r="171" spans="1:39" x14ac:dyDescent="0.3">
      <c r="A171">
        <v>201</v>
      </c>
      <c r="B171" t="s">
        <v>357</v>
      </c>
      <c r="C171" t="s">
        <v>358</v>
      </c>
      <c r="D171" t="s">
        <v>359</v>
      </c>
      <c r="E171" t="s">
        <v>359</v>
      </c>
      <c r="F171" t="s">
        <v>344</v>
      </c>
      <c r="G171" t="s">
        <v>306</v>
      </c>
      <c r="H171" t="s">
        <v>307</v>
      </c>
      <c r="I171" t="s">
        <v>308</v>
      </c>
      <c r="J171" t="s">
        <v>36</v>
      </c>
      <c r="K171">
        <v>21004</v>
      </c>
      <c r="L171" t="s">
        <v>309</v>
      </c>
      <c r="M171" t="s">
        <v>310</v>
      </c>
      <c r="N171" t="s">
        <v>311</v>
      </c>
      <c r="O171">
        <v>21000</v>
      </c>
      <c r="P171" t="s">
        <v>46</v>
      </c>
      <c r="Q171" t="s">
        <v>47</v>
      </c>
      <c r="R171" t="s">
        <v>48</v>
      </c>
      <c r="T171" t="s">
        <v>36</v>
      </c>
      <c r="U171" t="s">
        <v>36</v>
      </c>
      <c r="V171" t="s">
        <v>36</v>
      </c>
      <c r="W171">
        <v>4000</v>
      </c>
      <c r="X171" t="s">
        <v>49</v>
      </c>
      <c r="Y171" t="s">
        <v>50</v>
      </c>
      <c r="Z171" t="s">
        <v>51</v>
      </c>
      <c r="AA171" t="s">
        <v>37</v>
      </c>
      <c r="AB171" t="s">
        <v>52</v>
      </c>
      <c r="AC171" t="s">
        <v>53</v>
      </c>
      <c r="AD171" t="s">
        <v>54</v>
      </c>
      <c r="AE171">
        <v>14.8910750363</v>
      </c>
      <c r="AF171">
        <v>1568</v>
      </c>
      <c r="AG171">
        <v>1568.36862088</v>
      </c>
      <c r="AH171">
        <v>148913.14110199999</v>
      </c>
      <c r="AI171">
        <v>47</v>
      </c>
      <c r="AJ171">
        <v>13938.796635398599</v>
      </c>
      <c r="AK171" s="1">
        <f>intersection_ss_Lden___surface[[#This Row],[surf m2 bout ss]]/intersection_ss_Lden___surface[[#This Row],[Shape_Area]]</f>
        <v>9.3603536479369809E-2</v>
      </c>
      <c r="AL171">
        <v>2026</v>
      </c>
      <c r="AM171">
        <f>intersection_ss_Lden___surface[[#This Row],[Population totale 2024 ss]]*intersection_ss_Lden___surface[[#This Row],[Part de la surface du qs dans le noise contour]]</f>
        <v>189.64076490720322</v>
      </c>
    </row>
    <row r="172" spans="1:39" x14ac:dyDescent="0.3">
      <c r="A172">
        <v>202</v>
      </c>
      <c r="B172" t="s">
        <v>357</v>
      </c>
      <c r="C172" t="s">
        <v>358</v>
      </c>
      <c r="D172" t="s">
        <v>359</v>
      </c>
      <c r="E172" t="s">
        <v>359</v>
      </c>
      <c r="F172" t="s">
        <v>344</v>
      </c>
      <c r="G172" t="s">
        <v>306</v>
      </c>
      <c r="H172" t="s">
        <v>307</v>
      </c>
      <c r="I172" t="s">
        <v>308</v>
      </c>
      <c r="J172" t="s">
        <v>36</v>
      </c>
      <c r="K172">
        <v>21004</v>
      </c>
      <c r="L172" t="s">
        <v>309</v>
      </c>
      <c r="M172" t="s">
        <v>310</v>
      </c>
      <c r="N172" t="s">
        <v>311</v>
      </c>
      <c r="O172">
        <v>21000</v>
      </c>
      <c r="P172" t="s">
        <v>46</v>
      </c>
      <c r="Q172" t="s">
        <v>47</v>
      </c>
      <c r="R172" t="s">
        <v>48</v>
      </c>
      <c r="T172" t="s">
        <v>36</v>
      </c>
      <c r="U172" t="s">
        <v>36</v>
      </c>
      <c r="V172" t="s">
        <v>36</v>
      </c>
      <c r="W172">
        <v>4000</v>
      </c>
      <c r="X172" t="s">
        <v>49</v>
      </c>
      <c r="Y172" t="s">
        <v>50</v>
      </c>
      <c r="Z172" t="s">
        <v>51</v>
      </c>
      <c r="AA172" t="s">
        <v>37</v>
      </c>
      <c r="AB172" t="s">
        <v>52</v>
      </c>
      <c r="AC172" t="s">
        <v>53</v>
      </c>
      <c r="AD172" t="s">
        <v>54</v>
      </c>
      <c r="AE172">
        <v>14.8910750363</v>
      </c>
      <c r="AF172">
        <v>1568</v>
      </c>
      <c r="AG172">
        <v>1568.36862088</v>
      </c>
      <c r="AH172">
        <v>148913.14110199999</v>
      </c>
      <c r="AI172">
        <v>48</v>
      </c>
      <c r="AJ172">
        <v>110809.98057605101</v>
      </c>
      <c r="AK172" s="1">
        <f>intersection_ss_Lden___surface[[#This Row],[surf m2 bout ss]]/intersection_ss_Lden___surface[[#This Row],[Shape_Area]]</f>
        <v>0.74412492917700435</v>
      </c>
      <c r="AL172">
        <v>2026</v>
      </c>
      <c r="AM172">
        <f>intersection_ss_Lden___surface[[#This Row],[Population totale 2024 ss]]*intersection_ss_Lden___surface[[#This Row],[Part de la surface du qs dans le noise contour]]</f>
        <v>1507.5971065126107</v>
      </c>
    </row>
    <row r="173" spans="1:39" x14ac:dyDescent="0.3">
      <c r="A173">
        <v>203</v>
      </c>
      <c r="B173" t="s">
        <v>357</v>
      </c>
      <c r="C173" t="s">
        <v>358</v>
      </c>
      <c r="D173" t="s">
        <v>359</v>
      </c>
      <c r="E173" t="s">
        <v>359</v>
      </c>
      <c r="F173" t="s">
        <v>344</v>
      </c>
      <c r="G173" t="s">
        <v>306</v>
      </c>
      <c r="H173" t="s">
        <v>307</v>
      </c>
      <c r="I173" t="s">
        <v>308</v>
      </c>
      <c r="J173" t="s">
        <v>36</v>
      </c>
      <c r="K173">
        <v>21004</v>
      </c>
      <c r="L173" t="s">
        <v>309</v>
      </c>
      <c r="M173" t="s">
        <v>310</v>
      </c>
      <c r="N173" t="s">
        <v>311</v>
      </c>
      <c r="O173">
        <v>21000</v>
      </c>
      <c r="P173" t="s">
        <v>46</v>
      </c>
      <c r="Q173" t="s">
        <v>47</v>
      </c>
      <c r="R173" t="s">
        <v>48</v>
      </c>
      <c r="T173" t="s">
        <v>36</v>
      </c>
      <c r="U173" t="s">
        <v>36</v>
      </c>
      <c r="V173" t="s">
        <v>36</v>
      </c>
      <c r="W173">
        <v>4000</v>
      </c>
      <c r="X173" t="s">
        <v>49</v>
      </c>
      <c r="Y173" t="s">
        <v>50</v>
      </c>
      <c r="Z173" t="s">
        <v>51</v>
      </c>
      <c r="AA173" t="s">
        <v>37</v>
      </c>
      <c r="AB173" t="s">
        <v>52</v>
      </c>
      <c r="AC173" t="s">
        <v>53</v>
      </c>
      <c r="AD173" t="s">
        <v>54</v>
      </c>
      <c r="AE173">
        <v>14.8910750363</v>
      </c>
      <c r="AF173">
        <v>1568</v>
      </c>
      <c r="AG173">
        <v>1568.36862088</v>
      </c>
      <c r="AH173">
        <v>148913.14110199999</v>
      </c>
      <c r="AI173">
        <v>49</v>
      </c>
      <c r="AJ173">
        <v>24178.833202077101</v>
      </c>
      <c r="AK173" s="1">
        <f>intersection_ss_Lden___surface[[#This Row],[surf m2 bout ss]]/intersection_ss_Lden___surface[[#This Row],[Shape_Area]]</f>
        <v>0.16236870045952154</v>
      </c>
      <c r="AL173">
        <v>2026</v>
      </c>
      <c r="AM173">
        <f>intersection_ss_Lden___surface[[#This Row],[Population totale 2024 ss]]*intersection_ss_Lden___surface[[#This Row],[Part de la surface du qs dans le noise contour]]</f>
        <v>328.95898713099064</v>
      </c>
    </row>
    <row r="174" spans="1:39" x14ac:dyDescent="0.3">
      <c r="A174">
        <v>204</v>
      </c>
      <c r="B174" t="s">
        <v>360</v>
      </c>
      <c r="C174" t="s">
        <v>361</v>
      </c>
      <c r="D174" t="s">
        <v>362</v>
      </c>
      <c r="E174" t="s">
        <v>362</v>
      </c>
      <c r="F174" t="s">
        <v>363</v>
      </c>
      <c r="G174" t="s">
        <v>306</v>
      </c>
      <c r="H174" t="s">
        <v>307</v>
      </c>
      <c r="I174" t="s">
        <v>308</v>
      </c>
      <c r="J174" t="s">
        <v>36</v>
      </c>
      <c r="K174">
        <v>21004</v>
      </c>
      <c r="L174" t="s">
        <v>309</v>
      </c>
      <c r="M174" t="s">
        <v>310</v>
      </c>
      <c r="N174" t="s">
        <v>311</v>
      </c>
      <c r="O174">
        <v>21000</v>
      </c>
      <c r="P174" t="s">
        <v>46</v>
      </c>
      <c r="Q174" t="s">
        <v>47</v>
      </c>
      <c r="R174" t="s">
        <v>48</v>
      </c>
      <c r="T174" t="s">
        <v>36</v>
      </c>
      <c r="U174" t="s">
        <v>36</v>
      </c>
      <c r="V174" t="s">
        <v>36</v>
      </c>
      <c r="W174">
        <v>4000</v>
      </c>
      <c r="X174" t="s">
        <v>49</v>
      </c>
      <c r="Y174" t="s">
        <v>50</v>
      </c>
      <c r="Z174" t="s">
        <v>51</v>
      </c>
      <c r="AA174" t="s">
        <v>37</v>
      </c>
      <c r="AB174" t="s">
        <v>52</v>
      </c>
      <c r="AC174" t="s">
        <v>53</v>
      </c>
      <c r="AD174" t="s">
        <v>54</v>
      </c>
      <c r="AE174">
        <v>5.9251209958900004</v>
      </c>
      <c r="AF174">
        <v>1130</v>
      </c>
      <c r="AG174">
        <v>1130.28624799</v>
      </c>
      <c r="AH174">
        <v>59252.1625719</v>
      </c>
      <c r="AI174">
        <v>45</v>
      </c>
      <c r="AJ174">
        <v>36260.304542394399</v>
      </c>
      <c r="AK174" s="1">
        <f>intersection_ss_Lden___surface[[#This Row],[surf m2 bout ss]]/intersection_ss_Lden___surface[[#This Row],[Shape_Area]]</f>
        <v>0.61196592611103517</v>
      </c>
      <c r="AL174">
        <v>35</v>
      </c>
      <c r="AM174">
        <f>intersection_ss_Lden___surface[[#This Row],[Population totale 2024 ss]]*intersection_ss_Lden___surface[[#This Row],[Part de la surface du qs dans le noise contour]]</f>
        <v>21.418807413886231</v>
      </c>
    </row>
    <row r="175" spans="1:39" x14ac:dyDescent="0.3">
      <c r="A175">
        <v>205</v>
      </c>
      <c r="B175" t="s">
        <v>360</v>
      </c>
      <c r="C175" t="s">
        <v>361</v>
      </c>
      <c r="D175" t="s">
        <v>362</v>
      </c>
      <c r="E175" t="s">
        <v>362</v>
      </c>
      <c r="F175" t="s">
        <v>363</v>
      </c>
      <c r="G175" t="s">
        <v>306</v>
      </c>
      <c r="H175" t="s">
        <v>307</v>
      </c>
      <c r="I175" t="s">
        <v>308</v>
      </c>
      <c r="J175" t="s">
        <v>36</v>
      </c>
      <c r="K175">
        <v>21004</v>
      </c>
      <c r="L175" t="s">
        <v>309</v>
      </c>
      <c r="M175" t="s">
        <v>310</v>
      </c>
      <c r="N175" t="s">
        <v>311</v>
      </c>
      <c r="O175">
        <v>21000</v>
      </c>
      <c r="P175" t="s">
        <v>46</v>
      </c>
      <c r="Q175" t="s">
        <v>47</v>
      </c>
      <c r="R175" t="s">
        <v>48</v>
      </c>
      <c r="T175" t="s">
        <v>36</v>
      </c>
      <c r="U175" t="s">
        <v>36</v>
      </c>
      <c r="V175" t="s">
        <v>36</v>
      </c>
      <c r="W175">
        <v>4000</v>
      </c>
      <c r="X175" t="s">
        <v>49</v>
      </c>
      <c r="Y175" t="s">
        <v>50</v>
      </c>
      <c r="Z175" t="s">
        <v>51</v>
      </c>
      <c r="AA175" t="s">
        <v>37</v>
      </c>
      <c r="AB175" t="s">
        <v>52</v>
      </c>
      <c r="AC175" t="s">
        <v>53</v>
      </c>
      <c r="AD175" t="s">
        <v>54</v>
      </c>
      <c r="AE175">
        <v>5.9251209958900004</v>
      </c>
      <c r="AF175">
        <v>1130</v>
      </c>
      <c r="AG175">
        <v>1130.28624799</v>
      </c>
      <c r="AH175">
        <v>59252.1625719</v>
      </c>
      <c r="AI175">
        <v>46</v>
      </c>
      <c r="AJ175">
        <v>22997.681100280999</v>
      </c>
      <c r="AK175" s="1">
        <f>intersection_ss_Lden___surface[[#This Row],[surf m2 bout ss]]/intersection_ss_Lden___surface[[#This Row],[Shape_Area]]</f>
        <v>0.38813234997750984</v>
      </c>
      <c r="AL175">
        <v>35</v>
      </c>
      <c r="AM175">
        <f>intersection_ss_Lden___surface[[#This Row],[Population totale 2024 ss]]*intersection_ss_Lden___surface[[#This Row],[Part de la surface du qs dans le noise contour]]</f>
        <v>13.584632249212845</v>
      </c>
    </row>
    <row r="176" spans="1:39" x14ac:dyDescent="0.3">
      <c r="A176">
        <v>206</v>
      </c>
      <c r="B176" t="s">
        <v>364</v>
      </c>
      <c r="C176" t="s">
        <v>365</v>
      </c>
      <c r="D176" t="s">
        <v>366</v>
      </c>
      <c r="E176" t="s">
        <v>366</v>
      </c>
      <c r="F176" t="s">
        <v>363</v>
      </c>
      <c r="G176" t="s">
        <v>306</v>
      </c>
      <c r="H176" t="s">
        <v>307</v>
      </c>
      <c r="I176" t="s">
        <v>308</v>
      </c>
      <c r="J176" t="s">
        <v>36</v>
      </c>
      <c r="K176">
        <v>21004</v>
      </c>
      <c r="L176" t="s">
        <v>309</v>
      </c>
      <c r="M176" t="s">
        <v>310</v>
      </c>
      <c r="N176" t="s">
        <v>311</v>
      </c>
      <c r="O176">
        <v>21000</v>
      </c>
      <c r="P176" t="s">
        <v>46</v>
      </c>
      <c r="Q176" t="s">
        <v>47</v>
      </c>
      <c r="R176" t="s">
        <v>48</v>
      </c>
      <c r="T176" t="s">
        <v>36</v>
      </c>
      <c r="U176" t="s">
        <v>36</v>
      </c>
      <c r="V176" t="s">
        <v>36</v>
      </c>
      <c r="W176">
        <v>4000</v>
      </c>
      <c r="X176" t="s">
        <v>49</v>
      </c>
      <c r="Y176" t="s">
        <v>50</v>
      </c>
      <c r="Z176" t="s">
        <v>51</v>
      </c>
      <c r="AA176" t="s">
        <v>37</v>
      </c>
      <c r="AB176" t="s">
        <v>52</v>
      </c>
      <c r="AC176" t="s">
        <v>53</v>
      </c>
      <c r="AD176" t="s">
        <v>54</v>
      </c>
      <c r="AE176">
        <v>21.1187139018</v>
      </c>
      <c r="AF176">
        <v>2074</v>
      </c>
      <c r="AG176">
        <v>2073.7911223999999</v>
      </c>
      <c r="AH176">
        <v>211190.540561</v>
      </c>
      <c r="AI176">
        <v>46</v>
      </c>
      <c r="AJ176">
        <v>118595.000450979</v>
      </c>
      <c r="AK176" s="1">
        <f>intersection_ss_Lden___surface[[#This Row],[surf m2 bout ss]]/intersection_ss_Lden___surface[[#This Row],[Shape_Area]]</f>
        <v>0.56155450966670628</v>
      </c>
      <c r="AL176">
        <v>1532</v>
      </c>
      <c r="AM176">
        <f>intersection_ss_Lden___surface[[#This Row],[Population totale 2024 ss]]*intersection_ss_Lden___surface[[#This Row],[Part de la surface du qs dans le noise contour]]</f>
        <v>860.30150880939402</v>
      </c>
    </row>
    <row r="177" spans="1:39" x14ac:dyDescent="0.3">
      <c r="A177">
        <v>207</v>
      </c>
      <c r="B177" t="s">
        <v>364</v>
      </c>
      <c r="C177" t="s">
        <v>365</v>
      </c>
      <c r="D177" t="s">
        <v>366</v>
      </c>
      <c r="E177" t="s">
        <v>366</v>
      </c>
      <c r="F177" t="s">
        <v>363</v>
      </c>
      <c r="G177" t="s">
        <v>306</v>
      </c>
      <c r="H177" t="s">
        <v>307</v>
      </c>
      <c r="I177" t="s">
        <v>308</v>
      </c>
      <c r="J177" t="s">
        <v>36</v>
      </c>
      <c r="K177">
        <v>21004</v>
      </c>
      <c r="L177" t="s">
        <v>309</v>
      </c>
      <c r="M177" t="s">
        <v>310</v>
      </c>
      <c r="N177" t="s">
        <v>311</v>
      </c>
      <c r="O177">
        <v>21000</v>
      </c>
      <c r="P177" t="s">
        <v>46</v>
      </c>
      <c r="Q177" t="s">
        <v>47</v>
      </c>
      <c r="R177" t="s">
        <v>48</v>
      </c>
      <c r="T177" t="s">
        <v>36</v>
      </c>
      <c r="U177" t="s">
        <v>36</v>
      </c>
      <c r="V177" t="s">
        <v>36</v>
      </c>
      <c r="W177">
        <v>4000</v>
      </c>
      <c r="X177" t="s">
        <v>49</v>
      </c>
      <c r="Y177" t="s">
        <v>50</v>
      </c>
      <c r="Z177" t="s">
        <v>51</v>
      </c>
      <c r="AA177" t="s">
        <v>37</v>
      </c>
      <c r="AB177" t="s">
        <v>52</v>
      </c>
      <c r="AC177" t="s">
        <v>53</v>
      </c>
      <c r="AD177" t="s">
        <v>54</v>
      </c>
      <c r="AE177">
        <v>21.1187139018</v>
      </c>
      <c r="AF177">
        <v>2074</v>
      </c>
      <c r="AG177">
        <v>2073.7911223999999</v>
      </c>
      <c r="AH177">
        <v>211190.540561</v>
      </c>
      <c r="AI177">
        <v>47</v>
      </c>
      <c r="AJ177">
        <v>92616.146614152996</v>
      </c>
      <c r="AK177" s="1">
        <f>intersection_ss_Lden___surface[[#This Row],[surf m2 bout ss]]/intersection_ss_Lden___surface[[#This Row],[Shape_Area]]</f>
        <v>0.43854306337836124</v>
      </c>
      <c r="AL177">
        <v>1532</v>
      </c>
      <c r="AM177">
        <f>intersection_ss_Lden___surface[[#This Row],[Population totale 2024 ss]]*intersection_ss_Lden___surface[[#This Row],[Part de la surface du qs dans le noise contour]]</f>
        <v>671.84797309564942</v>
      </c>
    </row>
    <row r="178" spans="1:39" x14ac:dyDescent="0.3">
      <c r="A178">
        <v>208</v>
      </c>
      <c r="B178" t="s">
        <v>367</v>
      </c>
      <c r="C178" t="s">
        <v>368</v>
      </c>
      <c r="D178" t="s">
        <v>369</v>
      </c>
      <c r="E178" t="s">
        <v>369</v>
      </c>
      <c r="F178" t="s">
        <v>363</v>
      </c>
      <c r="G178" t="s">
        <v>306</v>
      </c>
      <c r="H178" t="s">
        <v>307</v>
      </c>
      <c r="I178" t="s">
        <v>308</v>
      </c>
      <c r="J178" t="s">
        <v>36</v>
      </c>
      <c r="K178">
        <v>21004</v>
      </c>
      <c r="L178" t="s">
        <v>309</v>
      </c>
      <c r="M178" t="s">
        <v>310</v>
      </c>
      <c r="N178" t="s">
        <v>311</v>
      </c>
      <c r="O178">
        <v>21000</v>
      </c>
      <c r="P178" t="s">
        <v>46</v>
      </c>
      <c r="Q178" t="s">
        <v>47</v>
      </c>
      <c r="R178" t="s">
        <v>48</v>
      </c>
      <c r="T178" t="s">
        <v>36</v>
      </c>
      <c r="U178" t="s">
        <v>36</v>
      </c>
      <c r="V178" t="s">
        <v>36</v>
      </c>
      <c r="W178">
        <v>4000</v>
      </c>
      <c r="X178" t="s">
        <v>49</v>
      </c>
      <c r="Y178" t="s">
        <v>50</v>
      </c>
      <c r="Z178" t="s">
        <v>51</v>
      </c>
      <c r="AA178" t="s">
        <v>37</v>
      </c>
      <c r="AB178" t="s">
        <v>52</v>
      </c>
      <c r="AC178" t="s">
        <v>53</v>
      </c>
      <c r="AD178" t="s">
        <v>54</v>
      </c>
      <c r="AE178">
        <v>19.244379089799999</v>
      </c>
      <c r="AF178">
        <v>1825</v>
      </c>
      <c r="AG178">
        <v>1825.40227777</v>
      </c>
      <c r="AH178">
        <v>192446.86717799999</v>
      </c>
      <c r="AI178">
        <v>45</v>
      </c>
      <c r="AJ178">
        <v>135653.10570156499</v>
      </c>
      <c r="AK178" s="1">
        <f>intersection_ss_Lden___surface[[#This Row],[surf m2 bout ss]]/intersection_ss_Lden___surface[[#This Row],[Shape_Area]]</f>
        <v>0.7048860170641037</v>
      </c>
      <c r="AL178">
        <v>2853</v>
      </c>
      <c r="AM178">
        <f>intersection_ss_Lden___surface[[#This Row],[Population totale 2024 ss]]*intersection_ss_Lden___surface[[#This Row],[Part de la surface du qs dans le noise contour]]</f>
        <v>2011.0398066838879</v>
      </c>
    </row>
    <row r="179" spans="1:39" x14ac:dyDescent="0.3">
      <c r="A179">
        <v>209</v>
      </c>
      <c r="B179" t="s">
        <v>367</v>
      </c>
      <c r="C179" t="s">
        <v>368</v>
      </c>
      <c r="D179" t="s">
        <v>369</v>
      </c>
      <c r="E179" t="s">
        <v>369</v>
      </c>
      <c r="F179" t="s">
        <v>363</v>
      </c>
      <c r="G179" t="s">
        <v>306</v>
      </c>
      <c r="H179" t="s">
        <v>307</v>
      </c>
      <c r="I179" t="s">
        <v>308</v>
      </c>
      <c r="J179" t="s">
        <v>36</v>
      </c>
      <c r="K179">
        <v>21004</v>
      </c>
      <c r="L179" t="s">
        <v>309</v>
      </c>
      <c r="M179" t="s">
        <v>310</v>
      </c>
      <c r="N179" t="s">
        <v>311</v>
      </c>
      <c r="O179">
        <v>21000</v>
      </c>
      <c r="P179" t="s">
        <v>46</v>
      </c>
      <c r="Q179" t="s">
        <v>47</v>
      </c>
      <c r="R179" t="s">
        <v>48</v>
      </c>
      <c r="T179" t="s">
        <v>36</v>
      </c>
      <c r="U179" t="s">
        <v>36</v>
      </c>
      <c r="V179" t="s">
        <v>36</v>
      </c>
      <c r="W179">
        <v>4000</v>
      </c>
      <c r="X179" t="s">
        <v>49</v>
      </c>
      <c r="Y179" t="s">
        <v>50</v>
      </c>
      <c r="Z179" t="s">
        <v>51</v>
      </c>
      <c r="AA179" t="s">
        <v>37</v>
      </c>
      <c r="AB179" t="s">
        <v>52</v>
      </c>
      <c r="AC179" t="s">
        <v>53</v>
      </c>
      <c r="AD179" t="s">
        <v>54</v>
      </c>
      <c r="AE179">
        <v>19.244379089799999</v>
      </c>
      <c r="AF179">
        <v>1825</v>
      </c>
      <c r="AG179">
        <v>1825.40227777</v>
      </c>
      <c r="AH179">
        <v>192446.86717799999</v>
      </c>
      <c r="AI179">
        <v>46</v>
      </c>
      <c r="AJ179">
        <v>56812.610160923497</v>
      </c>
      <c r="AK179" s="1">
        <f>intersection_ss_Lden___surface[[#This Row],[surf m2 bout ss]]/intersection_ss_Lden___surface[[#This Row],[Shape_Area]]</f>
        <v>0.29521192521349687</v>
      </c>
      <c r="AL179">
        <v>2853</v>
      </c>
      <c r="AM179">
        <f>intersection_ss_Lden___surface[[#This Row],[Population totale 2024 ss]]*intersection_ss_Lden___surface[[#This Row],[Part de la surface du qs dans le noise contour]]</f>
        <v>842.23962263410658</v>
      </c>
    </row>
    <row r="180" spans="1:39" x14ac:dyDescent="0.3">
      <c r="A180">
        <v>210</v>
      </c>
      <c r="B180" t="s">
        <v>370</v>
      </c>
      <c r="C180" t="s">
        <v>371</v>
      </c>
      <c r="D180" t="s">
        <v>372</v>
      </c>
      <c r="E180" t="s">
        <v>372</v>
      </c>
      <c r="F180" t="s">
        <v>363</v>
      </c>
      <c r="G180" t="s">
        <v>306</v>
      </c>
      <c r="H180" t="s">
        <v>307</v>
      </c>
      <c r="I180" t="s">
        <v>308</v>
      </c>
      <c r="J180" t="s">
        <v>36</v>
      </c>
      <c r="K180">
        <v>21004</v>
      </c>
      <c r="L180" t="s">
        <v>309</v>
      </c>
      <c r="M180" t="s">
        <v>310</v>
      </c>
      <c r="N180" t="s">
        <v>311</v>
      </c>
      <c r="O180">
        <v>21000</v>
      </c>
      <c r="P180" t="s">
        <v>46</v>
      </c>
      <c r="Q180" t="s">
        <v>47</v>
      </c>
      <c r="R180" t="s">
        <v>48</v>
      </c>
      <c r="T180" t="s">
        <v>36</v>
      </c>
      <c r="U180" t="s">
        <v>36</v>
      </c>
      <c r="V180" t="s">
        <v>36</v>
      </c>
      <c r="W180">
        <v>4000</v>
      </c>
      <c r="X180" t="s">
        <v>49</v>
      </c>
      <c r="Y180" t="s">
        <v>50</v>
      </c>
      <c r="Z180" t="s">
        <v>51</v>
      </c>
      <c r="AA180" t="s">
        <v>37</v>
      </c>
      <c r="AB180" t="s">
        <v>52</v>
      </c>
      <c r="AC180" t="s">
        <v>53</v>
      </c>
      <c r="AD180" t="s">
        <v>54</v>
      </c>
      <c r="AE180">
        <v>14.934780593499999</v>
      </c>
      <c r="AF180">
        <v>1595</v>
      </c>
      <c r="AG180">
        <v>1594.5680057300001</v>
      </c>
      <c r="AH180">
        <v>149350.212011</v>
      </c>
      <c r="AI180">
        <v>45</v>
      </c>
      <c r="AJ180">
        <v>1873.4823836609701</v>
      </c>
      <c r="AK180" s="1">
        <f>intersection_ss_Lden___surface[[#This Row],[surf m2 bout ss]]/intersection_ss_Lden___surface[[#This Row],[Shape_Area]]</f>
        <v>1.2544223127871982E-2</v>
      </c>
      <c r="AL180">
        <v>1305</v>
      </c>
      <c r="AM180">
        <f>intersection_ss_Lden___surface[[#This Row],[Population totale 2024 ss]]*intersection_ss_Lden___surface[[#This Row],[Part de la surface du qs dans le noise contour]]</f>
        <v>16.370211181872936</v>
      </c>
    </row>
    <row r="181" spans="1:39" x14ac:dyDescent="0.3">
      <c r="A181">
        <v>211</v>
      </c>
      <c r="B181" t="s">
        <v>370</v>
      </c>
      <c r="C181" t="s">
        <v>371</v>
      </c>
      <c r="D181" t="s">
        <v>372</v>
      </c>
      <c r="E181" t="s">
        <v>372</v>
      </c>
      <c r="F181" t="s">
        <v>363</v>
      </c>
      <c r="G181" t="s">
        <v>306</v>
      </c>
      <c r="H181" t="s">
        <v>307</v>
      </c>
      <c r="I181" t="s">
        <v>308</v>
      </c>
      <c r="J181" t="s">
        <v>36</v>
      </c>
      <c r="K181">
        <v>21004</v>
      </c>
      <c r="L181" t="s">
        <v>309</v>
      </c>
      <c r="M181" t="s">
        <v>310</v>
      </c>
      <c r="N181" t="s">
        <v>311</v>
      </c>
      <c r="O181">
        <v>21000</v>
      </c>
      <c r="P181" t="s">
        <v>46</v>
      </c>
      <c r="Q181" t="s">
        <v>47</v>
      </c>
      <c r="R181" t="s">
        <v>48</v>
      </c>
      <c r="T181" t="s">
        <v>36</v>
      </c>
      <c r="U181" t="s">
        <v>36</v>
      </c>
      <c r="V181" t="s">
        <v>36</v>
      </c>
      <c r="W181">
        <v>4000</v>
      </c>
      <c r="X181" t="s">
        <v>49</v>
      </c>
      <c r="Y181" t="s">
        <v>50</v>
      </c>
      <c r="Z181" t="s">
        <v>51</v>
      </c>
      <c r="AA181" t="s">
        <v>37</v>
      </c>
      <c r="AB181" t="s">
        <v>52</v>
      </c>
      <c r="AC181" t="s">
        <v>53</v>
      </c>
      <c r="AD181" t="s">
        <v>54</v>
      </c>
      <c r="AE181">
        <v>14.934780593499999</v>
      </c>
      <c r="AF181">
        <v>1595</v>
      </c>
      <c r="AG181">
        <v>1594.5680057300001</v>
      </c>
      <c r="AH181">
        <v>149350.212011</v>
      </c>
      <c r="AI181">
        <v>46</v>
      </c>
      <c r="AJ181">
        <v>109435.98822164501</v>
      </c>
      <c r="AK181" s="1">
        <f>intersection_ss_Lden___surface[[#This Row],[surf m2 bout ss]]/intersection_ss_Lden___surface[[#This Row],[Shape_Area]]</f>
        <v>0.73274745812603725</v>
      </c>
      <c r="AL181">
        <v>1305</v>
      </c>
      <c r="AM181">
        <f>intersection_ss_Lden___surface[[#This Row],[Population totale 2024 ss]]*intersection_ss_Lden___surface[[#This Row],[Part de la surface du qs dans le noise contour]]</f>
        <v>956.23543285447863</v>
      </c>
    </row>
    <row r="182" spans="1:39" x14ac:dyDescent="0.3">
      <c r="A182">
        <v>212</v>
      </c>
      <c r="B182" t="s">
        <v>370</v>
      </c>
      <c r="C182" t="s">
        <v>371</v>
      </c>
      <c r="D182" t="s">
        <v>372</v>
      </c>
      <c r="E182" t="s">
        <v>372</v>
      </c>
      <c r="F182" t="s">
        <v>363</v>
      </c>
      <c r="G182" t="s">
        <v>306</v>
      </c>
      <c r="H182" t="s">
        <v>307</v>
      </c>
      <c r="I182" t="s">
        <v>308</v>
      </c>
      <c r="J182" t="s">
        <v>36</v>
      </c>
      <c r="K182">
        <v>21004</v>
      </c>
      <c r="L182" t="s">
        <v>309</v>
      </c>
      <c r="M182" t="s">
        <v>310</v>
      </c>
      <c r="N182" t="s">
        <v>311</v>
      </c>
      <c r="O182">
        <v>21000</v>
      </c>
      <c r="P182" t="s">
        <v>46</v>
      </c>
      <c r="Q182" t="s">
        <v>47</v>
      </c>
      <c r="R182" t="s">
        <v>48</v>
      </c>
      <c r="T182" t="s">
        <v>36</v>
      </c>
      <c r="U182" t="s">
        <v>36</v>
      </c>
      <c r="V182" t="s">
        <v>36</v>
      </c>
      <c r="W182">
        <v>4000</v>
      </c>
      <c r="X182" t="s">
        <v>49</v>
      </c>
      <c r="Y182" t="s">
        <v>50</v>
      </c>
      <c r="Z182" t="s">
        <v>51</v>
      </c>
      <c r="AA182" t="s">
        <v>37</v>
      </c>
      <c r="AB182" t="s">
        <v>52</v>
      </c>
      <c r="AC182" t="s">
        <v>53</v>
      </c>
      <c r="AD182" t="s">
        <v>54</v>
      </c>
      <c r="AE182">
        <v>14.934780593499999</v>
      </c>
      <c r="AF182">
        <v>1595</v>
      </c>
      <c r="AG182">
        <v>1594.5680057300001</v>
      </c>
      <c r="AH182">
        <v>149350.212011</v>
      </c>
      <c r="AI182">
        <v>47</v>
      </c>
      <c r="AJ182">
        <v>38055.410648934499</v>
      </c>
      <c r="AK182" s="1">
        <f>intersection_ss_Lden___surface[[#This Row],[surf m2 bout ss]]/intersection_ss_Lden___surface[[#This Row],[Shape_Area]]</f>
        <v>0.2548065391840999</v>
      </c>
      <c r="AL182">
        <v>1305</v>
      </c>
      <c r="AM182">
        <f>intersection_ss_Lden___surface[[#This Row],[Population totale 2024 ss]]*intersection_ss_Lden___surface[[#This Row],[Part de la surface du qs dans le noise contour]]</f>
        <v>332.5225336352504</v>
      </c>
    </row>
    <row r="183" spans="1:39" x14ac:dyDescent="0.3">
      <c r="A183">
        <v>213</v>
      </c>
      <c r="B183" t="s">
        <v>373</v>
      </c>
      <c r="C183" t="s">
        <v>374</v>
      </c>
      <c r="D183" t="s">
        <v>375</v>
      </c>
      <c r="E183" t="s">
        <v>375</v>
      </c>
      <c r="F183" t="s">
        <v>363</v>
      </c>
      <c r="G183" t="s">
        <v>306</v>
      </c>
      <c r="H183" t="s">
        <v>307</v>
      </c>
      <c r="I183" t="s">
        <v>308</v>
      </c>
      <c r="J183" t="s">
        <v>36</v>
      </c>
      <c r="K183">
        <v>21004</v>
      </c>
      <c r="L183" t="s">
        <v>309</v>
      </c>
      <c r="M183" t="s">
        <v>310</v>
      </c>
      <c r="N183" t="s">
        <v>311</v>
      </c>
      <c r="O183">
        <v>21000</v>
      </c>
      <c r="P183" t="s">
        <v>46</v>
      </c>
      <c r="Q183" t="s">
        <v>47</v>
      </c>
      <c r="R183" t="s">
        <v>48</v>
      </c>
      <c r="T183" t="s">
        <v>36</v>
      </c>
      <c r="U183" t="s">
        <v>36</v>
      </c>
      <c r="V183" t="s">
        <v>36</v>
      </c>
      <c r="W183">
        <v>4000</v>
      </c>
      <c r="X183" t="s">
        <v>49</v>
      </c>
      <c r="Y183" t="s">
        <v>50</v>
      </c>
      <c r="Z183" t="s">
        <v>51</v>
      </c>
      <c r="AA183" t="s">
        <v>37</v>
      </c>
      <c r="AB183" t="s">
        <v>52</v>
      </c>
      <c r="AC183" t="s">
        <v>53</v>
      </c>
      <c r="AD183" t="s">
        <v>54</v>
      </c>
      <c r="AE183">
        <v>17.2332713387</v>
      </c>
      <c r="AF183">
        <v>1968</v>
      </c>
      <c r="AG183">
        <v>1968.3362475199999</v>
      </c>
      <c r="AH183">
        <v>172335.482857</v>
      </c>
      <c r="AI183">
        <v>46</v>
      </c>
      <c r="AJ183">
        <v>456.92052366444801</v>
      </c>
      <c r="AK183" s="1">
        <f>intersection_ss_Lden___surface[[#This Row],[surf m2 bout ss]]/intersection_ss_Lden___surface[[#This Row],[Shape_Area]]</f>
        <v>2.6513432758568361E-3</v>
      </c>
      <c r="AL183">
        <v>1561</v>
      </c>
      <c r="AM183">
        <f>intersection_ss_Lden___surface[[#This Row],[Population totale 2024 ss]]*intersection_ss_Lden___surface[[#This Row],[Part de la surface du qs dans le noise contour]]</f>
        <v>4.1387468536125214</v>
      </c>
    </row>
    <row r="184" spans="1:39" x14ac:dyDescent="0.3">
      <c r="A184">
        <v>214</v>
      </c>
      <c r="B184" t="s">
        <v>373</v>
      </c>
      <c r="C184" t="s">
        <v>374</v>
      </c>
      <c r="D184" t="s">
        <v>375</v>
      </c>
      <c r="E184" t="s">
        <v>375</v>
      </c>
      <c r="F184" t="s">
        <v>363</v>
      </c>
      <c r="G184" t="s">
        <v>306</v>
      </c>
      <c r="H184" t="s">
        <v>307</v>
      </c>
      <c r="I184" t="s">
        <v>308</v>
      </c>
      <c r="J184" t="s">
        <v>36</v>
      </c>
      <c r="K184">
        <v>21004</v>
      </c>
      <c r="L184" t="s">
        <v>309</v>
      </c>
      <c r="M184" t="s">
        <v>310</v>
      </c>
      <c r="N184" t="s">
        <v>311</v>
      </c>
      <c r="O184">
        <v>21000</v>
      </c>
      <c r="P184" t="s">
        <v>46</v>
      </c>
      <c r="Q184" t="s">
        <v>47</v>
      </c>
      <c r="R184" t="s">
        <v>48</v>
      </c>
      <c r="T184" t="s">
        <v>36</v>
      </c>
      <c r="U184" t="s">
        <v>36</v>
      </c>
      <c r="V184" t="s">
        <v>36</v>
      </c>
      <c r="W184">
        <v>4000</v>
      </c>
      <c r="X184" t="s">
        <v>49</v>
      </c>
      <c r="Y184" t="s">
        <v>50</v>
      </c>
      <c r="Z184" t="s">
        <v>51</v>
      </c>
      <c r="AA184" t="s">
        <v>37</v>
      </c>
      <c r="AB184" t="s">
        <v>52</v>
      </c>
      <c r="AC184" t="s">
        <v>53</v>
      </c>
      <c r="AD184" t="s">
        <v>54</v>
      </c>
      <c r="AE184">
        <v>17.2332713387</v>
      </c>
      <c r="AF184">
        <v>1968</v>
      </c>
      <c r="AG184">
        <v>1968.3362475199999</v>
      </c>
      <c r="AH184">
        <v>172335.482857</v>
      </c>
      <c r="AI184">
        <v>47</v>
      </c>
      <c r="AJ184">
        <v>117631.18854284</v>
      </c>
      <c r="AK184" s="1">
        <f>intersection_ss_Lden___surface[[#This Row],[surf m2 bout ss]]/intersection_ss_Lden___surface[[#This Row],[Shape_Area]]</f>
        <v>0.68257091686943916</v>
      </c>
      <c r="AL184">
        <v>1561</v>
      </c>
      <c r="AM184">
        <f>intersection_ss_Lden___surface[[#This Row],[Population totale 2024 ss]]*intersection_ss_Lden___surface[[#This Row],[Part de la surface du qs dans le noise contour]]</f>
        <v>1065.4932012331944</v>
      </c>
    </row>
    <row r="185" spans="1:39" x14ac:dyDescent="0.3">
      <c r="A185">
        <v>215</v>
      </c>
      <c r="B185" t="s">
        <v>373</v>
      </c>
      <c r="C185" t="s">
        <v>374</v>
      </c>
      <c r="D185" t="s">
        <v>375</v>
      </c>
      <c r="E185" t="s">
        <v>375</v>
      </c>
      <c r="F185" t="s">
        <v>363</v>
      </c>
      <c r="G185" t="s">
        <v>306</v>
      </c>
      <c r="H185" t="s">
        <v>307</v>
      </c>
      <c r="I185" t="s">
        <v>308</v>
      </c>
      <c r="J185" t="s">
        <v>36</v>
      </c>
      <c r="K185">
        <v>21004</v>
      </c>
      <c r="L185" t="s">
        <v>309</v>
      </c>
      <c r="M185" t="s">
        <v>310</v>
      </c>
      <c r="N185" t="s">
        <v>311</v>
      </c>
      <c r="O185">
        <v>21000</v>
      </c>
      <c r="P185" t="s">
        <v>46</v>
      </c>
      <c r="Q185" t="s">
        <v>47</v>
      </c>
      <c r="R185" t="s">
        <v>48</v>
      </c>
      <c r="T185" t="s">
        <v>36</v>
      </c>
      <c r="U185" t="s">
        <v>36</v>
      </c>
      <c r="V185" t="s">
        <v>36</v>
      </c>
      <c r="W185">
        <v>4000</v>
      </c>
      <c r="X185" t="s">
        <v>49</v>
      </c>
      <c r="Y185" t="s">
        <v>50</v>
      </c>
      <c r="Z185" t="s">
        <v>51</v>
      </c>
      <c r="AA185" t="s">
        <v>37</v>
      </c>
      <c r="AB185" t="s">
        <v>52</v>
      </c>
      <c r="AC185" t="s">
        <v>53</v>
      </c>
      <c r="AD185" t="s">
        <v>54</v>
      </c>
      <c r="AE185">
        <v>17.2332713387</v>
      </c>
      <c r="AF185">
        <v>1968</v>
      </c>
      <c r="AG185">
        <v>1968.3362475199999</v>
      </c>
      <c r="AH185">
        <v>172335.482857</v>
      </c>
      <c r="AI185">
        <v>48</v>
      </c>
      <c r="AJ185">
        <v>54264.132136560998</v>
      </c>
      <c r="AK185" s="1">
        <f>intersection_ss_Lden___surface[[#This Row],[surf m2 bout ss]]/intersection_ss_Lden___surface[[#This Row],[Shape_Area]]</f>
        <v>0.31487498242940559</v>
      </c>
      <c r="AL185">
        <v>1561</v>
      </c>
      <c r="AM185">
        <f>intersection_ss_Lden___surface[[#This Row],[Population totale 2024 ss]]*intersection_ss_Lden___surface[[#This Row],[Part de la surface du qs dans le noise contour]]</f>
        <v>491.51984757230213</v>
      </c>
    </row>
    <row r="186" spans="1:39" x14ac:dyDescent="0.3">
      <c r="A186">
        <v>216</v>
      </c>
      <c r="B186" t="s">
        <v>376</v>
      </c>
      <c r="C186" t="s">
        <v>377</v>
      </c>
      <c r="D186" t="s">
        <v>378</v>
      </c>
      <c r="E186" t="s">
        <v>378</v>
      </c>
      <c r="F186" t="s">
        <v>363</v>
      </c>
      <c r="G186" t="s">
        <v>306</v>
      </c>
      <c r="H186" t="s">
        <v>307</v>
      </c>
      <c r="I186" t="s">
        <v>308</v>
      </c>
      <c r="J186" t="s">
        <v>36</v>
      </c>
      <c r="K186">
        <v>21004</v>
      </c>
      <c r="L186" t="s">
        <v>309</v>
      </c>
      <c r="M186" t="s">
        <v>310</v>
      </c>
      <c r="N186" t="s">
        <v>311</v>
      </c>
      <c r="O186">
        <v>21000</v>
      </c>
      <c r="P186" t="s">
        <v>46</v>
      </c>
      <c r="Q186" t="s">
        <v>47</v>
      </c>
      <c r="R186" t="s">
        <v>48</v>
      </c>
      <c r="T186" t="s">
        <v>36</v>
      </c>
      <c r="U186" t="s">
        <v>36</v>
      </c>
      <c r="V186" t="s">
        <v>36</v>
      </c>
      <c r="W186">
        <v>4000</v>
      </c>
      <c r="X186" t="s">
        <v>49</v>
      </c>
      <c r="Y186" t="s">
        <v>50</v>
      </c>
      <c r="Z186" t="s">
        <v>51</v>
      </c>
      <c r="AA186" t="s">
        <v>37</v>
      </c>
      <c r="AB186" t="s">
        <v>52</v>
      </c>
      <c r="AC186" t="s">
        <v>53</v>
      </c>
      <c r="AD186" t="s">
        <v>54</v>
      </c>
      <c r="AE186">
        <v>10.749644200200001</v>
      </c>
      <c r="AF186">
        <v>1633</v>
      </c>
      <c r="AG186">
        <v>1633.1089693700001</v>
      </c>
      <c r="AH186">
        <v>107498.18172399999</v>
      </c>
      <c r="AI186">
        <v>45</v>
      </c>
      <c r="AJ186">
        <v>19445.353540395899</v>
      </c>
      <c r="AK186" s="1">
        <f>intersection_ss_Lden___surface[[#This Row],[surf m2 bout ss]]/intersection_ss_Lden___surface[[#This Row],[Shape_Area]]</f>
        <v>0.18089006928807</v>
      </c>
      <c r="AL186">
        <v>164</v>
      </c>
      <c r="AM186">
        <f>intersection_ss_Lden___surface[[#This Row],[Population totale 2024 ss]]*intersection_ss_Lden___surface[[#This Row],[Part de la surface du qs dans le noise contour]]</f>
        <v>29.665971363243479</v>
      </c>
    </row>
    <row r="187" spans="1:39" x14ac:dyDescent="0.3">
      <c r="A187">
        <v>217</v>
      </c>
      <c r="B187" t="s">
        <v>376</v>
      </c>
      <c r="C187" t="s">
        <v>377</v>
      </c>
      <c r="D187" t="s">
        <v>378</v>
      </c>
      <c r="E187" t="s">
        <v>378</v>
      </c>
      <c r="F187" t="s">
        <v>363</v>
      </c>
      <c r="G187" t="s">
        <v>306</v>
      </c>
      <c r="H187" t="s">
        <v>307</v>
      </c>
      <c r="I187" t="s">
        <v>308</v>
      </c>
      <c r="J187" t="s">
        <v>36</v>
      </c>
      <c r="K187">
        <v>21004</v>
      </c>
      <c r="L187" t="s">
        <v>309</v>
      </c>
      <c r="M187" t="s">
        <v>310</v>
      </c>
      <c r="N187" t="s">
        <v>311</v>
      </c>
      <c r="O187">
        <v>21000</v>
      </c>
      <c r="P187" t="s">
        <v>46</v>
      </c>
      <c r="Q187" t="s">
        <v>47</v>
      </c>
      <c r="R187" t="s">
        <v>48</v>
      </c>
      <c r="T187" t="s">
        <v>36</v>
      </c>
      <c r="U187" t="s">
        <v>36</v>
      </c>
      <c r="V187" t="s">
        <v>36</v>
      </c>
      <c r="W187">
        <v>4000</v>
      </c>
      <c r="X187" t="s">
        <v>49</v>
      </c>
      <c r="Y187" t="s">
        <v>50</v>
      </c>
      <c r="Z187" t="s">
        <v>51</v>
      </c>
      <c r="AA187" t="s">
        <v>37</v>
      </c>
      <c r="AB187" t="s">
        <v>52</v>
      </c>
      <c r="AC187" t="s">
        <v>53</v>
      </c>
      <c r="AD187" t="s">
        <v>54</v>
      </c>
      <c r="AE187">
        <v>10.749644200200001</v>
      </c>
      <c r="AF187">
        <v>1633</v>
      </c>
      <c r="AG187">
        <v>1633.1089693700001</v>
      </c>
      <c r="AH187">
        <v>107498.18172399999</v>
      </c>
      <c r="AI187">
        <v>46</v>
      </c>
      <c r="AJ187">
        <v>86211.903831065894</v>
      </c>
      <c r="AK187" s="1">
        <f>intersection_ss_Lden___surface[[#This Row],[surf m2 bout ss]]/intersection_ss_Lden___surface[[#This Row],[Shape_Area]]</f>
        <v>0.8019847633554742</v>
      </c>
      <c r="AL187">
        <v>164</v>
      </c>
      <c r="AM187">
        <f>intersection_ss_Lden___surface[[#This Row],[Population totale 2024 ss]]*intersection_ss_Lden___surface[[#This Row],[Part de la surface du qs dans le noise contour]]</f>
        <v>131.52550119029777</v>
      </c>
    </row>
    <row r="188" spans="1:39" x14ac:dyDescent="0.3">
      <c r="A188">
        <v>218</v>
      </c>
      <c r="B188" t="s">
        <v>376</v>
      </c>
      <c r="C188" t="s">
        <v>377</v>
      </c>
      <c r="D188" t="s">
        <v>378</v>
      </c>
      <c r="E188" t="s">
        <v>378</v>
      </c>
      <c r="F188" t="s">
        <v>363</v>
      </c>
      <c r="G188" t="s">
        <v>306</v>
      </c>
      <c r="H188" t="s">
        <v>307</v>
      </c>
      <c r="I188" t="s">
        <v>308</v>
      </c>
      <c r="J188" t="s">
        <v>36</v>
      </c>
      <c r="K188">
        <v>21004</v>
      </c>
      <c r="L188" t="s">
        <v>309</v>
      </c>
      <c r="M188" t="s">
        <v>310</v>
      </c>
      <c r="N188" t="s">
        <v>311</v>
      </c>
      <c r="O188">
        <v>21000</v>
      </c>
      <c r="P188" t="s">
        <v>46</v>
      </c>
      <c r="Q188" t="s">
        <v>47</v>
      </c>
      <c r="R188" t="s">
        <v>48</v>
      </c>
      <c r="T188" t="s">
        <v>36</v>
      </c>
      <c r="U188" t="s">
        <v>36</v>
      </c>
      <c r="V188" t="s">
        <v>36</v>
      </c>
      <c r="W188">
        <v>4000</v>
      </c>
      <c r="X188" t="s">
        <v>49</v>
      </c>
      <c r="Y188" t="s">
        <v>50</v>
      </c>
      <c r="Z188" t="s">
        <v>51</v>
      </c>
      <c r="AA188" t="s">
        <v>37</v>
      </c>
      <c r="AB188" t="s">
        <v>52</v>
      </c>
      <c r="AC188" t="s">
        <v>53</v>
      </c>
      <c r="AD188" t="s">
        <v>54</v>
      </c>
      <c r="AE188">
        <v>10.749644200200001</v>
      </c>
      <c r="AF188">
        <v>1633</v>
      </c>
      <c r="AG188">
        <v>1633.1089693700001</v>
      </c>
      <c r="AH188">
        <v>107498.18172399999</v>
      </c>
      <c r="AI188">
        <v>47</v>
      </c>
      <c r="AJ188">
        <v>1851.4275824241799</v>
      </c>
      <c r="AK188" s="1">
        <f>intersection_ss_Lden___surface[[#This Row],[surf m2 bout ss]]/intersection_ss_Lden___surface[[#This Row],[Shape_Area]]</f>
        <v>1.7222873473131787E-2</v>
      </c>
      <c r="AL188">
        <v>164</v>
      </c>
      <c r="AM188">
        <f>intersection_ss_Lden___surface[[#This Row],[Population totale 2024 ss]]*intersection_ss_Lden___surface[[#This Row],[Part de la surface du qs dans le noise contour]]</f>
        <v>2.8245512495936129</v>
      </c>
    </row>
    <row r="189" spans="1:39" x14ac:dyDescent="0.3">
      <c r="A189">
        <v>219</v>
      </c>
      <c r="B189" t="s">
        <v>379</v>
      </c>
      <c r="C189" t="s">
        <v>380</v>
      </c>
      <c r="D189" t="s">
        <v>381</v>
      </c>
      <c r="E189" t="s">
        <v>381</v>
      </c>
      <c r="F189" t="s">
        <v>382</v>
      </c>
      <c r="G189" t="s">
        <v>306</v>
      </c>
      <c r="H189" t="s">
        <v>307</v>
      </c>
      <c r="I189" t="s">
        <v>308</v>
      </c>
      <c r="J189" t="s">
        <v>36</v>
      </c>
      <c r="K189">
        <v>21004</v>
      </c>
      <c r="L189" t="s">
        <v>309</v>
      </c>
      <c r="M189" t="s">
        <v>310</v>
      </c>
      <c r="N189" t="s">
        <v>311</v>
      </c>
      <c r="O189">
        <v>21000</v>
      </c>
      <c r="P189" t="s">
        <v>46</v>
      </c>
      <c r="Q189" t="s">
        <v>47</v>
      </c>
      <c r="R189" t="s">
        <v>48</v>
      </c>
      <c r="T189" t="s">
        <v>36</v>
      </c>
      <c r="U189" t="s">
        <v>36</v>
      </c>
      <c r="V189" t="s">
        <v>36</v>
      </c>
      <c r="W189">
        <v>4000</v>
      </c>
      <c r="X189" t="s">
        <v>49</v>
      </c>
      <c r="Y189" t="s">
        <v>50</v>
      </c>
      <c r="Z189" t="s">
        <v>51</v>
      </c>
      <c r="AA189" t="s">
        <v>37</v>
      </c>
      <c r="AB189" t="s">
        <v>52</v>
      </c>
      <c r="AC189" t="s">
        <v>53</v>
      </c>
      <c r="AD189" t="s">
        <v>54</v>
      </c>
      <c r="AE189">
        <v>16.8734157106</v>
      </c>
      <c r="AF189">
        <v>1724</v>
      </c>
      <c r="AG189">
        <v>1723.7460147500001</v>
      </c>
      <c r="AH189">
        <v>168736.90481499999</v>
      </c>
      <c r="AI189">
        <v>45</v>
      </c>
      <c r="AJ189">
        <v>115996.00349693499</v>
      </c>
      <c r="AK189" s="1">
        <f>intersection_ss_Lden___surface[[#This Row],[surf m2 bout ss]]/intersection_ss_Lden___surface[[#This Row],[Shape_Area]]</f>
        <v>0.6874370702965712</v>
      </c>
      <c r="AL189">
        <v>4462</v>
      </c>
      <c r="AM189">
        <f>intersection_ss_Lden___surface[[#This Row],[Population totale 2024 ss]]*intersection_ss_Lden___surface[[#This Row],[Part de la surface du qs dans le noise contour]]</f>
        <v>3067.3442076633005</v>
      </c>
    </row>
    <row r="190" spans="1:39" x14ac:dyDescent="0.3">
      <c r="A190">
        <v>220</v>
      </c>
      <c r="B190" t="s">
        <v>383</v>
      </c>
      <c r="C190" t="s">
        <v>384</v>
      </c>
      <c r="D190" t="s">
        <v>385</v>
      </c>
      <c r="E190" t="s">
        <v>385</v>
      </c>
      <c r="F190" t="s">
        <v>382</v>
      </c>
      <c r="G190" t="s">
        <v>306</v>
      </c>
      <c r="H190" t="s">
        <v>307</v>
      </c>
      <c r="I190" t="s">
        <v>308</v>
      </c>
      <c r="J190" t="s">
        <v>36</v>
      </c>
      <c r="K190">
        <v>21004</v>
      </c>
      <c r="L190" t="s">
        <v>309</v>
      </c>
      <c r="M190" t="s">
        <v>310</v>
      </c>
      <c r="N190" t="s">
        <v>311</v>
      </c>
      <c r="O190">
        <v>21000</v>
      </c>
      <c r="P190" t="s">
        <v>46</v>
      </c>
      <c r="Q190" t="s">
        <v>47</v>
      </c>
      <c r="R190" t="s">
        <v>48</v>
      </c>
      <c r="T190" t="s">
        <v>36</v>
      </c>
      <c r="U190" t="s">
        <v>36</v>
      </c>
      <c r="V190" t="s">
        <v>36</v>
      </c>
      <c r="W190">
        <v>4000</v>
      </c>
      <c r="X190" t="s">
        <v>49</v>
      </c>
      <c r="Y190" t="s">
        <v>50</v>
      </c>
      <c r="Z190" t="s">
        <v>51</v>
      </c>
      <c r="AA190" t="s">
        <v>37</v>
      </c>
      <c r="AB190" t="s">
        <v>52</v>
      </c>
      <c r="AC190" t="s">
        <v>53</v>
      </c>
      <c r="AD190" t="s">
        <v>54</v>
      </c>
      <c r="AE190">
        <v>7.8787426577400002</v>
      </c>
      <c r="AF190">
        <v>1158</v>
      </c>
      <c r="AG190">
        <v>1158.0573617800001</v>
      </c>
      <c r="AH190">
        <v>78788.690506700004</v>
      </c>
      <c r="AI190">
        <v>45</v>
      </c>
      <c r="AJ190">
        <v>72169.178319631406</v>
      </c>
      <c r="AK190" s="1">
        <f>intersection_ss_Lden___surface[[#This Row],[surf m2 bout ss]]/intersection_ss_Lden___surface[[#This Row],[Shape_Area]]</f>
        <v>0.91598398013093396</v>
      </c>
      <c r="AL190">
        <v>1648</v>
      </c>
      <c r="AM190">
        <f>intersection_ss_Lden___surface[[#This Row],[Population totale 2024 ss]]*intersection_ss_Lden___surface[[#This Row],[Part de la surface du qs dans le noise contour]]</f>
        <v>1509.5415992557791</v>
      </c>
    </row>
    <row r="191" spans="1:39" x14ac:dyDescent="0.3">
      <c r="A191">
        <v>221</v>
      </c>
      <c r="B191" t="s">
        <v>386</v>
      </c>
      <c r="C191" t="s">
        <v>387</v>
      </c>
      <c r="D191" t="s">
        <v>388</v>
      </c>
      <c r="E191" t="s">
        <v>388</v>
      </c>
      <c r="F191" t="s">
        <v>382</v>
      </c>
      <c r="G191" t="s">
        <v>306</v>
      </c>
      <c r="H191" t="s">
        <v>307</v>
      </c>
      <c r="I191" t="s">
        <v>308</v>
      </c>
      <c r="J191" t="s">
        <v>36</v>
      </c>
      <c r="K191">
        <v>21004</v>
      </c>
      <c r="L191" t="s">
        <v>309</v>
      </c>
      <c r="M191" t="s">
        <v>310</v>
      </c>
      <c r="N191" t="s">
        <v>311</v>
      </c>
      <c r="O191">
        <v>21000</v>
      </c>
      <c r="P191" t="s">
        <v>46</v>
      </c>
      <c r="Q191" t="s">
        <v>47</v>
      </c>
      <c r="R191" t="s">
        <v>48</v>
      </c>
      <c r="T191" t="s">
        <v>36</v>
      </c>
      <c r="U191" t="s">
        <v>36</v>
      </c>
      <c r="V191" t="s">
        <v>36</v>
      </c>
      <c r="W191">
        <v>4000</v>
      </c>
      <c r="X191" t="s">
        <v>49</v>
      </c>
      <c r="Y191" t="s">
        <v>50</v>
      </c>
      <c r="Z191" t="s">
        <v>51</v>
      </c>
      <c r="AA191" t="s">
        <v>37</v>
      </c>
      <c r="AB191" t="s">
        <v>52</v>
      </c>
      <c r="AC191" t="s">
        <v>53</v>
      </c>
      <c r="AD191" t="s">
        <v>54</v>
      </c>
      <c r="AE191">
        <v>8.5958043129400004</v>
      </c>
      <c r="AF191">
        <v>1237</v>
      </c>
      <c r="AG191">
        <v>1236.7288529800001</v>
      </c>
      <c r="AH191">
        <v>85959.421565800003</v>
      </c>
      <c r="AI191">
        <v>45</v>
      </c>
      <c r="AJ191">
        <v>83521.694545175196</v>
      </c>
      <c r="AK191" s="1">
        <f>intersection_ss_Lden___surface[[#This Row],[surf m2 bout ss]]/intersection_ss_Lden___surface[[#This Row],[Shape_Area]]</f>
        <v>0.97164095597410716</v>
      </c>
      <c r="AL191">
        <v>1574</v>
      </c>
      <c r="AM191">
        <f>intersection_ss_Lden___surface[[#This Row],[Population totale 2024 ss]]*intersection_ss_Lden___surface[[#This Row],[Part de la surface du qs dans le noise contour]]</f>
        <v>1529.3628647032447</v>
      </c>
    </row>
    <row r="192" spans="1:39" x14ac:dyDescent="0.3">
      <c r="A192">
        <v>222</v>
      </c>
      <c r="B192" t="s">
        <v>386</v>
      </c>
      <c r="C192" t="s">
        <v>387</v>
      </c>
      <c r="D192" t="s">
        <v>388</v>
      </c>
      <c r="E192" t="s">
        <v>388</v>
      </c>
      <c r="F192" t="s">
        <v>382</v>
      </c>
      <c r="G192" t="s">
        <v>306</v>
      </c>
      <c r="H192" t="s">
        <v>307</v>
      </c>
      <c r="I192" t="s">
        <v>308</v>
      </c>
      <c r="J192" t="s">
        <v>36</v>
      </c>
      <c r="K192">
        <v>21004</v>
      </c>
      <c r="L192" t="s">
        <v>309</v>
      </c>
      <c r="M192" t="s">
        <v>310</v>
      </c>
      <c r="N192" t="s">
        <v>311</v>
      </c>
      <c r="O192">
        <v>21000</v>
      </c>
      <c r="P192" t="s">
        <v>46</v>
      </c>
      <c r="Q192" t="s">
        <v>47</v>
      </c>
      <c r="R192" t="s">
        <v>48</v>
      </c>
      <c r="T192" t="s">
        <v>36</v>
      </c>
      <c r="U192" t="s">
        <v>36</v>
      </c>
      <c r="V192" t="s">
        <v>36</v>
      </c>
      <c r="W192">
        <v>4000</v>
      </c>
      <c r="X192" t="s">
        <v>49</v>
      </c>
      <c r="Y192" t="s">
        <v>50</v>
      </c>
      <c r="Z192" t="s">
        <v>51</v>
      </c>
      <c r="AA192" t="s">
        <v>37</v>
      </c>
      <c r="AB192" t="s">
        <v>52</v>
      </c>
      <c r="AC192" t="s">
        <v>53</v>
      </c>
      <c r="AD192" t="s">
        <v>54</v>
      </c>
      <c r="AE192">
        <v>8.5958043129400004</v>
      </c>
      <c r="AF192">
        <v>1237</v>
      </c>
      <c r="AG192">
        <v>1236.7288529800001</v>
      </c>
      <c r="AH192">
        <v>85959.421565800003</v>
      </c>
      <c r="AI192">
        <v>46</v>
      </c>
      <c r="AJ192">
        <v>2446.3440655097402</v>
      </c>
      <c r="AK192" s="1">
        <f>intersection_ss_Lden___surface[[#This Row],[surf m2 bout ss]]/intersection_ss_Lden___surface[[#This Row],[Shape_Area]]</f>
        <v>2.8459289522290689E-2</v>
      </c>
      <c r="AL192">
        <v>1574</v>
      </c>
      <c r="AM192">
        <f>intersection_ss_Lden___surface[[#This Row],[Population totale 2024 ss]]*intersection_ss_Lden___surface[[#This Row],[Part de la surface du qs dans le noise contour]]</f>
        <v>44.794921708085546</v>
      </c>
    </row>
    <row r="193" spans="1:39" x14ac:dyDescent="0.3">
      <c r="A193">
        <v>223</v>
      </c>
      <c r="B193" t="s">
        <v>389</v>
      </c>
      <c r="C193" t="s">
        <v>390</v>
      </c>
      <c r="D193" t="s">
        <v>391</v>
      </c>
      <c r="E193" t="s">
        <v>391</v>
      </c>
      <c r="F193" t="s">
        <v>392</v>
      </c>
      <c r="G193" t="s">
        <v>306</v>
      </c>
      <c r="H193" t="s">
        <v>307</v>
      </c>
      <c r="I193" t="s">
        <v>308</v>
      </c>
      <c r="J193" t="s">
        <v>36</v>
      </c>
      <c r="K193">
        <v>21004</v>
      </c>
      <c r="L193" t="s">
        <v>309</v>
      </c>
      <c r="M193" t="s">
        <v>310</v>
      </c>
      <c r="N193" t="s">
        <v>311</v>
      </c>
      <c r="O193">
        <v>21000</v>
      </c>
      <c r="P193" t="s">
        <v>46</v>
      </c>
      <c r="Q193" t="s">
        <v>47</v>
      </c>
      <c r="R193" t="s">
        <v>48</v>
      </c>
      <c r="T193" t="s">
        <v>36</v>
      </c>
      <c r="U193" t="s">
        <v>36</v>
      </c>
      <c r="V193" t="s">
        <v>36</v>
      </c>
      <c r="W193">
        <v>4000</v>
      </c>
      <c r="X193" t="s">
        <v>49</v>
      </c>
      <c r="Y193" t="s">
        <v>50</v>
      </c>
      <c r="Z193" t="s">
        <v>51</v>
      </c>
      <c r="AA193" t="s">
        <v>37</v>
      </c>
      <c r="AB193" t="s">
        <v>52</v>
      </c>
      <c r="AC193" t="s">
        <v>53</v>
      </c>
      <c r="AD193" t="s">
        <v>54</v>
      </c>
      <c r="AE193">
        <v>11.6867859622</v>
      </c>
      <c r="AF193">
        <v>1801</v>
      </c>
      <c r="AG193">
        <v>1800.81288896</v>
      </c>
      <c r="AH193">
        <v>116869.739433</v>
      </c>
      <c r="AI193">
        <v>48</v>
      </c>
      <c r="AJ193">
        <v>1187.9573298171199</v>
      </c>
      <c r="AK193" s="1">
        <f>intersection_ss_Lden___surface[[#This Row],[surf m2 bout ss]]/intersection_ss_Lden___surface[[#This Row],[Shape_Area]]</f>
        <v>1.0164798309473099E-2</v>
      </c>
      <c r="AL193">
        <v>2728</v>
      </c>
      <c r="AM193">
        <f>intersection_ss_Lden___surface[[#This Row],[Population totale 2024 ss]]*intersection_ss_Lden___surface[[#This Row],[Part de la surface du qs dans le noise contour]]</f>
        <v>27.729569788242614</v>
      </c>
    </row>
    <row r="194" spans="1:39" x14ac:dyDescent="0.3">
      <c r="A194">
        <v>224</v>
      </c>
      <c r="B194" t="s">
        <v>389</v>
      </c>
      <c r="C194" t="s">
        <v>390</v>
      </c>
      <c r="D194" t="s">
        <v>391</v>
      </c>
      <c r="E194" t="s">
        <v>391</v>
      </c>
      <c r="F194" t="s">
        <v>392</v>
      </c>
      <c r="G194" t="s">
        <v>306</v>
      </c>
      <c r="H194" t="s">
        <v>307</v>
      </c>
      <c r="I194" t="s">
        <v>308</v>
      </c>
      <c r="J194" t="s">
        <v>36</v>
      </c>
      <c r="K194">
        <v>21004</v>
      </c>
      <c r="L194" t="s">
        <v>309</v>
      </c>
      <c r="M194" t="s">
        <v>310</v>
      </c>
      <c r="N194" t="s">
        <v>311</v>
      </c>
      <c r="O194">
        <v>21000</v>
      </c>
      <c r="P194" t="s">
        <v>46</v>
      </c>
      <c r="Q194" t="s">
        <v>47</v>
      </c>
      <c r="R194" t="s">
        <v>48</v>
      </c>
      <c r="T194" t="s">
        <v>36</v>
      </c>
      <c r="U194" t="s">
        <v>36</v>
      </c>
      <c r="V194" t="s">
        <v>36</v>
      </c>
      <c r="W194">
        <v>4000</v>
      </c>
      <c r="X194" t="s">
        <v>49</v>
      </c>
      <c r="Y194" t="s">
        <v>50</v>
      </c>
      <c r="Z194" t="s">
        <v>51</v>
      </c>
      <c r="AA194" t="s">
        <v>37</v>
      </c>
      <c r="AB194" t="s">
        <v>52</v>
      </c>
      <c r="AC194" t="s">
        <v>53</v>
      </c>
      <c r="AD194" t="s">
        <v>54</v>
      </c>
      <c r="AE194">
        <v>11.6867859622</v>
      </c>
      <c r="AF194">
        <v>1801</v>
      </c>
      <c r="AG194">
        <v>1800.81288896</v>
      </c>
      <c r="AH194">
        <v>116869.739433</v>
      </c>
      <c r="AI194">
        <v>49</v>
      </c>
      <c r="AJ194">
        <v>115693.058418973</v>
      </c>
      <c r="AK194" s="1">
        <f>intersection_ss_Lden___surface[[#This Row],[surf m2 bout ss]]/intersection_ss_Lden___surface[[#This Row],[Shape_Area]]</f>
        <v>0.98993168787972208</v>
      </c>
      <c r="AL194">
        <v>2728</v>
      </c>
      <c r="AM194">
        <f>intersection_ss_Lden___surface[[#This Row],[Population totale 2024 ss]]*intersection_ss_Lden___surface[[#This Row],[Part de la surface du qs dans le noise contour]]</f>
        <v>2700.5336445358816</v>
      </c>
    </row>
    <row r="195" spans="1:39" x14ac:dyDescent="0.3">
      <c r="A195">
        <v>225</v>
      </c>
      <c r="B195" t="s">
        <v>393</v>
      </c>
      <c r="C195" t="s">
        <v>394</v>
      </c>
      <c r="D195" t="s">
        <v>395</v>
      </c>
      <c r="E195" t="s">
        <v>395</v>
      </c>
      <c r="F195" t="s">
        <v>392</v>
      </c>
      <c r="G195" t="s">
        <v>306</v>
      </c>
      <c r="H195" t="s">
        <v>307</v>
      </c>
      <c r="I195" t="s">
        <v>308</v>
      </c>
      <c r="J195" t="s">
        <v>36</v>
      </c>
      <c r="K195">
        <v>21004</v>
      </c>
      <c r="L195" t="s">
        <v>309</v>
      </c>
      <c r="M195" t="s">
        <v>310</v>
      </c>
      <c r="N195" t="s">
        <v>311</v>
      </c>
      <c r="O195">
        <v>21000</v>
      </c>
      <c r="P195" t="s">
        <v>46</v>
      </c>
      <c r="Q195" t="s">
        <v>47</v>
      </c>
      <c r="R195" t="s">
        <v>48</v>
      </c>
      <c r="T195" t="s">
        <v>36</v>
      </c>
      <c r="U195" t="s">
        <v>36</v>
      </c>
      <c r="V195" t="s">
        <v>36</v>
      </c>
      <c r="W195">
        <v>4000</v>
      </c>
      <c r="X195" t="s">
        <v>49</v>
      </c>
      <c r="Y195" t="s">
        <v>50</v>
      </c>
      <c r="Z195" t="s">
        <v>51</v>
      </c>
      <c r="AA195" t="s">
        <v>37</v>
      </c>
      <c r="AB195" t="s">
        <v>52</v>
      </c>
      <c r="AC195" t="s">
        <v>53</v>
      </c>
      <c r="AD195" t="s">
        <v>54</v>
      </c>
      <c r="AE195">
        <v>3.4978536461899998</v>
      </c>
      <c r="AF195">
        <v>1091</v>
      </c>
      <c r="AG195">
        <v>1091.1834521000001</v>
      </c>
      <c r="AH195">
        <v>34979.101882199997</v>
      </c>
      <c r="AI195">
        <v>48</v>
      </c>
      <c r="AJ195">
        <v>6123.7332274988303</v>
      </c>
      <c r="AK195" s="1">
        <f>intersection_ss_Lden___surface[[#This Row],[surf m2 bout ss]]/intersection_ss_Lden___surface[[#This Row],[Shape_Area]]</f>
        <v>0.17506833789277612</v>
      </c>
      <c r="AL195">
        <v>814</v>
      </c>
      <c r="AM195">
        <f>intersection_ss_Lden___surface[[#This Row],[Population totale 2024 ss]]*intersection_ss_Lden___surface[[#This Row],[Part de la surface du qs dans le noise contour]]</f>
        <v>142.50562704471977</v>
      </c>
    </row>
    <row r="196" spans="1:39" x14ac:dyDescent="0.3">
      <c r="A196">
        <v>226</v>
      </c>
      <c r="B196" t="s">
        <v>393</v>
      </c>
      <c r="C196" t="s">
        <v>394</v>
      </c>
      <c r="D196" t="s">
        <v>395</v>
      </c>
      <c r="E196" t="s">
        <v>395</v>
      </c>
      <c r="F196" t="s">
        <v>392</v>
      </c>
      <c r="G196" t="s">
        <v>306</v>
      </c>
      <c r="H196" t="s">
        <v>307</v>
      </c>
      <c r="I196" t="s">
        <v>308</v>
      </c>
      <c r="J196" t="s">
        <v>36</v>
      </c>
      <c r="K196">
        <v>21004</v>
      </c>
      <c r="L196" t="s">
        <v>309</v>
      </c>
      <c r="M196" t="s">
        <v>310</v>
      </c>
      <c r="N196" t="s">
        <v>311</v>
      </c>
      <c r="O196">
        <v>21000</v>
      </c>
      <c r="P196" t="s">
        <v>46</v>
      </c>
      <c r="Q196" t="s">
        <v>47</v>
      </c>
      <c r="R196" t="s">
        <v>48</v>
      </c>
      <c r="T196" t="s">
        <v>36</v>
      </c>
      <c r="U196" t="s">
        <v>36</v>
      </c>
      <c r="V196" t="s">
        <v>36</v>
      </c>
      <c r="W196">
        <v>4000</v>
      </c>
      <c r="X196" t="s">
        <v>49</v>
      </c>
      <c r="Y196" t="s">
        <v>50</v>
      </c>
      <c r="Z196" t="s">
        <v>51</v>
      </c>
      <c r="AA196" t="s">
        <v>37</v>
      </c>
      <c r="AB196" t="s">
        <v>52</v>
      </c>
      <c r="AC196" t="s">
        <v>53</v>
      </c>
      <c r="AD196" t="s">
        <v>54</v>
      </c>
      <c r="AE196">
        <v>3.4978536461899998</v>
      </c>
      <c r="AF196">
        <v>1091</v>
      </c>
      <c r="AG196">
        <v>1091.1834521000001</v>
      </c>
      <c r="AH196">
        <v>34979.101882199997</v>
      </c>
      <c r="AI196">
        <v>49</v>
      </c>
      <c r="AJ196">
        <v>28858.744121395099</v>
      </c>
      <c r="AK196" s="1">
        <f>intersection_ss_Lden___surface[[#This Row],[surf m2 bout ss]]/intersection_ss_Lden___surface[[#This Row],[Shape_Area]]</f>
        <v>0.825028161631577</v>
      </c>
      <c r="AL196">
        <v>814</v>
      </c>
      <c r="AM196">
        <f>intersection_ss_Lden___surface[[#This Row],[Population totale 2024 ss]]*intersection_ss_Lden___surface[[#This Row],[Part de la surface du qs dans le noise contour]]</f>
        <v>671.57292356810365</v>
      </c>
    </row>
    <row r="197" spans="1:39" x14ac:dyDescent="0.3">
      <c r="A197">
        <v>227</v>
      </c>
      <c r="B197" t="s">
        <v>396</v>
      </c>
      <c r="C197" t="s">
        <v>397</v>
      </c>
      <c r="D197" t="s">
        <v>398</v>
      </c>
      <c r="E197" t="s">
        <v>398</v>
      </c>
      <c r="F197" t="s">
        <v>392</v>
      </c>
      <c r="G197" t="s">
        <v>306</v>
      </c>
      <c r="H197" t="s">
        <v>307</v>
      </c>
      <c r="I197" t="s">
        <v>308</v>
      </c>
      <c r="J197" t="s">
        <v>36</v>
      </c>
      <c r="K197">
        <v>21004</v>
      </c>
      <c r="L197" t="s">
        <v>309</v>
      </c>
      <c r="M197" t="s">
        <v>310</v>
      </c>
      <c r="N197" t="s">
        <v>311</v>
      </c>
      <c r="O197">
        <v>21000</v>
      </c>
      <c r="P197" t="s">
        <v>46</v>
      </c>
      <c r="Q197" t="s">
        <v>47</v>
      </c>
      <c r="R197" t="s">
        <v>48</v>
      </c>
      <c r="T197" t="s">
        <v>36</v>
      </c>
      <c r="U197" t="s">
        <v>36</v>
      </c>
      <c r="V197" t="s">
        <v>36</v>
      </c>
      <c r="W197">
        <v>4000</v>
      </c>
      <c r="X197" t="s">
        <v>49</v>
      </c>
      <c r="Y197" t="s">
        <v>50</v>
      </c>
      <c r="Z197" t="s">
        <v>51</v>
      </c>
      <c r="AA197" t="s">
        <v>37</v>
      </c>
      <c r="AB197" t="s">
        <v>52</v>
      </c>
      <c r="AC197" t="s">
        <v>53</v>
      </c>
      <c r="AD197" t="s">
        <v>54</v>
      </c>
      <c r="AE197">
        <v>8.0019989266899998</v>
      </c>
      <c r="AF197">
        <v>1358</v>
      </c>
      <c r="AG197">
        <v>1357.6803842300001</v>
      </c>
      <c r="AH197">
        <v>80021.254576199994</v>
      </c>
      <c r="AI197">
        <v>47</v>
      </c>
      <c r="AJ197">
        <v>23032.597115022101</v>
      </c>
      <c r="AK197" s="1">
        <f>intersection_ss_Lden___surface[[#This Row],[surf m2 bout ss]]/intersection_ss_Lden___surface[[#This Row],[Shape_Area]]</f>
        <v>0.28783099236577681</v>
      </c>
      <c r="AL197">
        <v>1698</v>
      </c>
      <c r="AM197">
        <f>intersection_ss_Lden___surface[[#This Row],[Population totale 2024 ss]]*intersection_ss_Lden___surface[[#This Row],[Part de la surface du qs dans le noise contour]]</f>
        <v>488.73702503708904</v>
      </c>
    </row>
    <row r="198" spans="1:39" x14ac:dyDescent="0.3">
      <c r="A198">
        <v>228</v>
      </c>
      <c r="B198" t="s">
        <v>396</v>
      </c>
      <c r="C198" t="s">
        <v>397</v>
      </c>
      <c r="D198" t="s">
        <v>398</v>
      </c>
      <c r="E198" t="s">
        <v>398</v>
      </c>
      <c r="F198" t="s">
        <v>392</v>
      </c>
      <c r="G198" t="s">
        <v>306</v>
      </c>
      <c r="H198" t="s">
        <v>307</v>
      </c>
      <c r="I198" t="s">
        <v>308</v>
      </c>
      <c r="J198" t="s">
        <v>36</v>
      </c>
      <c r="K198">
        <v>21004</v>
      </c>
      <c r="L198" t="s">
        <v>309</v>
      </c>
      <c r="M198" t="s">
        <v>310</v>
      </c>
      <c r="N198" t="s">
        <v>311</v>
      </c>
      <c r="O198">
        <v>21000</v>
      </c>
      <c r="P198" t="s">
        <v>46</v>
      </c>
      <c r="Q198" t="s">
        <v>47</v>
      </c>
      <c r="R198" t="s">
        <v>48</v>
      </c>
      <c r="T198" t="s">
        <v>36</v>
      </c>
      <c r="U198" t="s">
        <v>36</v>
      </c>
      <c r="V198" t="s">
        <v>36</v>
      </c>
      <c r="W198">
        <v>4000</v>
      </c>
      <c r="X198" t="s">
        <v>49</v>
      </c>
      <c r="Y198" t="s">
        <v>50</v>
      </c>
      <c r="Z198" t="s">
        <v>51</v>
      </c>
      <c r="AA198" t="s">
        <v>37</v>
      </c>
      <c r="AB198" t="s">
        <v>52</v>
      </c>
      <c r="AC198" t="s">
        <v>53</v>
      </c>
      <c r="AD198" t="s">
        <v>54</v>
      </c>
      <c r="AE198">
        <v>8.0019989266899998</v>
      </c>
      <c r="AF198">
        <v>1358</v>
      </c>
      <c r="AG198">
        <v>1357.6803842300001</v>
      </c>
      <c r="AH198">
        <v>80021.254576199994</v>
      </c>
      <c r="AI198">
        <v>48</v>
      </c>
      <c r="AJ198">
        <v>56803.775868094497</v>
      </c>
      <c r="AK198" s="1">
        <f>intersection_ss_Lden___surface[[#This Row],[surf m2 bout ss]]/intersection_ss_Lden___surface[[#This Row],[Shape_Area]]</f>
        <v>0.70985860155445668</v>
      </c>
      <c r="AL198">
        <v>1698</v>
      </c>
      <c r="AM198">
        <f>intersection_ss_Lden___surface[[#This Row],[Population totale 2024 ss]]*intersection_ss_Lden___surface[[#This Row],[Part de la surface du qs dans le noise contour]]</f>
        <v>1205.3399054394674</v>
      </c>
    </row>
    <row r="199" spans="1:39" x14ac:dyDescent="0.3">
      <c r="A199">
        <v>229</v>
      </c>
      <c r="B199" t="s">
        <v>396</v>
      </c>
      <c r="C199" t="s">
        <v>397</v>
      </c>
      <c r="D199" t="s">
        <v>398</v>
      </c>
      <c r="E199" t="s">
        <v>398</v>
      </c>
      <c r="F199" t="s">
        <v>392</v>
      </c>
      <c r="G199" t="s">
        <v>306</v>
      </c>
      <c r="H199" t="s">
        <v>307</v>
      </c>
      <c r="I199" t="s">
        <v>308</v>
      </c>
      <c r="J199" t="s">
        <v>36</v>
      </c>
      <c r="K199">
        <v>21004</v>
      </c>
      <c r="L199" t="s">
        <v>309</v>
      </c>
      <c r="M199" t="s">
        <v>310</v>
      </c>
      <c r="N199" t="s">
        <v>311</v>
      </c>
      <c r="O199">
        <v>21000</v>
      </c>
      <c r="P199" t="s">
        <v>46</v>
      </c>
      <c r="Q199" t="s">
        <v>47</v>
      </c>
      <c r="R199" t="s">
        <v>48</v>
      </c>
      <c r="T199" t="s">
        <v>36</v>
      </c>
      <c r="U199" t="s">
        <v>36</v>
      </c>
      <c r="V199" t="s">
        <v>36</v>
      </c>
      <c r="W199">
        <v>4000</v>
      </c>
      <c r="X199" t="s">
        <v>49</v>
      </c>
      <c r="Y199" t="s">
        <v>50</v>
      </c>
      <c r="Z199" t="s">
        <v>51</v>
      </c>
      <c r="AA199" t="s">
        <v>37</v>
      </c>
      <c r="AB199" t="s">
        <v>52</v>
      </c>
      <c r="AC199" t="s">
        <v>53</v>
      </c>
      <c r="AD199" t="s">
        <v>54</v>
      </c>
      <c r="AE199">
        <v>8.0019989266899998</v>
      </c>
      <c r="AF199">
        <v>1358</v>
      </c>
      <c r="AG199">
        <v>1357.6803842300001</v>
      </c>
      <c r="AH199">
        <v>80021.254576199994</v>
      </c>
      <c r="AI199">
        <v>49</v>
      </c>
      <c r="AJ199">
        <v>192.656554110348</v>
      </c>
      <c r="AK199" s="1">
        <f>intersection_ss_Lden___surface[[#This Row],[surf m2 bout ss]]/intersection_ss_Lden___surface[[#This Row],[Shape_Area]]</f>
        <v>2.4075672786021043E-3</v>
      </c>
      <c r="AL199">
        <v>1698</v>
      </c>
      <c r="AM199">
        <f>intersection_ss_Lden___surface[[#This Row],[Population totale 2024 ss]]*intersection_ss_Lden___surface[[#This Row],[Part de la surface du qs dans le noise contour]]</f>
        <v>4.0880492390663727</v>
      </c>
    </row>
    <row r="200" spans="1:39" x14ac:dyDescent="0.3">
      <c r="A200">
        <v>230</v>
      </c>
      <c r="B200" t="s">
        <v>399</v>
      </c>
      <c r="C200" t="s">
        <v>400</v>
      </c>
      <c r="D200" t="s">
        <v>401</v>
      </c>
      <c r="E200" t="s">
        <v>401</v>
      </c>
      <c r="F200" t="s">
        <v>402</v>
      </c>
      <c r="G200" t="s">
        <v>403</v>
      </c>
      <c r="H200" t="s">
        <v>404</v>
      </c>
      <c r="I200" t="s">
        <v>405</v>
      </c>
      <c r="J200" t="s">
        <v>36</v>
      </c>
      <c r="K200">
        <v>21004</v>
      </c>
      <c r="L200" t="s">
        <v>309</v>
      </c>
      <c r="M200" t="s">
        <v>310</v>
      </c>
      <c r="N200" t="s">
        <v>311</v>
      </c>
      <c r="O200">
        <v>21000</v>
      </c>
      <c r="P200" t="s">
        <v>46</v>
      </c>
      <c r="Q200" t="s">
        <v>47</v>
      </c>
      <c r="R200" t="s">
        <v>48</v>
      </c>
      <c r="T200" t="s">
        <v>36</v>
      </c>
      <c r="U200" t="s">
        <v>36</v>
      </c>
      <c r="V200" t="s">
        <v>36</v>
      </c>
      <c r="W200">
        <v>4000</v>
      </c>
      <c r="X200" t="s">
        <v>49</v>
      </c>
      <c r="Y200" t="s">
        <v>50</v>
      </c>
      <c r="Z200" t="s">
        <v>51</v>
      </c>
      <c r="AA200" t="s">
        <v>37</v>
      </c>
      <c r="AB200" t="s">
        <v>52</v>
      </c>
      <c r="AC200" t="s">
        <v>53</v>
      </c>
      <c r="AD200" t="s">
        <v>54</v>
      </c>
      <c r="AE200">
        <v>15.9698685179</v>
      </c>
      <c r="AF200">
        <v>1791</v>
      </c>
      <c r="AG200">
        <v>1791.1618122699999</v>
      </c>
      <c r="AH200">
        <v>159701.25260099999</v>
      </c>
      <c r="AI200">
        <v>45</v>
      </c>
      <c r="AJ200">
        <v>1855.19329041429</v>
      </c>
      <c r="AK200" s="1">
        <f>intersection_ss_Lden___surface[[#This Row],[surf m2 bout ss]]/intersection_ss_Lden___surface[[#This Row],[Shape_Area]]</f>
        <v>1.1616648336812566E-2</v>
      </c>
      <c r="AL200">
        <v>782</v>
      </c>
      <c r="AM200">
        <f>intersection_ss_Lden___surface[[#This Row],[Population totale 2024 ss]]*intersection_ss_Lden___surface[[#This Row],[Part de la surface du qs dans le noise contour]]</f>
        <v>9.0842189993874261</v>
      </c>
    </row>
    <row r="201" spans="1:39" x14ac:dyDescent="0.3">
      <c r="A201">
        <v>231</v>
      </c>
      <c r="B201" t="s">
        <v>406</v>
      </c>
      <c r="C201" t="s">
        <v>407</v>
      </c>
      <c r="D201" t="s">
        <v>408</v>
      </c>
      <c r="E201" t="s">
        <v>408</v>
      </c>
      <c r="F201" t="s">
        <v>409</v>
      </c>
      <c r="G201" t="s">
        <v>403</v>
      </c>
      <c r="H201" t="s">
        <v>404</v>
      </c>
      <c r="I201" t="s">
        <v>405</v>
      </c>
      <c r="J201" t="s">
        <v>36</v>
      </c>
      <c r="K201">
        <v>21004</v>
      </c>
      <c r="L201" t="s">
        <v>309</v>
      </c>
      <c r="M201" t="s">
        <v>310</v>
      </c>
      <c r="N201" t="s">
        <v>311</v>
      </c>
      <c r="O201">
        <v>21000</v>
      </c>
      <c r="P201" t="s">
        <v>46</v>
      </c>
      <c r="Q201" t="s">
        <v>47</v>
      </c>
      <c r="R201" t="s">
        <v>48</v>
      </c>
      <c r="T201" t="s">
        <v>36</v>
      </c>
      <c r="U201" t="s">
        <v>36</v>
      </c>
      <c r="V201" t="s">
        <v>36</v>
      </c>
      <c r="W201">
        <v>4000</v>
      </c>
      <c r="X201" t="s">
        <v>49</v>
      </c>
      <c r="Y201" t="s">
        <v>50</v>
      </c>
      <c r="Z201" t="s">
        <v>51</v>
      </c>
      <c r="AA201" t="s">
        <v>37</v>
      </c>
      <c r="AB201" t="s">
        <v>52</v>
      </c>
      <c r="AC201" t="s">
        <v>53</v>
      </c>
      <c r="AD201" t="s">
        <v>54</v>
      </c>
      <c r="AE201">
        <v>11.144715059299999</v>
      </c>
      <c r="AF201">
        <v>1769</v>
      </c>
      <c r="AG201">
        <v>1768.9980981900001</v>
      </c>
      <c r="AH201">
        <v>111448.93954199999</v>
      </c>
      <c r="AI201">
        <v>45</v>
      </c>
      <c r="AJ201">
        <v>26990.206456722099</v>
      </c>
      <c r="AK201" s="1">
        <f>intersection_ss_Lden___surface[[#This Row],[surf m2 bout ss]]/intersection_ss_Lden___surface[[#This Row],[Shape_Area]]</f>
        <v>0.24217553408438425</v>
      </c>
      <c r="AL201">
        <v>1753</v>
      </c>
      <c r="AM201">
        <f>intersection_ss_Lden___surface[[#This Row],[Population totale 2024 ss]]*intersection_ss_Lden___surface[[#This Row],[Part de la surface du qs dans le noise contour]]</f>
        <v>424.5337112499256</v>
      </c>
    </row>
    <row r="202" spans="1:39" x14ac:dyDescent="0.3">
      <c r="A202">
        <v>232</v>
      </c>
      <c r="B202" t="s">
        <v>410</v>
      </c>
      <c r="C202" t="s">
        <v>411</v>
      </c>
      <c r="D202" t="s">
        <v>412</v>
      </c>
      <c r="E202" t="s">
        <v>412</v>
      </c>
      <c r="F202" t="s">
        <v>409</v>
      </c>
      <c r="G202" t="s">
        <v>403</v>
      </c>
      <c r="H202" t="s">
        <v>404</v>
      </c>
      <c r="I202" t="s">
        <v>405</v>
      </c>
      <c r="J202" t="s">
        <v>36</v>
      </c>
      <c r="K202">
        <v>21004</v>
      </c>
      <c r="L202" t="s">
        <v>309</v>
      </c>
      <c r="M202" t="s">
        <v>310</v>
      </c>
      <c r="N202" t="s">
        <v>311</v>
      </c>
      <c r="O202">
        <v>21000</v>
      </c>
      <c r="P202" t="s">
        <v>46</v>
      </c>
      <c r="Q202" t="s">
        <v>47</v>
      </c>
      <c r="R202" t="s">
        <v>48</v>
      </c>
      <c r="T202" t="s">
        <v>36</v>
      </c>
      <c r="U202" t="s">
        <v>36</v>
      </c>
      <c r="V202" t="s">
        <v>36</v>
      </c>
      <c r="W202">
        <v>4000</v>
      </c>
      <c r="X202" t="s">
        <v>49</v>
      </c>
      <c r="Y202" t="s">
        <v>50</v>
      </c>
      <c r="Z202" t="s">
        <v>51</v>
      </c>
      <c r="AA202" t="s">
        <v>37</v>
      </c>
      <c r="AB202" t="s">
        <v>52</v>
      </c>
      <c r="AC202" t="s">
        <v>53</v>
      </c>
      <c r="AD202" t="s">
        <v>54</v>
      </c>
      <c r="AE202">
        <v>22.5101932482</v>
      </c>
      <c r="AF202">
        <v>1998</v>
      </c>
      <c r="AG202">
        <v>1998.44329606</v>
      </c>
      <c r="AH202">
        <v>225105.55688600001</v>
      </c>
      <c r="AI202">
        <v>45</v>
      </c>
      <c r="AJ202">
        <v>132505.15778084399</v>
      </c>
      <c r="AK202" s="1">
        <f>intersection_ss_Lden___surface[[#This Row],[surf m2 bout ss]]/intersection_ss_Lden___surface[[#This Row],[Shape_Area]]</f>
        <v>0.58863565881649227</v>
      </c>
      <c r="AL202">
        <v>4099</v>
      </c>
      <c r="AM202">
        <f>intersection_ss_Lden___surface[[#This Row],[Population totale 2024 ss]]*intersection_ss_Lden___surface[[#This Row],[Part de la surface du qs dans le noise contour]]</f>
        <v>2412.8175654888018</v>
      </c>
    </row>
    <row r="203" spans="1:39" x14ac:dyDescent="0.3">
      <c r="A203">
        <v>233</v>
      </c>
      <c r="B203" t="s">
        <v>410</v>
      </c>
      <c r="C203" t="s">
        <v>411</v>
      </c>
      <c r="D203" t="s">
        <v>412</v>
      </c>
      <c r="E203" t="s">
        <v>412</v>
      </c>
      <c r="F203" t="s">
        <v>409</v>
      </c>
      <c r="G203" t="s">
        <v>403</v>
      </c>
      <c r="H203" t="s">
        <v>404</v>
      </c>
      <c r="I203" t="s">
        <v>405</v>
      </c>
      <c r="J203" t="s">
        <v>36</v>
      </c>
      <c r="K203">
        <v>21004</v>
      </c>
      <c r="L203" t="s">
        <v>309</v>
      </c>
      <c r="M203" t="s">
        <v>310</v>
      </c>
      <c r="N203" t="s">
        <v>311</v>
      </c>
      <c r="O203">
        <v>21000</v>
      </c>
      <c r="P203" t="s">
        <v>46</v>
      </c>
      <c r="Q203" t="s">
        <v>47</v>
      </c>
      <c r="R203" t="s">
        <v>48</v>
      </c>
      <c r="T203" t="s">
        <v>36</v>
      </c>
      <c r="U203" t="s">
        <v>36</v>
      </c>
      <c r="V203" t="s">
        <v>36</v>
      </c>
      <c r="W203">
        <v>4000</v>
      </c>
      <c r="X203" t="s">
        <v>49</v>
      </c>
      <c r="Y203" t="s">
        <v>50</v>
      </c>
      <c r="Z203" t="s">
        <v>51</v>
      </c>
      <c r="AA203" t="s">
        <v>37</v>
      </c>
      <c r="AB203" t="s">
        <v>52</v>
      </c>
      <c r="AC203" t="s">
        <v>53</v>
      </c>
      <c r="AD203" t="s">
        <v>54</v>
      </c>
      <c r="AE203">
        <v>22.5101932482</v>
      </c>
      <c r="AF203">
        <v>1998</v>
      </c>
      <c r="AG203">
        <v>1998.44329606</v>
      </c>
      <c r="AH203">
        <v>225105.55688600001</v>
      </c>
      <c r="AI203">
        <v>46</v>
      </c>
      <c r="AJ203">
        <v>2501.0763052863199</v>
      </c>
      <c r="AK203" s="1">
        <f>intersection_ss_Lden___surface[[#This Row],[surf m2 bout ss]]/intersection_ss_Lden___surface[[#This Row],[Shape_Area]]</f>
        <v>1.1110682205650471E-2</v>
      </c>
      <c r="AL203">
        <v>4099</v>
      </c>
      <c r="AM203">
        <f>intersection_ss_Lden___surface[[#This Row],[Population totale 2024 ss]]*intersection_ss_Lden___surface[[#This Row],[Part de la surface du qs dans le noise contour]]</f>
        <v>45.542686360961277</v>
      </c>
    </row>
    <row r="204" spans="1:39" x14ac:dyDescent="0.3">
      <c r="A204">
        <v>234</v>
      </c>
      <c r="B204" t="s">
        <v>413</v>
      </c>
      <c r="C204" t="s">
        <v>414</v>
      </c>
      <c r="D204" t="s">
        <v>415</v>
      </c>
      <c r="E204" t="s">
        <v>415</v>
      </c>
      <c r="F204" t="s">
        <v>409</v>
      </c>
      <c r="G204" t="s">
        <v>403</v>
      </c>
      <c r="H204" t="s">
        <v>404</v>
      </c>
      <c r="I204" t="s">
        <v>405</v>
      </c>
      <c r="J204" t="s">
        <v>36</v>
      </c>
      <c r="K204">
        <v>21004</v>
      </c>
      <c r="L204" t="s">
        <v>309</v>
      </c>
      <c r="M204" t="s">
        <v>310</v>
      </c>
      <c r="N204" t="s">
        <v>311</v>
      </c>
      <c r="O204">
        <v>21000</v>
      </c>
      <c r="P204" t="s">
        <v>46</v>
      </c>
      <c r="Q204" t="s">
        <v>47</v>
      </c>
      <c r="R204" t="s">
        <v>48</v>
      </c>
      <c r="T204" t="s">
        <v>36</v>
      </c>
      <c r="U204" t="s">
        <v>36</v>
      </c>
      <c r="V204" t="s">
        <v>36</v>
      </c>
      <c r="W204">
        <v>4000</v>
      </c>
      <c r="X204" t="s">
        <v>49</v>
      </c>
      <c r="Y204" t="s">
        <v>50</v>
      </c>
      <c r="Z204" t="s">
        <v>51</v>
      </c>
      <c r="AA204" t="s">
        <v>37</v>
      </c>
      <c r="AB204" t="s">
        <v>52</v>
      </c>
      <c r="AC204" t="s">
        <v>53</v>
      </c>
      <c r="AD204" t="s">
        <v>54</v>
      </c>
      <c r="AE204">
        <v>25.414791017999999</v>
      </c>
      <c r="AF204">
        <v>2271</v>
      </c>
      <c r="AG204">
        <v>2271.4787114199999</v>
      </c>
      <c r="AH204">
        <v>254151.988148</v>
      </c>
      <c r="AI204">
        <v>45</v>
      </c>
      <c r="AJ204">
        <v>49064.872580664203</v>
      </c>
      <c r="AK204" s="1">
        <f>intersection_ss_Lden___surface[[#This Row],[surf m2 bout ss]]/intersection_ss_Lden___surface[[#This Row],[Shape_Area]]</f>
        <v>0.19305327075423986</v>
      </c>
      <c r="AL204">
        <v>5851</v>
      </c>
      <c r="AM204">
        <f>intersection_ss_Lden___surface[[#This Row],[Population totale 2024 ss]]*intersection_ss_Lden___surface[[#This Row],[Part de la surface du qs dans le noise contour]]</f>
        <v>1129.5546871830575</v>
      </c>
    </row>
    <row r="205" spans="1:39" x14ac:dyDescent="0.3">
      <c r="A205">
        <v>235</v>
      </c>
      <c r="B205" t="s">
        <v>413</v>
      </c>
      <c r="C205" t="s">
        <v>414</v>
      </c>
      <c r="D205" t="s">
        <v>415</v>
      </c>
      <c r="E205" t="s">
        <v>415</v>
      </c>
      <c r="F205" t="s">
        <v>409</v>
      </c>
      <c r="G205" t="s">
        <v>403</v>
      </c>
      <c r="H205" t="s">
        <v>404</v>
      </c>
      <c r="I205" t="s">
        <v>405</v>
      </c>
      <c r="J205" t="s">
        <v>36</v>
      </c>
      <c r="K205">
        <v>21004</v>
      </c>
      <c r="L205" t="s">
        <v>309</v>
      </c>
      <c r="M205" t="s">
        <v>310</v>
      </c>
      <c r="N205" t="s">
        <v>311</v>
      </c>
      <c r="O205">
        <v>21000</v>
      </c>
      <c r="P205" t="s">
        <v>46</v>
      </c>
      <c r="Q205" t="s">
        <v>47</v>
      </c>
      <c r="R205" t="s">
        <v>48</v>
      </c>
      <c r="T205" t="s">
        <v>36</v>
      </c>
      <c r="U205" t="s">
        <v>36</v>
      </c>
      <c r="V205" t="s">
        <v>36</v>
      </c>
      <c r="W205">
        <v>4000</v>
      </c>
      <c r="X205" t="s">
        <v>49</v>
      </c>
      <c r="Y205" t="s">
        <v>50</v>
      </c>
      <c r="Z205" t="s">
        <v>51</v>
      </c>
      <c r="AA205" t="s">
        <v>37</v>
      </c>
      <c r="AB205" t="s">
        <v>52</v>
      </c>
      <c r="AC205" t="s">
        <v>53</v>
      </c>
      <c r="AD205" t="s">
        <v>54</v>
      </c>
      <c r="AE205">
        <v>25.414791017999999</v>
      </c>
      <c r="AF205">
        <v>2271</v>
      </c>
      <c r="AG205">
        <v>2271.4787114199999</v>
      </c>
      <c r="AH205">
        <v>254151.988148</v>
      </c>
      <c r="AI205">
        <v>46</v>
      </c>
      <c r="AJ205">
        <v>205112.0605312</v>
      </c>
      <c r="AK205" s="1">
        <f>intersection_ss_Lden___surface[[#This Row],[surf m2 bout ss]]/intersection_ss_Lden___surface[[#This Row],[Shape_Area]]</f>
        <v>0.80704487903418387</v>
      </c>
      <c r="AL205">
        <v>5851</v>
      </c>
      <c r="AM205">
        <f>intersection_ss_Lden___surface[[#This Row],[Population totale 2024 ss]]*intersection_ss_Lden___surface[[#This Row],[Part de la surface du qs dans le noise contour]]</f>
        <v>4722.0195872290096</v>
      </c>
    </row>
    <row r="206" spans="1:39" x14ac:dyDescent="0.3">
      <c r="A206">
        <v>236</v>
      </c>
      <c r="B206" t="s">
        <v>416</v>
      </c>
      <c r="C206" t="s">
        <v>417</v>
      </c>
      <c r="D206" t="s">
        <v>418</v>
      </c>
      <c r="E206" t="s">
        <v>418</v>
      </c>
      <c r="F206" t="s">
        <v>409</v>
      </c>
      <c r="G206" t="s">
        <v>403</v>
      </c>
      <c r="H206" t="s">
        <v>404</v>
      </c>
      <c r="I206" t="s">
        <v>405</v>
      </c>
      <c r="J206" t="s">
        <v>36</v>
      </c>
      <c r="K206">
        <v>21004</v>
      </c>
      <c r="L206" t="s">
        <v>309</v>
      </c>
      <c r="M206" t="s">
        <v>310</v>
      </c>
      <c r="N206" t="s">
        <v>311</v>
      </c>
      <c r="O206">
        <v>21000</v>
      </c>
      <c r="P206" t="s">
        <v>46</v>
      </c>
      <c r="Q206" t="s">
        <v>47</v>
      </c>
      <c r="R206" t="s">
        <v>48</v>
      </c>
      <c r="T206" t="s">
        <v>36</v>
      </c>
      <c r="U206" t="s">
        <v>36</v>
      </c>
      <c r="V206" t="s">
        <v>36</v>
      </c>
      <c r="W206">
        <v>4000</v>
      </c>
      <c r="X206" t="s">
        <v>49</v>
      </c>
      <c r="Y206" t="s">
        <v>50</v>
      </c>
      <c r="Z206" t="s">
        <v>51</v>
      </c>
      <c r="AA206" t="s">
        <v>37</v>
      </c>
      <c r="AB206" t="s">
        <v>52</v>
      </c>
      <c r="AC206" t="s">
        <v>53</v>
      </c>
      <c r="AD206" t="s">
        <v>54</v>
      </c>
      <c r="AE206">
        <v>21.4014205816</v>
      </c>
      <c r="AF206">
        <v>2112</v>
      </c>
      <c r="AG206">
        <v>2112.19895537</v>
      </c>
      <c r="AH206">
        <v>214017.650719</v>
      </c>
      <c r="AI206">
        <v>45</v>
      </c>
      <c r="AJ206">
        <v>148673.45999335599</v>
      </c>
      <c r="AK206" s="1">
        <f>intersection_ss_Lden___surface[[#This Row],[surf m2 bout ss]]/intersection_ss_Lden___surface[[#This Row],[Shape_Area]]</f>
        <v>0.69467849728226694</v>
      </c>
      <c r="AL206">
        <v>3286</v>
      </c>
      <c r="AM206">
        <f>intersection_ss_Lden___surface[[#This Row],[Population totale 2024 ss]]*intersection_ss_Lden___surface[[#This Row],[Part de la surface du qs dans le noise contour]]</f>
        <v>2282.713542069529</v>
      </c>
    </row>
    <row r="207" spans="1:39" x14ac:dyDescent="0.3">
      <c r="A207">
        <v>237</v>
      </c>
      <c r="B207" t="s">
        <v>416</v>
      </c>
      <c r="C207" t="s">
        <v>417</v>
      </c>
      <c r="D207" t="s">
        <v>418</v>
      </c>
      <c r="E207" t="s">
        <v>418</v>
      </c>
      <c r="F207" t="s">
        <v>409</v>
      </c>
      <c r="G207" t="s">
        <v>403</v>
      </c>
      <c r="H207" t="s">
        <v>404</v>
      </c>
      <c r="I207" t="s">
        <v>405</v>
      </c>
      <c r="J207" t="s">
        <v>36</v>
      </c>
      <c r="K207">
        <v>21004</v>
      </c>
      <c r="L207" t="s">
        <v>309</v>
      </c>
      <c r="M207" t="s">
        <v>310</v>
      </c>
      <c r="N207" t="s">
        <v>311</v>
      </c>
      <c r="O207">
        <v>21000</v>
      </c>
      <c r="P207" t="s">
        <v>46</v>
      </c>
      <c r="Q207" t="s">
        <v>47</v>
      </c>
      <c r="R207" t="s">
        <v>48</v>
      </c>
      <c r="T207" t="s">
        <v>36</v>
      </c>
      <c r="U207" t="s">
        <v>36</v>
      </c>
      <c r="V207" t="s">
        <v>36</v>
      </c>
      <c r="W207">
        <v>4000</v>
      </c>
      <c r="X207" t="s">
        <v>49</v>
      </c>
      <c r="Y207" t="s">
        <v>50</v>
      </c>
      <c r="Z207" t="s">
        <v>51</v>
      </c>
      <c r="AA207" t="s">
        <v>37</v>
      </c>
      <c r="AB207" t="s">
        <v>52</v>
      </c>
      <c r="AC207" t="s">
        <v>53</v>
      </c>
      <c r="AD207" t="s">
        <v>54</v>
      </c>
      <c r="AE207">
        <v>21.4014205816</v>
      </c>
      <c r="AF207">
        <v>2112</v>
      </c>
      <c r="AG207">
        <v>2112.19895537</v>
      </c>
      <c r="AH207">
        <v>214017.650719</v>
      </c>
      <c r="AI207">
        <v>46</v>
      </c>
      <c r="AJ207">
        <v>54855.199765702702</v>
      </c>
      <c r="AK207" s="1">
        <f>intersection_ss_Lden___surface[[#This Row],[surf m2 bout ss]]/intersection_ss_Lden___surface[[#This Row],[Shape_Area]]</f>
        <v>0.25631156860854554</v>
      </c>
      <c r="AL207">
        <v>3286</v>
      </c>
      <c r="AM207">
        <f>intersection_ss_Lden___surface[[#This Row],[Population totale 2024 ss]]*intersection_ss_Lden___surface[[#This Row],[Part de la surface du qs dans le noise contour]]</f>
        <v>842.2398144476806</v>
      </c>
    </row>
    <row r="208" spans="1:39" x14ac:dyDescent="0.3">
      <c r="A208">
        <v>238</v>
      </c>
      <c r="B208" t="s">
        <v>419</v>
      </c>
      <c r="C208" t="s">
        <v>36</v>
      </c>
      <c r="D208" t="s">
        <v>36</v>
      </c>
      <c r="E208" t="s">
        <v>36</v>
      </c>
      <c r="F208" t="s">
        <v>409</v>
      </c>
      <c r="G208" t="s">
        <v>403</v>
      </c>
      <c r="H208" t="s">
        <v>404</v>
      </c>
      <c r="I208" t="s">
        <v>405</v>
      </c>
      <c r="J208" t="s">
        <v>36</v>
      </c>
      <c r="K208">
        <v>21004</v>
      </c>
      <c r="L208" t="s">
        <v>309</v>
      </c>
      <c r="M208" t="s">
        <v>310</v>
      </c>
      <c r="N208" t="s">
        <v>311</v>
      </c>
      <c r="O208">
        <v>21000</v>
      </c>
      <c r="P208" t="s">
        <v>46</v>
      </c>
      <c r="Q208" t="s">
        <v>47</v>
      </c>
      <c r="R208" t="s">
        <v>48</v>
      </c>
      <c r="T208" t="s">
        <v>36</v>
      </c>
      <c r="U208" t="s">
        <v>36</v>
      </c>
      <c r="V208" t="s">
        <v>36</v>
      </c>
      <c r="W208">
        <v>4000</v>
      </c>
      <c r="X208" t="s">
        <v>49</v>
      </c>
      <c r="Y208" t="s">
        <v>50</v>
      </c>
      <c r="Z208" t="s">
        <v>51</v>
      </c>
      <c r="AA208" t="s">
        <v>37</v>
      </c>
      <c r="AB208" t="s">
        <v>52</v>
      </c>
      <c r="AC208" t="s">
        <v>53</v>
      </c>
      <c r="AD208" t="s">
        <v>54</v>
      </c>
      <c r="AE208">
        <v>13.966880656800001</v>
      </c>
      <c r="AF208">
        <v>1619</v>
      </c>
      <c r="AG208">
        <v>1618.9679698499999</v>
      </c>
      <c r="AH208">
        <v>139671.06281599999</v>
      </c>
      <c r="AI208">
        <v>45</v>
      </c>
      <c r="AJ208">
        <v>49490.481342893603</v>
      </c>
      <c r="AK208" s="1">
        <f>intersection_ss_Lden___surface[[#This Row],[surf m2 bout ss]]/intersection_ss_Lden___surface[[#This Row],[Shape_Area]]</f>
        <v>0.35433596870449413</v>
      </c>
      <c r="AL208">
        <v>1773</v>
      </c>
      <c r="AM208">
        <f>intersection_ss_Lden___surface[[#This Row],[Population totale 2024 ss]]*intersection_ss_Lden___surface[[#This Row],[Part de la surface du qs dans le noise contour]]</f>
        <v>628.23767251306811</v>
      </c>
    </row>
    <row r="209" spans="1:39" x14ac:dyDescent="0.3">
      <c r="A209">
        <v>239</v>
      </c>
      <c r="B209" t="s">
        <v>419</v>
      </c>
      <c r="C209" t="s">
        <v>36</v>
      </c>
      <c r="D209" t="s">
        <v>36</v>
      </c>
      <c r="E209" t="s">
        <v>36</v>
      </c>
      <c r="F209" t="s">
        <v>409</v>
      </c>
      <c r="G209" t="s">
        <v>403</v>
      </c>
      <c r="H209" t="s">
        <v>404</v>
      </c>
      <c r="I209" t="s">
        <v>405</v>
      </c>
      <c r="J209" t="s">
        <v>36</v>
      </c>
      <c r="K209">
        <v>21004</v>
      </c>
      <c r="L209" t="s">
        <v>309</v>
      </c>
      <c r="M209" t="s">
        <v>310</v>
      </c>
      <c r="N209" t="s">
        <v>311</v>
      </c>
      <c r="O209">
        <v>21000</v>
      </c>
      <c r="P209" t="s">
        <v>46</v>
      </c>
      <c r="Q209" t="s">
        <v>47</v>
      </c>
      <c r="R209" t="s">
        <v>48</v>
      </c>
      <c r="T209" t="s">
        <v>36</v>
      </c>
      <c r="U209" t="s">
        <v>36</v>
      </c>
      <c r="V209" t="s">
        <v>36</v>
      </c>
      <c r="W209">
        <v>4000</v>
      </c>
      <c r="X209" t="s">
        <v>49</v>
      </c>
      <c r="Y209" t="s">
        <v>50</v>
      </c>
      <c r="Z209" t="s">
        <v>51</v>
      </c>
      <c r="AA209" t="s">
        <v>37</v>
      </c>
      <c r="AB209" t="s">
        <v>52</v>
      </c>
      <c r="AC209" t="s">
        <v>53</v>
      </c>
      <c r="AD209" t="s">
        <v>54</v>
      </c>
      <c r="AE209">
        <v>13.966880656800001</v>
      </c>
      <c r="AF209">
        <v>1619</v>
      </c>
      <c r="AG209">
        <v>1618.9679698499999</v>
      </c>
      <c r="AH209">
        <v>139671.06281599999</v>
      </c>
      <c r="AI209">
        <v>46</v>
      </c>
      <c r="AJ209">
        <v>90194.424205058996</v>
      </c>
      <c r="AK209" s="1">
        <f>intersection_ss_Lden___surface[[#This Row],[surf m2 bout ss]]/intersection_ss_Lden___surface[[#This Row],[Shape_Area]]</f>
        <v>0.64576314081521258</v>
      </c>
      <c r="AL209">
        <v>1773</v>
      </c>
      <c r="AM209">
        <f>intersection_ss_Lden___surface[[#This Row],[Population totale 2024 ss]]*intersection_ss_Lden___surface[[#This Row],[Part de la surface du qs dans le noise contour]]</f>
        <v>1144.938048665372</v>
      </c>
    </row>
    <row r="210" spans="1:39" x14ac:dyDescent="0.3">
      <c r="A210">
        <v>240</v>
      </c>
      <c r="B210" t="s">
        <v>420</v>
      </c>
      <c r="C210" t="s">
        <v>421</v>
      </c>
      <c r="D210" t="s">
        <v>422</v>
      </c>
      <c r="E210" t="s">
        <v>422</v>
      </c>
      <c r="F210" t="s">
        <v>409</v>
      </c>
      <c r="G210" t="s">
        <v>403</v>
      </c>
      <c r="H210" t="s">
        <v>404</v>
      </c>
      <c r="I210" t="s">
        <v>405</v>
      </c>
      <c r="J210" t="s">
        <v>36</v>
      </c>
      <c r="K210">
        <v>21004</v>
      </c>
      <c r="L210" t="s">
        <v>309</v>
      </c>
      <c r="M210" t="s">
        <v>310</v>
      </c>
      <c r="N210" t="s">
        <v>311</v>
      </c>
      <c r="O210">
        <v>21000</v>
      </c>
      <c r="P210" t="s">
        <v>46</v>
      </c>
      <c r="Q210" t="s">
        <v>47</v>
      </c>
      <c r="R210" t="s">
        <v>48</v>
      </c>
      <c r="T210" t="s">
        <v>36</v>
      </c>
      <c r="U210" t="s">
        <v>36</v>
      </c>
      <c r="V210" t="s">
        <v>36</v>
      </c>
      <c r="W210">
        <v>4000</v>
      </c>
      <c r="X210" t="s">
        <v>49</v>
      </c>
      <c r="Y210" t="s">
        <v>50</v>
      </c>
      <c r="Z210" t="s">
        <v>51</v>
      </c>
      <c r="AA210" t="s">
        <v>37</v>
      </c>
      <c r="AB210" t="s">
        <v>52</v>
      </c>
      <c r="AC210" t="s">
        <v>53</v>
      </c>
      <c r="AD210" t="s">
        <v>54</v>
      </c>
      <c r="AE210">
        <v>32.664847975100002</v>
      </c>
      <c r="AF210">
        <v>2267</v>
      </c>
      <c r="AG210">
        <v>2267.2210866999999</v>
      </c>
      <c r="AH210">
        <v>326653.76461200003</v>
      </c>
      <c r="AI210">
        <v>45</v>
      </c>
      <c r="AJ210">
        <v>148287.63993190401</v>
      </c>
      <c r="AK210" s="1">
        <f>intersection_ss_Lden___surface[[#This Row],[surf m2 bout ss]]/intersection_ss_Lden___surface[[#This Row],[Shape_Area]]</f>
        <v>0.45395968452419444</v>
      </c>
      <c r="AL210">
        <v>17</v>
      </c>
      <c r="AM210">
        <f>intersection_ss_Lden___surface[[#This Row],[Population totale 2024 ss]]*intersection_ss_Lden___surface[[#This Row],[Part de la surface du qs dans le noise contour]]</f>
        <v>7.7173146369113059</v>
      </c>
    </row>
    <row r="211" spans="1:39" x14ac:dyDescent="0.3">
      <c r="A211">
        <v>241</v>
      </c>
      <c r="B211" t="s">
        <v>420</v>
      </c>
      <c r="C211" t="s">
        <v>421</v>
      </c>
      <c r="D211" t="s">
        <v>422</v>
      </c>
      <c r="E211" t="s">
        <v>422</v>
      </c>
      <c r="F211" t="s">
        <v>409</v>
      </c>
      <c r="G211" t="s">
        <v>403</v>
      </c>
      <c r="H211" t="s">
        <v>404</v>
      </c>
      <c r="I211" t="s">
        <v>405</v>
      </c>
      <c r="J211" t="s">
        <v>36</v>
      </c>
      <c r="K211">
        <v>21004</v>
      </c>
      <c r="L211" t="s">
        <v>309</v>
      </c>
      <c r="M211" t="s">
        <v>310</v>
      </c>
      <c r="N211" t="s">
        <v>311</v>
      </c>
      <c r="O211">
        <v>21000</v>
      </c>
      <c r="P211" t="s">
        <v>46</v>
      </c>
      <c r="Q211" t="s">
        <v>47</v>
      </c>
      <c r="R211" t="s">
        <v>48</v>
      </c>
      <c r="T211" t="s">
        <v>36</v>
      </c>
      <c r="U211" t="s">
        <v>36</v>
      </c>
      <c r="V211" t="s">
        <v>36</v>
      </c>
      <c r="W211">
        <v>4000</v>
      </c>
      <c r="X211" t="s">
        <v>49</v>
      </c>
      <c r="Y211" t="s">
        <v>50</v>
      </c>
      <c r="Z211" t="s">
        <v>51</v>
      </c>
      <c r="AA211" t="s">
        <v>37</v>
      </c>
      <c r="AB211" t="s">
        <v>52</v>
      </c>
      <c r="AC211" t="s">
        <v>53</v>
      </c>
      <c r="AD211" t="s">
        <v>54</v>
      </c>
      <c r="AE211">
        <v>32.664847975100002</v>
      </c>
      <c r="AF211">
        <v>2267</v>
      </c>
      <c r="AG211">
        <v>2267.2210866999999</v>
      </c>
      <c r="AH211">
        <v>326653.76461200003</v>
      </c>
      <c r="AI211">
        <v>46</v>
      </c>
      <c r="AJ211">
        <v>475.14222624222703</v>
      </c>
      <c r="AK211" s="1">
        <f>intersection_ss_Lden___surface[[#This Row],[surf m2 bout ss]]/intersection_ss_Lden___surface[[#This Row],[Shape_Area]]</f>
        <v>1.4545744691067677E-3</v>
      </c>
      <c r="AL211">
        <v>17</v>
      </c>
      <c r="AM211">
        <f>intersection_ss_Lden___surface[[#This Row],[Population totale 2024 ss]]*intersection_ss_Lden___surface[[#This Row],[Part de la surface du qs dans le noise contour]]</f>
        <v>2.472776597481505E-2</v>
      </c>
    </row>
    <row r="212" spans="1:39" x14ac:dyDescent="0.3">
      <c r="A212">
        <v>242</v>
      </c>
      <c r="B212" t="s">
        <v>423</v>
      </c>
      <c r="C212" t="s">
        <v>424</v>
      </c>
      <c r="D212" t="s">
        <v>425</v>
      </c>
      <c r="E212" t="s">
        <v>425</v>
      </c>
      <c r="F212" t="s">
        <v>426</v>
      </c>
      <c r="G212" t="s">
        <v>427</v>
      </c>
      <c r="H212" t="s">
        <v>428</v>
      </c>
      <c r="I212" t="s">
        <v>429</v>
      </c>
      <c r="J212" t="s">
        <v>36</v>
      </c>
      <c r="K212">
        <v>21004</v>
      </c>
      <c r="L212" t="s">
        <v>309</v>
      </c>
      <c r="M212" t="s">
        <v>310</v>
      </c>
      <c r="N212" t="s">
        <v>311</v>
      </c>
      <c r="O212">
        <v>21000</v>
      </c>
      <c r="P212" t="s">
        <v>46</v>
      </c>
      <c r="Q212" t="s">
        <v>47</v>
      </c>
      <c r="R212" t="s">
        <v>48</v>
      </c>
      <c r="T212" t="s">
        <v>36</v>
      </c>
      <c r="U212" t="s">
        <v>36</v>
      </c>
      <c r="V212" t="s">
        <v>36</v>
      </c>
      <c r="W212">
        <v>4000</v>
      </c>
      <c r="X212" t="s">
        <v>49</v>
      </c>
      <c r="Y212" t="s">
        <v>50</v>
      </c>
      <c r="Z212" t="s">
        <v>51</v>
      </c>
      <c r="AA212" t="s">
        <v>37</v>
      </c>
      <c r="AB212" t="s">
        <v>52</v>
      </c>
      <c r="AC212" t="s">
        <v>53</v>
      </c>
      <c r="AD212" t="s">
        <v>54</v>
      </c>
      <c r="AE212">
        <v>5.3283813606599999</v>
      </c>
      <c r="AF212">
        <v>1063</v>
      </c>
      <c r="AG212">
        <v>1063.2950762099999</v>
      </c>
      <c r="AH212">
        <v>53284.6695636</v>
      </c>
      <c r="AI212">
        <v>50</v>
      </c>
      <c r="AJ212">
        <v>53289.736317772396</v>
      </c>
      <c r="AK212" s="1">
        <f>intersection_ss_Lden___surface[[#This Row],[surf m2 bout ss]]/intersection_ss_Lden___surface[[#This Row],[Shape_Area]]</f>
        <v>1.0000950884037358</v>
      </c>
      <c r="AL212">
        <v>1099</v>
      </c>
      <c r="AM212">
        <f>intersection_ss_Lden___surface[[#This Row],[Population totale 2024 ss]]*intersection_ss_Lden___surface[[#This Row],[Part de la surface du qs dans le noise contour]]</f>
        <v>1099.1045021557056</v>
      </c>
    </row>
    <row r="213" spans="1:39" x14ac:dyDescent="0.3">
      <c r="A213">
        <v>243</v>
      </c>
      <c r="B213" t="s">
        <v>430</v>
      </c>
      <c r="C213" t="s">
        <v>431</v>
      </c>
      <c r="D213" t="s">
        <v>432</v>
      </c>
      <c r="E213" t="s">
        <v>432</v>
      </c>
      <c r="F213" t="s">
        <v>426</v>
      </c>
      <c r="G213" t="s">
        <v>427</v>
      </c>
      <c r="H213" t="s">
        <v>428</v>
      </c>
      <c r="I213" t="s">
        <v>429</v>
      </c>
      <c r="J213" t="s">
        <v>36</v>
      </c>
      <c r="K213">
        <v>21004</v>
      </c>
      <c r="L213" t="s">
        <v>309</v>
      </c>
      <c r="M213" t="s">
        <v>310</v>
      </c>
      <c r="N213" t="s">
        <v>311</v>
      </c>
      <c r="O213">
        <v>21000</v>
      </c>
      <c r="P213" t="s">
        <v>46</v>
      </c>
      <c r="Q213" t="s">
        <v>47</v>
      </c>
      <c r="R213" t="s">
        <v>48</v>
      </c>
      <c r="T213" t="s">
        <v>36</v>
      </c>
      <c r="U213" t="s">
        <v>36</v>
      </c>
      <c r="V213" t="s">
        <v>36</v>
      </c>
      <c r="W213">
        <v>4000</v>
      </c>
      <c r="X213" t="s">
        <v>49</v>
      </c>
      <c r="Y213" t="s">
        <v>50</v>
      </c>
      <c r="Z213" t="s">
        <v>51</v>
      </c>
      <c r="AA213" t="s">
        <v>37</v>
      </c>
      <c r="AB213" t="s">
        <v>52</v>
      </c>
      <c r="AC213" t="s">
        <v>53</v>
      </c>
      <c r="AD213" t="s">
        <v>54</v>
      </c>
      <c r="AE213">
        <v>24.823114867699999</v>
      </c>
      <c r="AF213">
        <v>2932</v>
      </c>
      <c r="AG213">
        <v>2932.0690768700001</v>
      </c>
      <c r="AH213">
        <v>248235.11925600001</v>
      </c>
      <c r="AI213">
        <v>48</v>
      </c>
      <c r="AJ213">
        <v>818.93873300030805</v>
      </c>
      <c r="AK213" s="1">
        <f>intersection_ss_Lden___surface[[#This Row],[surf m2 bout ss]]/intersection_ss_Lden___surface[[#This Row],[Shape_Area]]</f>
        <v>3.2990446132473003E-3</v>
      </c>
      <c r="AL213">
        <v>2859</v>
      </c>
      <c r="AM213">
        <f>intersection_ss_Lden___surface[[#This Row],[Population totale 2024 ss]]*intersection_ss_Lden___surface[[#This Row],[Part de la surface du qs dans le noise contour]]</f>
        <v>9.4319685492740319</v>
      </c>
    </row>
    <row r="214" spans="1:39" x14ac:dyDescent="0.3">
      <c r="A214">
        <v>244</v>
      </c>
      <c r="B214" t="s">
        <v>430</v>
      </c>
      <c r="C214" t="s">
        <v>431</v>
      </c>
      <c r="D214" t="s">
        <v>432</v>
      </c>
      <c r="E214" t="s">
        <v>432</v>
      </c>
      <c r="F214" t="s">
        <v>426</v>
      </c>
      <c r="G214" t="s">
        <v>427</v>
      </c>
      <c r="H214" t="s">
        <v>428</v>
      </c>
      <c r="I214" t="s">
        <v>429</v>
      </c>
      <c r="J214" t="s">
        <v>36</v>
      </c>
      <c r="K214">
        <v>21004</v>
      </c>
      <c r="L214" t="s">
        <v>309</v>
      </c>
      <c r="M214" t="s">
        <v>310</v>
      </c>
      <c r="N214" t="s">
        <v>311</v>
      </c>
      <c r="O214">
        <v>21000</v>
      </c>
      <c r="P214" t="s">
        <v>46</v>
      </c>
      <c r="Q214" t="s">
        <v>47</v>
      </c>
      <c r="R214" t="s">
        <v>48</v>
      </c>
      <c r="T214" t="s">
        <v>36</v>
      </c>
      <c r="U214" t="s">
        <v>36</v>
      </c>
      <c r="V214" t="s">
        <v>36</v>
      </c>
      <c r="W214">
        <v>4000</v>
      </c>
      <c r="X214" t="s">
        <v>49</v>
      </c>
      <c r="Y214" t="s">
        <v>50</v>
      </c>
      <c r="Z214" t="s">
        <v>51</v>
      </c>
      <c r="AA214" t="s">
        <v>37</v>
      </c>
      <c r="AB214" t="s">
        <v>52</v>
      </c>
      <c r="AC214" t="s">
        <v>53</v>
      </c>
      <c r="AD214" t="s">
        <v>54</v>
      </c>
      <c r="AE214">
        <v>24.823114867699999</v>
      </c>
      <c r="AF214">
        <v>2932</v>
      </c>
      <c r="AG214">
        <v>2932.0690768700001</v>
      </c>
      <c r="AH214">
        <v>248235.11925600001</v>
      </c>
      <c r="AI214">
        <v>49</v>
      </c>
      <c r="AJ214">
        <v>121242.598562678</v>
      </c>
      <c r="AK214" s="1">
        <f>intersection_ss_Lden___surface[[#This Row],[surf m2 bout ss]]/intersection_ss_Lden___surface[[#This Row],[Shape_Area]]</f>
        <v>0.48841839513305485</v>
      </c>
      <c r="AL214">
        <v>2859</v>
      </c>
      <c r="AM214">
        <f>intersection_ss_Lden___surface[[#This Row],[Population totale 2024 ss]]*intersection_ss_Lden___surface[[#This Row],[Part de la surface du qs dans le noise contour]]</f>
        <v>1396.3881916854039</v>
      </c>
    </row>
    <row r="215" spans="1:39" x14ac:dyDescent="0.3">
      <c r="A215">
        <v>245</v>
      </c>
      <c r="B215" t="s">
        <v>430</v>
      </c>
      <c r="C215" t="s">
        <v>431</v>
      </c>
      <c r="D215" t="s">
        <v>432</v>
      </c>
      <c r="E215" t="s">
        <v>432</v>
      </c>
      <c r="F215" t="s">
        <v>426</v>
      </c>
      <c r="G215" t="s">
        <v>427</v>
      </c>
      <c r="H215" t="s">
        <v>428</v>
      </c>
      <c r="I215" t="s">
        <v>429</v>
      </c>
      <c r="J215" t="s">
        <v>36</v>
      </c>
      <c r="K215">
        <v>21004</v>
      </c>
      <c r="L215" t="s">
        <v>309</v>
      </c>
      <c r="M215" t="s">
        <v>310</v>
      </c>
      <c r="N215" t="s">
        <v>311</v>
      </c>
      <c r="O215">
        <v>21000</v>
      </c>
      <c r="P215" t="s">
        <v>46</v>
      </c>
      <c r="Q215" t="s">
        <v>47</v>
      </c>
      <c r="R215" t="s">
        <v>48</v>
      </c>
      <c r="T215" t="s">
        <v>36</v>
      </c>
      <c r="U215" t="s">
        <v>36</v>
      </c>
      <c r="V215" t="s">
        <v>36</v>
      </c>
      <c r="W215">
        <v>4000</v>
      </c>
      <c r="X215" t="s">
        <v>49</v>
      </c>
      <c r="Y215" t="s">
        <v>50</v>
      </c>
      <c r="Z215" t="s">
        <v>51</v>
      </c>
      <c r="AA215" t="s">
        <v>37</v>
      </c>
      <c r="AB215" t="s">
        <v>52</v>
      </c>
      <c r="AC215" t="s">
        <v>53</v>
      </c>
      <c r="AD215" t="s">
        <v>54</v>
      </c>
      <c r="AE215">
        <v>24.823114867699999</v>
      </c>
      <c r="AF215">
        <v>2932</v>
      </c>
      <c r="AG215">
        <v>2932.0690768700001</v>
      </c>
      <c r="AH215">
        <v>248235.11925600001</v>
      </c>
      <c r="AI215">
        <v>50</v>
      </c>
      <c r="AJ215">
        <v>126197.35157214801</v>
      </c>
      <c r="AK215" s="1">
        <f>intersection_ss_Lden___surface[[#This Row],[surf m2 bout ss]]/intersection_ss_Lden___surface[[#This Row],[Shape_Area]]</f>
        <v>0.50837831468158678</v>
      </c>
      <c r="AL215">
        <v>2859</v>
      </c>
      <c r="AM215">
        <f>intersection_ss_Lden___surface[[#This Row],[Population totale 2024 ss]]*intersection_ss_Lden___surface[[#This Row],[Part de la surface du qs dans le noise contour]]</f>
        <v>1453.4536016746565</v>
      </c>
    </row>
    <row r="216" spans="1:39" x14ac:dyDescent="0.3">
      <c r="A216">
        <v>246</v>
      </c>
      <c r="B216" t="s">
        <v>433</v>
      </c>
      <c r="C216" t="s">
        <v>434</v>
      </c>
      <c r="D216" t="s">
        <v>435</v>
      </c>
      <c r="E216" t="s">
        <v>435</v>
      </c>
      <c r="F216" t="s">
        <v>426</v>
      </c>
      <c r="G216" t="s">
        <v>427</v>
      </c>
      <c r="H216" t="s">
        <v>428</v>
      </c>
      <c r="I216" t="s">
        <v>429</v>
      </c>
      <c r="J216" t="s">
        <v>36</v>
      </c>
      <c r="K216">
        <v>21004</v>
      </c>
      <c r="L216" t="s">
        <v>309</v>
      </c>
      <c r="M216" t="s">
        <v>310</v>
      </c>
      <c r="N216" t="s">
        <v>311</v>
      </c>
      <c r="O216">
        <v>21000</v>
      </c>
      <c r="P216" t="s">
        <v>46</v>
      </c>
      <c r="Q216" t="s">
        <v>47</v>
      </c>
      <c r="R216" t="s">
        <v>48</v>
      </c>
      <c r="T216" t="s">
        <v>36</v>
      </c>
      <c r="U216" t="s">
        <v>36</v>
      </c>
      <c r="V216" t="s">
        <v>36</v>
      </c>
      <c r="W216">
        <v>4000</v>
      </c>
      <c r="X216" t="s">
        <v>49</v>
      </c>
      <c r="Y216" t="s">
        <v>50</v>
      </c>
      <c r="Z216" t="s">
        <v>51</v>
      </c>
      <c r="AA216" t="s">
        <v>37</v>
      </c>
      <c r="AB216" t="s">
        <v>52</v>
      </c>
      <c r="AC216" t="s">
        <v>53</v>
      </c>
      <c r="AD216" t="s">
        <v>54</v>
      </c>
      <c r="AE216">
        <v>17.318690544900001</v>
      </c>
      <c r="AF216">
        <v>2598</v>
      </c>
      <c r="AG216">
        <v>2598.3043588199998</v>
      </c>
      <c r="AH216">
        <v>173189.73336499999</v>
      </c>
      <c r="AI216">
        <v>50</v>
      </c>
      <c r="AJ216">
        <v>164339.46709408099</v>
      </c>
      <c r="AK216" s="1">
        <f>intersection_ss_Lden___surface[[#This Row],[surf m2 bout ss]]/intersection_ss_Lden___surface[[#This Row],[Shape_Area]]</f>
        <v>0.9488984358428052</v>
      </c>
      <c r="AL216">
        <v>4257</v>
      </c>
      <c r="AM216">
        <f>intersection_ss_Lden___surface[[#This Row],[Population totale 2024 ss]]*intersection_ss_Lden___surface[[#This Row],[Part de la surface du qs dans le noise contour]]</f>
        <v>4039.4606413828219</v>
      </c>
    </row>
    <row r="217" spans="1:39" x14ac:dyDescent="0.3">
      <c r="A217">
        <v>247</v>
      </c>
      <c r="B217" t="s">
        <v>433</v>
      </c>
      <c r="C217" t="s">
        <v>434</v>
      </c>
      <c r="D217" t="s">
        <v>435</v>
      </c>
      <c r="E217" t="s">
        <v>435</v>
      </c>
      <c r="F217" t="s">
        <v>426</v>
      </c>
      <c r="G217" t="s">
        <v>427</v>
      </c>
      <c r="H217" t="s">
        <v>428</v>
      </c>
      <c r="I217" t="s">
        <v>429</v>
      </c>
      <c r="J217" t="s">
        <v>36</v>
      </c>
      <c r="K217">
        <v>21004</v>
      </c>
      <c r="L217" t="s">
        <v>309</v>
      </c>
      <c r="M217" t="s">
        <v>310</v>
      </c>
      <c r="N217" t="s">
        <v>311</v>
      </c>
      <c r="O217">
        <v>21000</v>
      </c>
      <c r="P217" t="s">
        <v>46</v>
      </c>
      <c r="Q217" t="s">
        <v>47</v>
      </c>
      <c r="R217" t="s">
        <v>48</v>
      </c>
      <c r="T217" t="s">
        <v>36</v>
      </c>
      <c r="U217" t="s">
        <v>36</v>
      </c>
      <c r="V217" t="s">
        <v>36</v>
      </c>
      <c r="W217">
        <v>4000</v>
      </c>
      <c r="X217" t="s">
        <v>49</v>
      </c>
      <c r="Y217" t="s">
        <v>50</v>
      </c>
      <c r="Z217" t="s">
        <v>51</v>
      </c>
      <c r="AA217" t="s">
        <v>37</v>
      </c>
      <c r="AB217" t="s">
        <v>52</v>
      </c>
      <c r="AC217" t="s">
        <v>53</v>
      </c>
      <c r="AD217" t="s">
        <v>54</v>
      </c>
      <c r="AE217">
        <v>17.318690544900001</v>
      </c>
      <c r="AF217">
        <v>2598</v>
      </c>
      <c r="AG217">
        <v>2598.3043588199998</v>
      </c>
      <c r="AH217">
        <v>173189.73336499999</v>
      </c>
      <c r="AI217">
        <v>51</v>
      </c>
      <c r="AJ217">
        <v>8866.5738748163003</v>
      </c>
      <c r="AK217" s="1">
        <f>intersection_ss_Lden___surface[[#This Row],[surf m2 bout ss]]/intersection_ss_Lden___surface[[#This Row],[Shape_Area]]</f>
        <v>5.1195724495573081E-2</v>
      </c>
      <c r="AL217">
        <v>4257</v>
      </c>
      <c r="AM217">
        <f>intersection_ss_Lden___surface[[#This Row],[Population totale 2024 ss]]*intersection_ss_Lden___surface[[#This Row],[Part de la surface du qs dans le noise contour]]</f>
        <v>217.94019917765459</v>
      </c>
    </row>
    <row r="218" spans="1:39" x14ac:dyDescent="0.3">
      <c r="A218">
        <v>248</v>
      </c>
      <c r="B218" t="s">
        <v>436</v>
      </c>
      <c r="C218" t="s">
        <v>437</v>
      </c>
      <c r="D218" t="s">
        <v>438</v>
      </c>
      <c r="E218" t="s">
        <v>438</v>
      </c>
      <c r="F218" t="s">
        <v>426</v>
      </c>
      <c r="G218" t="s">
        <v>427</v>
      </c>
      <c r="H218" t="s">
        <v>428</v>
      </c>
      <c r="I218" t="s">
        <v>429</v>
      </c>
      <c r="J218" t="s">
        <v>36</v>
      </c>
      <c r="K218">
        <v>21004</v>
      </c>
      <c r="L218" t="s">
        <v>309</v>
      </c>
      <c r="M218" t="s">
        <v>310</v>
      </c>
      <c r="N218" t="s">
        <v>311</v>
      </c>
      <c r="O218">
        <v>21000</v>
      </c>
      <c r="P218" t="s">
        <v>46</v>
      </c>
      <c r="Q218" t="s">
        <v>47</v>
      </c>
      <c r="R218" t="s">
        <v>48</v>
      </c>
      <c r="T218" t="s">
        <v>36</v>
      </c>
      <c r="U218" t="s">
        <v>36</v>
      </c>
      <c r="V218" t="s">
        <v>36</v>
      </c>
      <c r="W218">
        <v>4000</v>
      </c>
      <c r="X218" t="s">
        <v>49</v>
      </c>
      <c r="Y218" t="s">
        <v>50</v>
      </c>
      <c r="Z218" t="s">
        <v>51</v>
      </c>
      <c r="AA218" t="s">
        <v>37</v>
      </c>
      <c r="AB218" t="s">
        <v>52</v>
      </c>
      <c r="AC218" t="s">
        <v>53</v>
      </c>
      <c r="AD218" t="s">
        <v>54</v>
      </c>
      <c r="AE218">
        <v>47.8949846087</v>
      </c>
      <c r="AF218">
        <v>4217</v>
      </c>
      <c r="AG218">
        <v>4217.0623156600004</v>
      </c>
      <c r="AH218">
        <v>478957.53604899999</v>
      </c>
      <c r="AI218">
        <v>49</v>
      </c>
      <c r="AJ218">
        <v>11499.180450199199</v>
      </c>
      <c r="AK218" s="1">
        <f>intersection_ss_Lden___surface[[#This Row],[surf m2 bout ss]]/intersection_ss_Lden___surface[[#This Row],[Shape_Area]]</f>
        <v>2.4008768178193505E-2</v>
      </c>
      <c r="AL218">
        <v>1183</v>
      </c>
      <c r="AM218">
        <f>intersection_ss_Lden___surface[[#This Row],[Population totale 2024 ss]]*intersection_ss_Lden___surface[[#This Row],[Part de la surface du qs dans le noise contour]]</f>
        <v>28.402372754802915</v>
      </c>
    </row>
    <row r="219" spans="1:39" x14ac:dyDescent="0.3">
      <c r="A219">
        <v>249</v>
      </c>
      <c r="B219" t="s">
        <v>436</v>
      </c>
      <c r="C219" t="s">
        <v>437</v>
      </c>
      <c r="D219" t="s">
        <v>438</v>
      </c>
      <c r="E219" t="s">
        <v>438</v>
      </c>
      <c r="F219" t="s">
        <v>426</v>
      </c>
      <c r="G219" t="s">
        <v>427</v>
      </c>
      <c r="H219" t="s">
        <v>428</v>
      </c>
      <c r="I219" t="s">
        <v>429</v>
      </c>
      <c r="J219" t="s">
        <v>36</v>
      </c>
      <c r="K219">
        <v>21004</v>
      </c>
      <c r="L219" t="s">
        <v>309</v>
      </c>
      <c r="M219" t="s">
        <v>310</v>
      </c>
      <c r="N219" t="s">
        <v>311</v>
      </c>
      <c r="O219">
        <v>21000</v>
      </c>
      <c r="P219" t="s">
        <v>46</v>
      </c>
      <c r="Q219" t="s">
        <v>47</v>
      </c>
      <c r="R219" t="s">
        <v>48</v>
      </c>
      <c r="T219" t="s">
        <v>36</v>
      </c>
      <c r="U219" t="s">
        <v>36</v>
      </c>
      <c r="V219" t="s">
        <v>36</v>
      </c>
      <c r="W219">
        <v>4000</v>
      </c>
      <c r="X219" t="s">
        <v>49</v>
      </c>
      <c r="Y219" t="s">
        <v>50</v>
      </c>
      <c r="Z219" t="s">
        <v>51</v>
      </c>
      <c r="AA219" t="s">
        <v>37</v>
      </c>
      <c r="AB219" t="s">
        <v>52</v>
      </c>
      <c r="AC219" t="s">
        <v>53</v>
      </c>
      <c r="AD219" t="s">
        <v>54</v>
      </c>
      <c r="AE219">
        <v>47.8949846087</v>
      </c>
      <c r="AF219">
        <v>4217</v>
      </c>
      <c r="AG219">
        <v>4217.0623156600004</v>
      </c>
      <c r="AH219">
        <v>478957.53604899999</v>
      </c>
      <c r="AI219">
        <v>50</v>
      </c>
      <c r="AJ219">
        <v>444776.98641571199</v>
      </c>
      <c r="AK219" s="1">
        <f>intersection_ss_Lden___surface[[#This Row],[surf m2 bout ss]]/intersection_ss_Lden___surface[[#This Row],[Shape_Area]]</f>
        <v>0.92863553225355</v>
      </c>
      <c r="AL219">
        <v>1183</v>
      </c>
      <c r="AM219">
        <f>intersection_ss_Lden___surface[[#This Row],[Population totale 2024 ss]]*intersection_ss_Lden___surface[[#This Row],[Part de la surface du qs dans le noise contour]]</f>
        <v>1098.5758346559496</v>
      </c>
    </row>
    <row r="220" spans="1:39" x14ac:dyDescent="0.3">
      <c r="A220">
        <v>250</v>
      </c>
      <c r="B220" t="s">
        <v>436</v>
      </c>
      <c r="C220" t="s">
        <v>437</v>
      </c>
      <c r="D220" t="s">
        <v>438</v>
      </c>
      <c r="E220" t="s">
        <v>438</v>
      </c>
      <c r="F220" t="s">
        <v>426</v>
      </c>
      <c r="G220" t="s">
        <v>427</v>
      </c>
      <c r="H220" t="s">
        <v>428</v>
      </c>
      <c r="I220" t="s">
        <v>429</v>
      </c>
      <c r="J220" t="s">
        <v>36</v>
      </c>
      <c r="K220">
        <v>21004</v>
      </c>
      <c r="L220" t="s">
        <v>309</v>
      </c>
      <c r="M220" t="s">
        <v>310</v>
      </c>
      <c r="N220" t="s">
        <v>311</v>
      </c>
      <c r="O220">
        <v>21000</v>
      </c>
      <c r="P220" t="s">
        <v>46</v>
      </c>
      <c r="Q220" t="s">
        <v>47</v>
      </c>
      <c r="R220" t="s">
        <v>48</v>
      </c>
      <c r="T220" t="s">
        <v>36</v>
      </c>
      <c r="U220" t="s">
        <v>36</v>
      </c>
      <c r="V220" t="s">
        <v>36</v>
      </c>
      <c r="W220">
        <v>4000</v>
      </c>
      <c r="X220" t="s">
        <v>49</v>
      </c>
      <c r="Y220" t="s">
        <v>50</v>
      </c>
      <c r="Z220" t="s">
        <v>51</v>
      </c>
      <c r="AA220" t="s">
        <v>37</v>
      </c>
      <c r="AB220" t="s">
        <v>52</v>
      </c>
      <c r="AC220" t="s">
        <v>53</v>
      </c>
      <c r="AD220" t="s">
        <v>54</v>
      </c>
      <c r="AE220">
        <v>47.8949846087</v>
      </c>
      <c r="AF220">
        <v>4217</v>
      </c>
      <c r="AG220">
        <v>4217.0623156600004</v>
      </c>
      <c r="AH220">
        <v>478957.53604899999</v>
      </c>
      <c r="AI220">
        <v>51</v>
      </c>
      <c r="AJ220">
        <v>22726.6183272116</v>
      </c>
      <c r="AK220" s="1">
        <f>intersection_ss_Lden___surface[[#This Row],[surf m2 bout ss]]/intersection_ss_Lden___surface[[#This Row],[Shape_Area]]</f>
        <v>4.7450173797633999E-2</v>
      </c>
      <c r="AL220">
        <v>1183</v>
      </c>
      <c r="AM220">
        <f>intersection_ss_Lden___surface[[#This Row],[Population totale 2024 ss]]*intersection_ss_Lden___surface[[#This Row],[Part de la surface du qs dans le noise contour]]</f>
        <v>56.133555602601021</v>
      </c>
    </row>
    <row r="221" spans="1:39" x14ac:dyDescent="0.3">
      <c r="A221">
        <v>251</v>
      </c>
      <c r="B221" t="s">
        <v>439</v>
      </c>
      <c r="C221" t="s">
        <v>440</v>
      </c>
      <c r="D221" t="s">
        <v>441</v>
      </c>
      <c r="E221" t="s">
        <v>441</v>
      </c>
      <c r="F221" t="s">
        <v>426</v>
      </c>
      <c r="G221" t="s">
        <v>427</v>
      </c>
      <c r="H221" t="s">
        <v>428</v>
      </c>
      <c r="I221" t="s">
        <v>429</v>
      </c>
      <c r="J221" t="s">
        <v>36</v>
      </c>
      <c r="K221">
        <v>21004</v>
      </c>
      <c r="L221" t="s">
        <v>309</v>
      </c>
      <c r="M221" t="s">
        <v>310</v>
      </c>
      <c r="N221" t="s">
        <v>311</v>
      </c>
      <c r="O221">
        <v>21000</v>
      </c>
      <c r="P221" t="s">
        <v>46</v>
      </c>
      <c r="Q221" t="s">
        <v>47</v>
      </c>
      <c r="R221" t="s">
        <v>48</v>
      </c>
      <c r="T221" t="s">
        <v>36</v>
      </c>
      <c r="U221" t="s">
        <v>36</v>
      </c>
      <c r="V221" t="s">
        <v>36</v>
      </c>
      <c r="W221">
        <v>4000</v>
      </c>
      <c r="X221" t="s">
        <v>49</v>
      </c>
      <c r="Y221" t="s">
        <v>50</v>
      </c>
      <c r="Z221" t="s">
        <v>51</v>
      </c>
      <c r="AA221" t="s">
        <v>37</v>
      </c>
      <c r="AB221" t="s">
        <v>52</v>
      </c>
      <c r="AC221" t="s">
        <v>53</v>
      </c>
      <c r="AD221" t="s">
        <v>54</v>
      </c>
      <c r="AE221">
        <v>23.504064395499999</v>
      </c>
      <c r="AF221">
        <v>3798</v>
      </c>
      <c r="AG221">
        <v>3798.2014876799999</v>
      </c>
      <c r="AH221">
        <v>235044.38911700001</v>
      </c>
      <c r="AI221">
        <v>50</v>
      </c>
      <c r="AJ221">
        <v>14369.2539601424</v>
      </c>
      <c r="AK221" s="1">
        <f>intersection_ss_Lden___surface[[#This Row],[surf m2 bout ss]]/intersection_ss_Lden___surface[[#This Row],[Shape_Area]]</f>
        <v>6.1134213899442187E-2</v>
      </c>
      <c r="AL221">
        <v>1149</v>
      </c>
      <c r="AM221">
        <f>intersection_ss_Lden___surface[[#This Row],[Population totale 2024 ss]]*intersection_ss_Lden___surface[[#This Row],[Part de la surface du qs dans le noise contour]]</f>
        <v>70.243211770459069</v>
      </c>
    </row>
    <row r="222" spans="1:39" x14ac:dyDescent="0.3">
      <c r="A222">
        <v>252</v>
      </c>
      <c r="B222" t="s">
        <v>439</v>
      </c>
      <c r="C222" t="s">
        <v>440</v>
      </c>
      <c r="D222" t="s">
        <v>441</v>
      </c>
      <c r="E222" t="s">
        <v>441</v>
      </c>
      <c r="F222" t="s">
        <v>426</v>
      </c>
      <c r="G222" t="s">
        <v>427</v>
      </c>
      <c r="H222" t="s">
        <v>428</v>
      </c>
      <c r="I222" t="s">
        <v>429</v>
      </c>
      <c r="J222" t="s">
        <v>36</v>
      </c>
      <c r="K222">
        <v>21004</v>
      </c>
      <c r="L222" t="s">
        <v>309</v>
      </c>
      <c r="M222" t="s">
        <v>310</v>
      </c>
      <c r="N222" t="s">
        <v>311</v>
      </c>
      <c r="O222">
        <v>21000</v>
      </c>
      <c r="P222" t="s">
        <v>46</v>
      </c>
      <c r="Q222" t="s">
        <v>47</v>
      </c>
      <c r="R222" t="s">
        <v>48</v>
      </c>
      <c r="T222" t="s">
        <v>36</v>
      </c>
      <c r="U222" t="s">
        <v>36</v>
      </c>
      <c r="V222" t="s">
        <v>36</v>
      </c>
      <c r="W222">
        <v>4000</v>
      </c>
      <c r="X222" t="s">
        <v>49</v>
      </c>
      <c r="Y222" t="s">
        <v>50</v>
      </c>
      <c r="Z222" t="s">
        <v>51</v>
      </c>
      <c r="AA222" t="s">
        <v>37</v>
      </c>
      <c r="AB222" t="s">
        <v>52</v>
      </c>
      <c r="AC222" t="s">
        <v>53</v>
      </c>
      <c r="AD222" t="s">
        <v>54</v>
      </c>
      <c r="AE222">
        <v>23.504064395499999</v>
      </c>
      <c r="AF222">
        <v>3798</v>
      </c>
      <c r="AG222">
        <v>3798.2014876799999</v>
      </c>
      <c r="AH222">
        <v>235044.38911700001</v>
      </c>
      <c r="AI222">
        <v>51</v>
      </c>
      <c r="AJ222">
        <v>218843.73218080201</v>
      </c>
      <c r="AK222" s="1">
        <f>intersection_ss_Lden___surface[[#This Row],[surf m2 bout ss]]/intersection_ss_Lden___surface[[#This Row],[Shape_Area]]</f>
        <v>0.93107405372636365</v>
      </c>
      <c r="AL222">
        <v>1149</v>
      </c>
      <c r="AM222">
        <f>intersection_ss_Lden___surface[[#This Row],[Population totale 2024 ss]]*intersection_ss_Lden___surface[[#This Row],[Part de la surface du qs dans le noise contour]]</f>
        <v>1069.8040877315918</v>
      </c>
    </row>
    <row r="223" spans="1:39" x14ac:dyDescent="0.3">
      <c r="A223">
        <v>253</v>
      </c>
      <c r="B223" t="s">
        <v>439</v>
      </c>
      <c r="C223" t="s">
        <v>440</v>
      </c>
      <c r="D223" t="s">
        <v>441</v>
      </c>
      <c r="E223" t="s">
        <v>441</v>
      </c>
      <c r="F223" t="s">
        <v>426</v>
      </c>
      <c r="G223" t="s">
        <v>427</v>
      </c>
      <c r="H223" t="s">
        <v>428</v>
      </c>
      <c r="I223" t="s">
        <v>429</v>
      </c>
      <c r="J223" t="s">
        <v>36</v>
      </c>
      <c r="K223">
        <v>21004</v>
      </c>
      <c r="L223" t="s">
        <v>309</v>
      </c>
      <c r="M223" t="s">
        <v>310</v>
      </c>
      <c r="N223" t="s">
        <v>311</v>
      </c>
      <c r="O223">
        <v>21000</v>
      </c>
      <c r="P223" t="s">
        <v>46</v>
      </c>
      <c r="Q223" t="s">
        <v>47</v>
      </c>
      <c r="R223" t="s">
        <v>48</v>
      </c>
      <c r="T223" t="s">
        <v>36</v>
      </c>
      <c r="U223" t="s">
        <v>36</v>
      </c>
      <c r="V223" t="s">
        <v>36</v>
      </c>
      <c r="W223">
        <v>4000</v>
      </c>
      <c r="X223" t="s">
        <v>49</v>
      </c>
      <c r="Y223" t="s">
        <v>50</v>
      </c>
      <c r="Z223" t="s">
        <v>51</v>
      </c>
      <c r="AA223" t="s">
        <v>37</v>
      </c>
      <c r="AB223" t="s">
        <v>52</v>
      </c>
      <c r="AC223" t="s">
        <v>53</v>
      </c>
      <c r="AD223" t="s">
        <v>54</v>
      </c>
      <c r="AE223">
        <v>23.504064395499999</v>
      </c>
      <c r="AF223">
        <v>3798</v>
      </c>
      <c r="AG223">
        <v>3798.2014876799999</v>
      </c>
      <c r="AH223">
        <v>235044.38911700001</v>
      </c>
      <c r="AI223">
        <v>52</v>
      </c>
      <c r="AJ223">
        <v>1853.27485896647</v>
      </c>
      <c r="AK223" s="1">
        <f>intersection_ss_Lden___surface[[#This Row],[surf m2 bout ss]]/intersection_ss_Lden___surface[[#This Row],[Shape_Area]]</f>
        <v>7.8847866393609162E-3</v>
      </c>
      <c r="AL223">
        <v>1149</v>
      </c>
      <c r="AM223">
        <f>intersection_ss_Lden___surface[[#This Row],[Population totale 2024 ss]]*intersection_ss_Lden___surface[[#This Row],[Part de la surface du qs dans le noise contour]]</f>
        <v>9.059619848625692</v>
      </c>
    </row>
    <row r="224" spans="1:39" x14ac:dyDescent="0.3">
      <c r="A224">
        <v>254</v>
      </c>
      <c r="B224" t="s">
        <v>442</v>
      </c>
      <c r="C224" t="s">
        <v>443</v>
      </c>
      <c r="D224" t="s">
        <v>444</v>
      </c>
      <c r="E224" t="s">
        <v>444</v>
      </c>
      <c r="F224" t="s">
        <v>426</v>
      </c>
      <c r="G224" t="s">
        <v>427</v>
      </c>
      <c r="H224" t="s">
        <v>428</v>
      </c>
      <c r="I224" t="s">
        <v>429</v>
      </c>
      <c r="J224" t="s">
        <v>36</v>
      </c>
      <c r="K224">
        <v>21004</v>
      </c>
      <c r="L224" t="s">
        <v>309</v>
      </c>
      <c r="M224" t="s">
        <v>310</v>
      </c>
      <c r="N224" t="s">
        <v>311</v>
      </c>
      <c r="O224">
        <v>21000</v>
      </c>
      <c r="P224" t="s">
        <v>46</v>
      </c>
      <c r="Q224" t="s">
        <v>47</v>
      </c>
      <c r="R224" t="s">
        <v>48</v>
      </c>
      <c r="T224" t="s">
        <v>36</v>
      </c>
      <c r="U224" t="s">
        <v>36</v>
      </c>
      <c r="V224" t="s">
        <v>36</v>
      </c>
      <c r="W224">
        <v>4000</v>
      </c>
      <c r="X224" t="s">
        <v>49</v>
      </c>
      <c r="Y224" t="s">
        <v>50</v>
      </c>
      <c r="Z224" t="s">
        <v>51</v>
      </c>
      <c r="AA224" t="s">
        <v>37</v>
      </c>
      <c r="AB224" t="s">
        <v>52</v>
      </c>
      <c r="AC224" t="s">
        <v>53</v>
      </c>
      <c r="AD224" t="s">
        <v>54</v>
      </c>
      <c r="AE224">
        <v>8.8000831141900004</v>
      </c>
      <c r="AF224">
        <v>1735</v>
      </c>
      <c r="AG224">
        <v>1735.4706408</v>
      </c>
      <c r="AH224">
        <v>88002.259278400001</v>
      </c>
      <c r="AI224">
        <v>49</v>
      </c>
      <c r="AJ224">
        <v>16563.101934444199</v>
      </c>
      <c r="AK224" s="1">
        <f>intersection_ss_Lden___surface[[#This Row],[surf m2 bout ss]]/intersection_ss_Lden___surface[[#This Row],[Shape_Area]]</f>
        <v>0.18821223534779843</v>
      </c>
      <c r="AL224">
        <v>1206</v>
      </c>
      <c r="AM224">
        <f>intersection_ss_Lden___surface[[#This Row],[Population totale 2024 ss]]*intersection_ss_Lden___surface[[#This Row],[Part de la surface du qs dans le noise contour]]</f>
        <v>226.98395582944491</v>
      </c>
    </row>
    <row r="225" spans="1:39" x14ac:dyDescent="0.3">
      <c r="A225">
        <v>255</v>
      </c>
      <c r="B225" t="s">
        <v>442</v>
      </c>
      <c r="C225" t="s">
        <v>443</v>
      </c>
      <c r="D225" t="s">
        <v>444</v>
      </c>
      <c r="E225" t="s">
        <v>444</v>
      </c>
      <c r="F225" t="s">
        <v>426</v>
      </c>
      <c r="G225" t="s">
        <v>427</v>
      </c>
      <c r="H225" t="s">
        <v>428</v>
      </c>
      <c r="I225" t="s">
        <v>429</v>
      </c>
      <c r="J225" t="s">
        <v>36</v>
      </c>
      <c r="K225">
        <v>21004</v>
      </c>
      <c r="L225" t="s">
        <v>309</v>
      </c>
      <c r="M225" t="s">
        <v>310</v>
      </c>
      <c r="N225" t="s">
        <v>311</v>
      </c>
      <c r="O225">
        <v>21000</v>
      </c>
      <c r="P225" t="s">
        <v>46</v>
      </c>
      <c r="Q225" t="s">
        <v>47</v>
      </c>
      <c r="R225" t="s">
        <v>48</v>
      </c>
      <c r="T225" t="s">
        <v>36</v>
      </c>
      <c r="U225" t="s">
        <v>36</v>
      </c>
      <c r="V225" t="s">
        <v>36</v>
      </c>
      <c r="W225">
        <v>4000</v>
      </c>
      <c r="X225" t="s">
        <v>49</v>
      </c>
      <c r="Y225" t="s">
        <v>50</v>
      </c>
      <c r="Z225" t="s">
        <v>51</v>
      </c>
      <c r="AA225" t="s">
        <v>37</v>
      </c>
      <c r="AB225" t="s">
        <v>52</v>
      </c>
      <c r="AC225" t="s">
        <v>53</v>
      </c>
      <c r="AD225" t="s">
        <v>54</v>
      </c>
      <c r="AE225">
        <v>8.8000831141900004</v>
      </c>
      <c r="AF225">
        <v>1735</v>
      </c>
      <c r="AG225">
        <v>1735.4706408</v>
      </c>
      <c r="AH225">
        <v>88002.259278400001</v>
      </c>
      <c r="AI225">
        <v>50</v>
      </c>
      <c r="AJ225">
        <v>71447.575956091299</v>
      </c>
      <c r="AK225" s="1">
        <f>intersection_ss_Lden___surface[[#This Row],[surf m2 bout ss]]/intersection_ss_Lden___surface[[#This Row],[Shape_Area]]</f>
        <v>0.81188342824316539</v>
      </c>
      <c r="AL225">
        <v>1206</v>
      </c>
      <c r="AM225">
        <f>intersection_ss_Lden___surface[[#This Row],[Population totale 2024 ss]]*intersection_ss_Lden___surface[[#This Row],[Part de la surface du qs dans le noise contour]]</f>
        <v>979.13141446125746</v>
      </c>
    </row>
    <row r="226" spans="1:39" x14ac:dyDescent="0.3">
      <c r="A226">
        <v>256</v>
      </c>
      <c r="B226" t="s">
        <v>445</v>
      </c>
      <c r="C226" t="s">
        <v>446</v>
      </c>
      <c r="D226" t="s">
        <v>447</v>
      </c>
      <c r="E226" t="s">
        <v>447</v>
      </c>
      <c r="F226" t="s">
        <v>426</v>
      </c>
      <c r="G226" t="s">
        <v>427</v>
      </c>
      <c r="H226" t="s">
        <v>428</v>
      </c>
      <c r="I226" t="s">
        <v>429</v>
      </c>
      <c r="J226" t="s">
        <v>36</v>
      </c>
      <c r="K226">
        <v>21004</v>
      </c>
      <c r="L226" t="s">
        <v>309</v>
      </c>
      <c r="M226" t="s">
        <v>310</v>
      </c>
      <c r="N226" t="s">
        <v>311</v>
      </c>
      <c r="O226">
        <v>21000</v>
      </c>
      <c r="P226" t="s">
        <v>46</v>
      </c>
      <c r="Q226" t="s">
        <v>47</v>
      </c>
      <c r="R226" t="s">
        <v>48</v>
      </c>
      <c r="T226" t="s">
        <v>36</v>
      </c>
      <c r="U226" t="s">
        <v>36</v>
      </c>
      <c r="V226" t="s">
        <v>36</v>
      </c>
      <c r="W226">
        <v>4000</v>
      </c>
      <c r="X226" t="s">
        <v>49</v>
      </c>
      <c r="Y226" t="s">
        <v>50</v>
      </c>
      <c r="Z226" t="s">
        <v>51</v>
      </c>
      <c r="AA226" t="s">
        <v>37</v>
      </c>
      <c r="AB226" t="s">
        <v>52</v>
      </c>
      <c r="AC226" t="s">
        <v>53</v>
      </c>
      <c r="AD226" t="s">
        <v>54</v>
      </c>
      <c r="AE226">
        <v>164.308821233</v>
      </c>
      <c r="AF226">
        <v>7599</v>
      </c>
      <c r="AG226">
        <v>7599.4216580399998</v>
      </c>
      <c r="AH226">
        <v>1643114.6752200001</v>
      </c>
      <c r="AI226">
        <v>51</v>
      </c>
      <c r="AJ226">
        <v>292313.436875407</v>
      </c>
      <c r="AK226" s="1">
        <f>intersection_ss_Lden___surface[[#This Row],[surf m2 bout ss]]/intersection_ss_Lden___surface[[#This Row],[Shape_Area]]</f>
        <v>0.17790203038401353</v>
      </c>
      <c r="AL226">
        <v>77</v>
      </c>
      <c r="AM226">
        <f>intersection_ss_Lden___surface[[#This Row],[Population totale 2024 ss]]*intersection_ss_Lden___surface[[#This Row],[Part de la surface du qs dans le noise contour]]</f>
        <v>13.698456339569042</v>
      </c>
    </row>
    <row r="227" spans="1:39" x14ac:dyDescent="0.3">
      <c r="A227">
        <v>257</v>
      </c>
      <c r="B227" t="s">
        <v>445</v>
      </c>
      <c r="C227" t="s">
        <v>446</v>
      </c>
      <c r="D227" t="s">
        <v>447</v>
      </c>
      <c r="E227" t="s">
        <v>447</v>
      </c>
      <c r="F227" t="s">
        <v>426</v>
      </c>
      <c r="G227" t="s">
        <v>427</v>
      </c>
      <c r="H227" t="s">
        <v>428</v>
      </c>
      <c r="I227" t="s">
        <v>429</v>
      </c>
      <c r="J227" t="s">
        <v>36</v>
      </c>
      <c r="K227">
        <v>21004</v>
      </c>
      <c r="L227" t="s">
        <v>309</v>
      </c>
      <c r="M227" t="s">
        <v>310</v>
      </c>
      <c r="N227" t="s">
        <v>311</v>
      </c>
      <c r="O227">
        <v>21000</v>
      </c>
      <c r="P227" t="s">
        <v>46</v>
      </c>
      <c r="Q227" t="s">
        <v>47</v>
      </c>
      <c r="R227" t="s">
        <v>48</v>
      </c>
      <c r="T227" t="s">
        <v>36</v>
      </c>
      <c r="U227" t="s">
        <v>36</v>
      </c>
      <c r="V227" t="s">
        <v>36</v>
      </c>
      <c r="W227">
        <v>4000</v>
      </c>
      <c r="X227" t="s">
        <v>49</v>
      </c>
      <c r="Y227" t="s">
        <v>50</v>
      </c>
      <c r="Z227" t="s">
        <v>51</v>
      </c>
      <c r="AA227" t="s">
        <v>37</v>
      </c>
      <c r="AB227" t="s">
        <v>52</v>
      </c>
      <c r="AC227" t="s">
        <v>53</v>
      </c>
      <c r="AD227" t="s">
        <v>54</v>
      </c>
      <c r="AE227">
        <v>164.308821233</v>
      </c>
      <c r="AF227">
        <v>7599</v>
      </c>
      <c r="AG227">
        <v>7599.4216580399998</v>
      </c>
      <c r="AH227">
        <v>1643114.6752200001</v>
      </c>
      <c r="AI227">
        <v>52</v>
      </c>
      <c r="AJ227">
        <v>322907.78660822503</v>
      </c>
      <c r="AK227" s="1">
        <f>intersection_ss_Lden___surface[[#This Row],[surf m2 bout ss]]/intersection_ss_Lden___surface[[#This Row],[Shape_Area]]</f>
        <v>0.19652175924056561</v>
      </c>
      <c r="AL227">
        <v>77</v>
      </c>
      <c r="AM227">
        <f>intersection_ss_Lden___surface[[#This Row],[Population totale 2024 ss]]*intersection_ss_Lden___surface[[#This Row],[Part de la surface du qs dans le noise contour]]</f>
        <v>15.132175461523552</v>
      </c>
    </row>
    <row r="228" spans="1:39" x14ac:dyDescent="0.3">
      <c r="A228">
        <v>258</v>
      </c>
      <c r="B228" t="s">
        <v>445</v>
      </c>
      <c r="C228" t="s">
        <v>446</v>
      </c>
      <c r="D228" t="s">
        <v>447</v>
      </c>
      <c r="E228" t="s">
        <v>447</v>
      </c>
      <c r="F228" t="s">
        <v>426</v>
      </c>
      <c r="G228" t="s">
        <v>427</v>
      </c>
      <c r="H228" t="s">
        <v>428</v>
      </c>
      <c r="I228" t="s">
        <v>429</v>
      </c>
      <c r="J228" t="s">
        <v>36</v>
      </c>
      <c r="K228">
        <v>21004</v>
      </c>
      <c r="L228" t="s">
        <v>309</v>
      </c>
      <c r="M228" t="s">
        <v>310</v>
      </c>
      <c r="N228" t="s">
        <v>311</v>
      </c>
      <c r="O228">
        <v>21000</v>
      </c>
      <c r="P228" t="s">
        <v>46</v>
      </c>
      <c r="Q228" t="s">
        <v>47</v>
      </c>
      <c r="R228" t="s">
        <v>48</v>
      </c>
      <c r="T228" t="s">
        <v>36</v>
      </c>
      <c r="U228" t="s">
        <v>36</v>
      </c>
      <c r="V228" t="s">
        <v>36</v>
      </c>
      <c r="W228">
        <v>4000</v>
      </c>
      <c r="X228" t="s">
        <v>49</v>
      </c>
      <c r="Y228" t="s">
        <v>50</v>
      </c>
      <c r="Z228" t="s">
        <v>51</v>
      </c>
      <c r="AA228" t="s">
        <v>37</v>
      </c>
      <c r="AB228" t="s">
        <v>52</v>
      </c>
      <c r="AC228" t="s">
        <v>53</v>
      </c>
      <c r="AD228" t="s">
        <v>54</v>
      </c>
      <c r="AE228">
        <v>164.308821233</v>
      </c>
      <c r="AF228">
        <v>7599</v>
      </c>
      <c r="AG228">
        <v>7599.4216580399998</v>
      </c>
      <c r="AH228">
        <v>1643114.6752200001</v>
      </c>
      <c r="AI228">
        <v>53</v>
      </c>
      <c r="AJ228">
        <v>236701.86206262201</v>
      </c>
      <c r="AK228" s="1">
        <f>intersection_ss_Lden___surface[[#This Row],[surf m2 bout ss]]/intersection_ss_Lden___surface[[#This Row],[Shape_Area]]</f>
        <v>0.14405681212172819</v>
      </c>
      <c r="AL228">
        <v>77</v>
      </c>
      <c r="AM228">
        <f>intersection_ss_Lden___surface[[#This Row],[Population totale 2024 ss]]*intersection_ss_Lden___surface[[#This Row],[Part de la surface du qs dans le noise contour]]</f>
        <v>11.092374533373071</v>
      </c>
    </row>
    <row r="229" spans="1:39" x14ac:dyDescent="0.3">
      <c r="A229">
        <v>259</v>
      </c>
      <c r="B229" t="s">
        <v>445</v>
      </c>
      <c r="C229" t="s">
        <v>446</v>
      </c>
      <c r="D229" t="s">
        <v>447</v>
      </c>
      <c r="E229" t="s">
        <v>447</v>
      </c>
      <c r="F229" t="s">
        <v>426</v>
      </c>
      <c r="G229" t="s">
        <v>427</v>
      </c>
      <c r="H229" t="s">
        <v>428</v>
      </c>
      <c r="I229" t="s">
        <v>429</v>
      </c>
      <c r="J229" t="s">
        <v>36</v>
      </c>
      <c r="K229">
        <v>21004</v>
      </c>
      <c r="L229" t="s">
        <v>309</v>
      </c>
      <c r="M229" t="s">
        <v>310</v>
      </c>
      <c r="N229" t="s">
        <v>311</v>
      </c>
      <c r="O229">
        <v>21000</v>
      </c>
      <c r="P229" t="s">
        <v>46</v>
      </c>
      <c r="Q229" t="s">
        <v>47</v>
      </c>
      <c r="R229" t="s">
        <v>48</v>
      </c>
      <c r="T229" t="s">
        <v>36</v>
      </c>
      <c r="U229" t="s">
        <v>36</v>
      </c>
      <c r="V229" t="s">
        <v>36</v>
      </c>
      <c r="W229">
        <v>4000</v>
      </c>
      <c r="X229" t="s">
        <v>49</v>
      </c>
      <c r="Y229" t="s">
        <v>50</v>
      </c>
      <c r="Z229" t="s">
        <v>51</v>
      </c>
      <c r="AA229" t="s">
        <v>37</v>
      </c>
      <c r="AB229" t="s">
        <v>52</v>
      </c>
      <c r="AC229" t="s">
        <v>53</v>
      </c>
      <c r="AD229" t="s">
        <v>54</v>
      </c>
      <c r="AE229">
        <v>164.308821233</v>
      </c>
      <c r="AF229">
        <v>7599</v>
      </c>
      <c r="AG229">
        <v>7599.4216580399998</v>
      </c>
      <c r="AH229">
        <v>1643114.6752200001</v>
      </c>
      <c r="AI229">
        <v>54</v>
      </c>
      <c r="AJ229">
        <v>224267.588872908</v>
      </c>
      <c r="AK229" s="1">
        <f>intersection_ss_Lden___surface[[#This Row],[surf m2 bout ss]]/intersection_ss_Lden___surface[[#This Row],[Shape_Area]]</f>
        <v>0.1364893103659246</v>
      </c>
      <c r="AL229">
        <v>77</v>
      </c>
      <c r="AM229">
        <f>intersection_ss_Lden___surface[[#This Row],[Population totale 2024 ss]]*intersection_ss_Lden___surface[[#This Row],[Part de la surface du qs dans le noise contour]]</f>
        <v>10.509676898176194</v>
      </c>
    </row>
    <row r="230" spans="1:39" x14ac:dyDescent="0.3">
      <c r="A230">
        <v>260</v>
      </c>
      <c r="B230" t="s">
        <v>445</v>
      </c>
      <c r="C230" t="s">
        <v>446</v>
      </c>
      <c r="D230" t="s">
        <v>447</v>
      </c>
      <c r="E230" t="s">
        <v>447</v>
      </c>
      <c r="F230" t="s">
        <v>426</v>
      </c>
      <c r="G230" t="s">
        <v>427</v>
      </c>
      <c r="H230" t="s">
        <v>428</v>
      </c>
      <c r="I230" t="s">
        <v>429</v>
      </c>
      <c r="J230" t="s">
        <v>36</v>
      </c>
      <c r="K230">
        <v>21004</v>
      </c>
      <c r="L230" t="s">
        <v>309</v>
      </c>
      <c r="M230" t="s">
        <v>310</v>
      </c>
      <c r="N230" t="s">
        <v>311</v>
      </c>
      <c r="O230">
        <v>21000</v>
      </c>
      <c r="P230" t="s">
        <v>46</v>
      </c>
      <c r="Q230" t="s">
        <v>47</v>
      </c>
      <c r="R230" t="s">
        <v>48</v>
      </c>
      <c r="T230" t="s">
        <v>36</v>
      </c>
      <c r="U230" t="s">
        <v>36</v>
      </c>
      <c r="V230" t="s">
        <v>36</v>
      </c>
      <c r="W230">
        <v>4000</v>
      </c>
      <c r="X230" t="s">
        <v>49</v>
      </c>
      <c r="Y230" t="s">
        <v>50</v>
      </c>
      <c r="Z230" t="s">
        <v>51</v>
      </c>
      <c r="AA230" t="s">
        <v>37</v>
      </c>
      <c r="AB230" t="s">
        <v>52</v>
      </c>
      <c r="AC230" t="s">
        <v>53</v>
      </c>
      <c r="AD230" t="s">
        <v>54</v>
      </c>
      <c r="AE230">
        <v>164.308821233</v>
      </c>
      <c r="AF230">
        <v>7599</v>
      </c>
      <c r="AG230">
        <v>7599.4216580399998</v>
      </c>
      <c r="AH230">
        <v>1643114.6752200001</v>
      </c>
      <c r="AI230">
        <v>55</v>
      </c>
      <c r="AJ230">
        <v>254485.663269296</v>
      </c>
      <c r="AK230" s="1">
        <f>intersection_ss_Lden___surface[[#This Row],[surf m2 bout ss]]/intersection_ss_Lden___surface[[#This Row],[Shape_Area]]</f>
        <v>0.15488003795914146</v>
      </c>
      <c r="AL230">
        <v>77</v>
      </c>
      <c r="AM230">
        <f>intersection_ss_Lden___surface[[#This Row],[Population totale 2024 ss]]*intersection_ss_Lden___surface[[#This Row],[Part de la surface du qs dans le noise contour]]</f>
        <v>11.925762922853892</v>
      </c>
    </row>
    <row r="231" spans="1:39" x14ac:dyDescent="0.3">
      <c r="A231">
        <v>261</v>
      </c>
      <c r="B231" t="s">
        <v>445</v>
      </c>
      <c r="C231" t="s">
        <v>446</v>
      </c>
      <c r="D231" t="s">
        <v>447</v>
      </c>
      <c r="E231" t="s">
        <v>447</v>
      </c>
      <c r="F231" t="s">
        <v>426</v>
      </c>
      <c r="G231" t="s">
        <v>427</v>
      </c>
      <c r="H231" t="s">
        <v>428</v>
      </c>
      <c r="I231" t="s">
        <v>429</v>
      </c>
      <c r="J231" t="s">
        <v>36</v>
      </c>
      <c r="K231">
        <v>21004</v>
      </c>
      <c r="L231" t="s">
        <v>309</v>
      </c>
      <c r="M231" t="s">
        <v>310</v>
      </c>
      <c r="N231" t="s">
        <v>311</v>
      </c>
      <c r="O231">
        <v>21000</v>
      </c>
      <c r="P231" t="s">
        <v>46</v>
      </c>
      <c r="Q231" t="s">
        <v>47</v>
      </c>
      <c r="R231" t="s">
        <v>48</v>
      </c>
      <c r="T231" t="s">
        <v>36</v>
      </c>
      <c r="U231" t="s">
        <v>36</v>
      </c>
      <c r="V231" t="s">
        <v>36</v>
      </c>
      <c r="W231">
        <v>4000</v>
      </c>
      <c r="X231" t="s">
        <v>49</v>
      </c>
      <c r="Y231" t="s">
        <v>50</v>
      </c>
      <c r="Z231" t="s">
        <v>51</v>
      </c>
      <c r="AA231" t="s">
        <v>37</v>
      </c>
      <c r="AB231" t="s">
        <v>52</v>
      </c>
      <c r="AC231" t="s">
        <v>53</v>
      </c>
      <c r="AD231" t="s">
        <v>54</v>
      </c>
      <c r="AE231">
        <v>164.308821233</v>
      </c>
      <c r="AF231">
        <v>7599</v>
      </c>
      <c r="AG231">
        <v>7599.4216580399998</v>
      </c>
      <c r="AH231">
        <v>1643114.6752200001</v>
      </c>
      <c r="AI231">
        <v>56</v>
      </c>
      <c r="AJ231">
        <v>246406.29688533201</v>
      </c>
      <c r="AK231" s="1">
        <f>intersection_ss_Lden___surface[[#This Row],[surf m2 bout ss]]/intersection_ss_Lden___surface[[#This Row],[Shape_Area]]</f>
        <v>0.14996293356843163</v>
      </c>
      <c r="AL231">
        <v>77</v>
      </c>
      <c r="AM231">
        <f>intersection_ss_Lden___surface[[#This Row],[Population totale 2024 ss]]*intersection_ss_Lden___surface[[#This Row],[Part de la surface du qs dans le noise contour]]</f>
        <v>11.547145884769236</v>
      </c>
    </row>
    <row r="232" spans="1:39" x14ac:dyDescent="0.3">
      <c r="A232">
        <v>262</v>
      </c>
      <c r="B232" t="s">
        <v>445</v>
      </c>
      <c r="C232" t="s">
        <v>446</v>
      </c>
      <c r="D232" t="s">
        <v>447</v>
      </c>
      <c r="E232" t="s">
        <v>447</v>
      </c>
      <c r="F232" t="s">
        <v>426</v>
      </c>
      <c r="G232" t="s">
        <v>427</v>
      </c>
      <c r="H232" t="s">
        <v>428</v>
      </c>
      <c r="I232" t="s">
        <v>429</v>
      </c>
      <c r="J232" t="s">
        <v>36</v>
      </c>
      <c r="K232">
        <v>21004</v>
      </c>
      <c r="L232" t="s">
        <v>309</v>
      </c>
      <c r="M232" t="s">
        <v>310</v>
      </c>
      <c r="N232" t="s">
        <v>311</v>
      </c>
      <c r="O232">
        <v>21000</v>
      </c>
      <c r="P232" t="s">
        <v>46</v>
      </c>
      <c r="Q232" t="s">
        <v>47</v>
      </c>
      <c r="R232" t="s">
        <v>48</v>
      </c>
      <c r="T232" t="s">
        <v>36</v>
      </c>
      <c r="U232" t="s">
        <v>36</v>
      </c>
      <c r="V232" t="s">
        <v>36</v>
      </c>
      <c r="W232">
        <v>4000</v>
      </c>
      <c r="X232" t="s">
        <v>49</v>
      </c>
      <c r="Y232" t="s">
        <v>50</v>
      </c>
      <c r="Z232" t="s">
        <v>51</v>
      </c>
      <c r="AA232" t="s">
        <v>37</v>
      </c>
      <c r="AB232" t="s">
        <v>52</v>
      </c>
      <c r="AC232" t="s">
        <v>53</v>
      </c>
      <c r="AD232" t="s">
        <v>54</v>
      </c>
      <c r="AE232">
        <v>164.308821233</v>
      </c>
      <c r="AF232">
        <v>7599</v>
      </c>
      <c r="AG232">
        <v>7599.4216580399998</v>
      </c>
      <c r="AH232">
        <v>1643114.6752200001</v>
      </c>
      <c r="AI232">
        <v>57</v>
      </c>
      <c r="AJ232">
        <v>66181.605751443698</v>
      </c>
      <c r="AK232" s="1">
        <f>intersection_ss_Lden___surface[[#This Row],[surf m2 bout ss]]/intersection_ss_Lden___surface[[#This Row],[Shape_Area]]</f>
        <v>4.0278141720438657E-2</v>
      </c>
      <c r="AL232">
        <v>77</v>
      </c>
      <c r="AM232">
        <f>intersection_ss_Lden___surface[[#This Row],[Population totale 2024 ss]]*intersection_ss_Lden___surface[[#This Row],[Part de la surface du qs dans le noise contour]]</f>
        <v>3.1014169124737765</v>
      </c>
    </row>
    <row r="233" spans="1:39" x14ac:dyDescent="0.3">
      <c r="A233">
        <v>263</v>
      </c>
      <c r="B233" t="s">
        <v>448</v>
      </c>
      <c r="C233" t="s">
        <v>449</v>
      </c>
      <c r="D233" t="s">
        <v>450</v>
      </c>
      <c r="E233" t="s">
        <v>450</v>
      </c>
      <c r="F233" t="s">
        <v>426</v>
      </c>
      <c r="G233" t="s">
        <v>427</v>
      </c>
      <c r="H233" t="s">
        <v>428</v>
      </c>
      <c r="I233" t="s">
        <v>429</v>
      </c>
      <c r="J233" t="s">
        <v>36</v>
      </c>
      <c r="K233">
        <v>21004</v>
      </c>
      <c r="L233" t="s">
        <v>309</v>
      </c>
      <c r="M233" t="s">
        <v>310</v>
      </c>
      <c r="N233" t="s">
        <v>311</v>
      </c>
      <c r="O233">
        <v>21000</v>
      </c>
      <c r="P233" t="s">
        <v>46</v>
      </c>
      <c r="Q233" t="s">
        <v>47</v>
      </c>
      <c r="R233" t="s">
        <v>48</v>
      </c>
      <c r="T233" t="s">
        <v>36</v>
      </c>
      <c r="U233" t="s">
        <v>36</v>
      </c>
      <c r="V233" t="s">
        <v>36</v>
      </c>
      <c r="W233">
        <v>4000</v>
      </c>
      <c r="X233" t="s">
        <v>49</v>
      </c>
      <c r="Y233" t="s">
        <v>50</v>
      </c>
      <c r="Z233" t="s">
        <v>51</v>
      </c>
      <c r="AA233" t="s">
        <v>37</v>
      </c>
      <c r="AB233" t="s">
        <v>52</v>
      </c>
      <c r="AC233" t="s">
        <v>53</v>
      </c>
      <c r="AD233" t="s">
        <v>54</v>
      </c>
      <c r="AE233">
        <v>51.108026607699998</v>
      </c>
      <c r="AF233">
        <v>3395</v>
      </c>
      <c r="AG233">
        <v>3394.6082305099999</v>
      </c>
      <c r="AH233">
        <v>511088.49808300001</v>
      </c>
      <c r="AI233">
        <v>49</v>
      </c>
      <c r="AJ233">
        <v>194763.213881907</v>
      </c>
      <c r="AK233" s="1">
        <f>intersection_ss_Lden___surface[[#This Row],[surf m2 bout ss]]/intersection_ss_Lden___surface[[#This Row],[Shape_Area]]</f>
        <v>0.38107532181300963</v>
      </c>
      <c r="AL233">
        <v>844</v>
      </c>
      <c r="AM233">
        <f>intersection_ss_Lden___surface[[#This Row],[Population totale 2024 ss]]*intersection_ss_Lden___surface[[#This Row],[Part de la surface du qs dans le noise contour]]</f>
        <v>321.6275716101801</v>
      </c>
    </row>
    <row r="234" spans="1:39" x14ac:dyDescent="0.3">
      <c r="A234">
        <v>264</v>
      </c>
      <c r="B234" t="s">
        <v>448</v>
      </c>
      <c r="C234" t="s">
        <v>449</v>
      </c>
      <c r="D234" t="s">
        <v>450</v>
      </c>
      <c r="E234" t="s">
        <v>450</v>
      </c>
      <c r="F234" t="s">
        <v>426</v>
      </c>
      <c r="G234" t="s">
        <v>427</v>
      </c>
      <c r="H234" t="s">
        <v>428</v>
      </c>
      <c r="I234" t="s">
        <v>429</v>
      </c>
      <c r="J234" t="s">
        <v>36</v>
      </c>
      <c r="K234">
        <v>21004</v>
      </c>
      <c r="L234" t="s">
        <v>309</v>
      </c>
      <c r="M234" t="s">
        <v>310</v>
      </c>
      <c r="N234" t="s">
        <v>311</v>
      </c>
      <c r="O234">
        <v>21000</v>
      </c>
      <c r="P234" t="s">
        <v>46</v>
      </c>
      <c r="Q234" t="s">
        <v>47</v>
      </c>
      <c r="R234" t="s">
        <v>48</v>
      </c>
      <c r="T234" t="s">
        <v>36</v>
      </c>
      <c r="U234" t="s">
        <v>36</v>
      </c>
      <c r="V234" t="s">
        <v>36</v>
      </c>
      <c r="W234">
        <v>4000</v>
      </c>
      <c r="X234" t="s">
        <v>49</v>
      </c>
      <c r="Y234" t="s">
        <v>50</v>
      </c>
      <c r="Z234" t="s">
        <v>51</v>
      </c>
      <c r="AA234" t="s">
        <v>37</v>
      </c>
      <c r="AB234" t="s">
        <v>52</v>
      </c>
      <c r="AC234" t="s">
        <v>53</v>
      </c>
      <c r="AD234" t="s">
        <v>54</v>
      </c>
      <c r="AE234">
        <v>51.108026607699998</v>
      </c>
      <c r="AF234">
        <v>3395</v>
      </c>
      <c r="AG234">
        <v>3394.6082305099999</v>
      </c>
      <c r="AH234">
        <v>511088.49808300001</v>
      </c>
      <c r="AI234">
        <v>50</v>
      </c>
      <c r="AJ234">
        <v>316373.38557286502</v>
      </c>
      <c r="AK234" s="1">
        <f>intersection_ss_Lden___surface[[#This Row],[surf m2 bout ss]]/intersection_ss_Lden___surface[[#This Row],[Shape_Area]]</f>
        <v>0.61901879373048707</v>
      </c>
      <c r="AL234">
        <v>844</v>
      </c>
      <c r="AM234">
        <f>intersection_ss_Lden___surface[[#This Row],[Population totale 2024 ss]]*intersection_ss_Lden___surface[[#This Row],[Part de la surface du qs dans le noise contour]]</f>
        <v>522.4518619085311</v>
      </c>
    </row>
    <row r="235" spans="1:39" x14ac:dyDescent="0.3">
      <c r="A235">
        <v>265</v>
      </c>
      <c r="B235" t="s">
        <v>451</v>
      </c>
      <c r="C235" t="s">
        <v>452</v>
      </c>
      <c r="D235" t="s">
        <v>453</v>
      </c>
      <c r="E235" t="s">
        <v>453</v>
      </c>
      <c r="F235" t="s">
        <v>454</v>
      </c>
      <c r="G235" t="s">
        <v>455</v>
      </c>
      <c r="H235" t="s">
        <v>456</v>
      </c>
      <c r="I235" t="s">
        <v>457</v>
      </c>
      <c r="J235" t="s">
        <v>36</v>
      </c>
      <c r="K235">
        <v>21004</v>
      </c>
      <c r="L235" t="s">
        <v>309</v>
      </c>
      <c r="M235" t="s">
        <v>310</v>
      </c>
      <c r="N235" t="s">
        <v>311</v>
      </c>
      <c r="O235">
        <v>21000</v>
      </c>
      <c r="P235" t="s">
        <v>46</v>
      </c>
      <c r="Q235" t="s">
        <v>47</v>
      </c>
      <c r="R235" t="s">
        <v>48</v>
      </c>
      <c r="T235" t="s">
        <v>36</v>
      </c>
      <c r="U235" t="s">
        <v>36</v>
      </c>
      <c r="V235" t="s">
        <v>36</v>
      </c>
      <c r="W235">
        <v>4000</v>
      </c>
      <c r="X235" t="s">
        <v>49</v>
      </c>
      <c r="Y235" t="s">
        <v>50</v>
      </c>
      <c r="Z235" t="s">
        <v>51</v>
      </c>
      <c r="AA235" t="s">
        <v>37</v>
      </c>
      <c r="AB235" t="s">
        <v>52</v>
      </c>
      <c r="AC235" t="s">
        <v>53</v>
      </c>
      <c r="AD235" t="s">
        <v>54</v>
      </c>
      <c r="AE235">
        <v>13.7453583065</v>
      </c>
      <c r="AF235">
        <v>3426</v>
      </c>
      <c r="AG235">
        <v>3426.0515056200002</v>
      </c>
      <c r="AH235">
        <v>137455.800017</v>
      </c>
      <c r="AI235">
        <v>50</v>
      </c>
      <c r="AJ235">
        <v>3575.6103741563902</v>
      </c>
      <c r="AK235" s="1">
        <f>intersection_ss_Lden___surface[[#This Row],[surf m2 bout ss]]/intersection_ss_Lden___surface[[#This Row],[Shape_Area]]</f>
        <v>2.6012801014683794E-2</v>
      </c>
      <c r="AL235">
        <v>2181</v>
      </c>
      <c r="AM235">
        <f>intersection_ss_Lden___surface[[#This Row],[Population totale 2024 ss]]*intersection_ss_Lden___surface[[#This Row],[Part de la surface du qs dans le noise contour]]</f>
        <v>56.733919013025357</v>
      </c>
    </row>
    <row r="236" spans="1:39" x14ac:dyDescent="0.3">
      <c r="A236">
        <v>266</v>
      </c>
      <c r="B236" t="s">
        <v>451</v>
      </c>
      <c r="C236" t="s">
        <v>452</v>
      </c>
      <c r="D236" t="s">
        <v>453</v>
      </c>
      <c r="E236" t="s">
        <v>453</v>
      </c>
      <c r="F236" t="s">
        <v>454</v>
      </c>
      <c r="G236" t="s">
        <v>455</v>
      </c>
      <c r="H236" t="s">
        <v>456</v>
      </c>
      <c r="I236" t="s">
        <v>457</v>
      </c>
      <c r="J236" t="s">
        <v>36</v>
      </c>
      <c r="K236">
        <v>21004</v>
      </c>
      <c r="L236" t="s">
        <v>309</v>
      </c>
      <c r="M236" t="s">
        <v>310</v>
      </c>
      <c r="N236" t="s">
        <v>311</v>
      </c>
      <c r="O236">
        <v>21000</v>
      </c>
      <c r="P236" t="s">
        <v>46</v>
      </c>
      <c r="Q236" t="s">
        <v>47</v>
      </c>
      <c r="R236" t="s">
        <v>48</v>
      </c>
      <c r="T236" t="s">
        <v>36</v>
      </c>
      <c r="U236" t="s">
        <v>36</v>
      </c>
      <c r="V236" t="s">
        <v>36</v>
      </c>
      <c r="W236">
        <v>4000</v>
      </c>
      <c r="X236" t="s">
        <v>49</v>
      </c>
      <c r="Y236" t="s">
        <v>50</v>
      </c>
      <c r="Z236" t="s">
        <v>51</v>
      </c>
      <c r="AA236" t="s">
        <v>37</v>
      </c>
      <c r="AB236" t="s">
        <v>52</v>
      </c>
      <c r="AC236" t="s">
        <v>53</v>
      </c>
      <c r="AD236" t="s">
        <v>54</v>
      </c>
      <c r="AE236">
        <v>13.7453583065</v>
      </c>
      <c r="AF236">
        <v>3426</v>
      </c>
      <c r="AG236">
        <v>3426.0515056200002</v>
      </c>
      <c r="AH236">
        <v>137455.800017</v>
      </c>
      <c r="AI236">
        <v>51</v>
      </c>
      <c r="AJ236">
        <v>131450.00139677999</v>
      </c>
      <c r="AK236" s="1">
        <f>intersection_ss_Lden___surface[[#This Row],[surf m2 bout ss]]/intersection_ss_Lden___surface[[#This Row],[Shape_Area]]</f>
        <v>0.95630741940698583</v>
      </c>
      <c r="AL236">
        <v>2181</v>
      </c>
      <c r="AM236">
        <f>intersection_ss_Lden___surface[[#This Row],[Population totale 2024 ss]]*intersection_ss_Lden___surface[[#This Row],[Part de la surface du qs dans le noise contour]]</f>
        <v>2085.706481726636</v>
      </c>
    </row>
    <row r="237" spans="1:39" x14ac:dyDescent="0.3">
      <c r="A237">
        <v>267</v>
      </c>
      <c r="B237" t="s">
        <v>451</v>
      </c>
      <c r="C237" t="s">
        <v>452</v>
      </c>
      <c r="D237" t="s">
        <v>453</v>
      </c>
      <c r="E237" t="s">
        <v>453</v>
      </c>
      <c r="F237" t="s">
        <v>454</v>
      </c>
      <c r="G237" t="s">
        <v>455</v>
      </c>
      <c r="H237" t="s">
        <v>456</v>
      </c>
      <c r="I237" t="s">
        <v>457</v>
      </c>
      <c r="J237" t="s">
        <v>36</v>
      </c>
      <c r="K237">
        <v>21004</v>
      </c>
      <c r="L237" t="s">
        <v>309</v>
      </c>
      <c r="M237" t="s">
        <v>310</v>
      </c>
      <c r="N237" t="s">
        <v>311</v>
      </c>
      <c r="O237">
        <v>21000</v>
      </c>
      <c r="P237" t="s">
        <v>46</v>
      </c>
      <c r="Q237" t="s">
        <v>47</v>
      </c>
      <c r="R237" t="s">
        <v>48</v>
      </c>
      <c r="T237" t="s">
        <v>36</v>
      </c>
      <c r="U237" t="s">
        <v>36</v>
      </c>
      <c r="V237" t="s">
        <v>36</v>
      </c>
      <c r="W237">
        <v>4000</v>
      </c>
      <c r="X237" t="s">
        <v>49</v>
      </c>
      <c r="Y237" t="s">
        <v>50</v>
      </c>
      <c r="Z237" t="s">
        <v>51</v>
      </c>
      <c r="AA237" t="s">
        <v>37</v>
      </c>
      <c r="AB237" t="s">
        <v>52</v>
      </c>
      <c r="AC237" t="s">
        <v>53</v>
      </c>
      <c r="AD237" t="s">
        <v>54</v>
      </c>
      <c r="AE237">
        <v>13.7453583065</v>
      </c>
      <c r="AF237">
        <v>3426</v>
      </c>
      <c r="AG237">
        <v>3426.0515056200002</v>
      </c>
      <c r="AH237">
        <v>137455.800017</v>
      </c>
      <c r="AI237">
        <v>52</v>
      </c>
      <c r="AJ237">
        <v>2442.7763650175202</v>
      </c>
      <c r="AK237" s="1">
        <f>intersection_ss_Lden___surface[[#This Row],[surf m2 bout ss]]/intersection_ss_Lden___surface[[#This Row],[Shape_Area]]</f>
        <v>1.7771358972960088E-2</v>
      </c>
      <c r="AL237">
        <v>2181</v>
      </c>
      <c r="AM237">
        <f>intersection_ss_Lden___surface[[#This Row],[Population totale 2024 ss]]*intersection_ss_Lden___surface[[#This Row],[Part de la surface du qs dans le noise contour]]</f>
        <v>38.759333920025952</v>
      </c>
    </row>
    <row r="238" spans="1:39" x14ac:dyDescent="0.3">
      <c r="A238">
        <v>268</v>
      </c>
      <c r="B238" t="s">
        <v>458</v>
      </c>
      <c r="C238" t="s">
        <v>459</v>
      </c>
      <c r="D238" t="s">
        <v>460</v>
      </c>
      <c r="E238" t="s">
        <v>460</v>
      </c>
      <c r="F238" t="s">
        <v>454</v>
      </c>
      <c r="G238" t="s">
        <v>455</v>
      </c>
      <c r="H238" t="s">
        <v>456</v>
      </c>
      <c r="I238" t="s">
        <v>457</v>
      </c>
      <c r="J238" t="s">
        <v>36</v>
      </c>
      <c r="K238">
        <v>21004</v>
      </c>
      <c r="L238" t="s">
        <v>309</v>
      </c>
      <c r="M238" t="s">
        <v>310</v>
      </c>
      <c r="N238" t="s">
        <v>311</v>
      </c>
      <c r="O238">
        <v>21000</v>
      </c>
      <c r="P238" t="s">
        <v>46</v>
      </c>
      <c r="Q238" t="s">
        <v>47</v>
      </c>
      <c r="R238" t="s">
        <v>48</v>
      </c>
      <c r="T238" t="s">
        <v>36</v>
      </c>
      <c r="U238" t="s">
        <v>36</v>
      </c>
      <c r="V238" t="s">
        <v>36</v>
      </c>
      <c r="W238">
        <v>4000</v>
      </c>
      <c r="X238" t="s">
        <v>49</v>
      </c>
      <c r="Y238" t="s">
        <v>50</v>
      </c>
      <c r="Z238" t="s">
        <v>51</v>
      </c>
      <c r="AA238" t="s">
        <v>37</v>
      </c>
      <c r="AB238" t="s">
        <v>52</v>
      </c>
      <c r="AC238" t="s">
        <v>53</v>
      </c>
      <c r="AD238" t="s">
        <v>54</v>
      </c>
      <c r="AE238">
        <v>2.1035161171499999</v>
      </c>
      <c r="AF238">
        <v>713</v>
      </c>
      <c r="AG238">
        <v>712.93773474099999</v>
      </c>
      <c r="AH238">
        <v>21035.4872068</v>
      </c>
      <c r="AI238">
        <v>50</v>
      </c>
      <c r="AJ238">
        <v>15373.179841388001</v>
      </c>
      <c r="AK238" s="1">
        <f>intersection_ss_Lden___surface[[#This Row],[surf m2 bout ss]]/intersection_ss_Lden___surface[[#This Row],[Shape_Area]]</f>
        <v>0.73082119231440557</v>
      </c>
      <c r="AL238">
        <v>549</v>
      </c>
      <c r="AM238">
        <f>intersection_ss_Lden___surface[[#This Row],[Population totale 2024 ss]]*intersection_ss_Lden___surface[[#This Row],[Part de la surface du qs dans le noise contour]]</f>
        <v>401.22083458060865</v>
      </c>
    </row>
    <row r="239" spans="1:39" x14ac:dyDescent="0.3">
      <c r="A239">
        <v>269</v>
      </c>
      <c r="B239" t="s">
        <v>458</v>
      </c>
      <c r="C239" t="s">
        <v>459</v>
      </c>
      <c r="D239" t="s">
        <v>460</v>
      </c>
      <c r="E239" t="s">
        <v>460</v>
      </c>
      <c r="F239" t="s">
        <v>454</v>
      </c>
      <c r="G239" t="s">
        <v>455</v>
      </c>
      <c r="H239" t="s">
        <v>456</v>
      </c>
      <c r="I239" t="s">
        <v>457</v>
      </c>
      <c r="J239" t="s">
        <v>36</v>
      </c>
      <c r="K239">
        <v>21004</v>
      </c>
      <c r="L239" t="s">
        <v>309</v>
      </c>
      <c r="M239" t="s">
        <v>310</v>
      </c>
      <c r="N239" t="s">
        <v>311</v>
      </c>
      <c r="O239">
        <v>21000</v>
      </c>
      <c r="P239" t="s">
        <v>46</v>
      </c>
      <c r="Q239" t="s">
        <v>47</v>
      </c>
      <c r="R239" t="s">
        <v>48</v>
      </c>
      <c r="T239" t="s">
        <v>36</v>
      </c>
      <c r="U239" t="s">
        <v>36</v>
      </c>
      <c r="V239" t="s">
        <v>36</v>
      </c>
      <c r="W239">
        <v>4000</v>
      </c>
      <c r="X239" t="s">
        <v>49</v>
      </c>
      <c r="Y239" t="s">
        <v>50</v>
      </c>
      <c r="Z239" t="s">
        <v>51</v>
      </c>
      <c r="AA239" t="s">
        <v>37</v>
      </c>
      <c r="AB239" t="s">
        <v>52</v>
      </c>
      <c r="AC239" t="s">
        <v>53</v>
      </c>
      <c r="AD239" t="s">
        <v>54</v>
      </c>
      <c r="AE239">
        <v>2.1035161171499999</v>
      </c>
      <c r="AF239">
        <v>713</v>
      </c>
      <c r="AG239">
        <v>712.93773474099999</v>
      </c>
      <c r="AH239">
        <v>21035.4872068</v>
      </c>
      <c r="AI239">
        <v>51</v>
      </c>
      <c r="AJ239">
        <v>5664.2287044599698</v>
      </c>
      <c r="AK239" s="1">
        <f>intersection_ss_Lden___surface[[#This Row],[surf m2 bout ss]]/intersection_ss_Lden___surface[[#This Row],[Shape_Area]]</f>
        <v>0.26927014567216362</v>
      </c>
      <c r="AL239">
        <v>549</v>
      </c>
      <c r="AM239">
        <f>intersection_ss_Lden___surface[[#This Row],[Population totale 2024 ss]]*intersection_ss_Lden___surface[[#This Row],[Part de la surface du qs dans le noise contour]]</f>
        <v>147.82930997401783</v>
      </c>
    </row>
    <row r="240" spans="1:39" x14ac:dyDescent="0.3">
      <c r="A240">
        <v>270</v>
      </c>
      <c r="B240" t="s">
        <v>461</v>
      </c>
      <c r="C240" t="s">
        <v>462</v>
      </c>
      <c r="D240" t="s">
        <v>463</v>
      </c>
      <c r="E240" t="s">
        <v>463</v>
      </c>
      <c r="F240" t="s">
        <v>454</v>
      </c>
      <c r="G240" t="s">
        <v>455</v>
      </c>
      <c r="H240" t="s">
        <v>456</v>
      </c>
      <c r="I240" t="s">
        <v>457</v>
      </c>
      <c r="J240" t="s">
        <v>36</v>
      </c>
      <c r="K240">
        <v>21004</v>
      </c>
      <c r="L240" t="s">
        <v>309</v>
      </c>
      <c r="M240" t="s">
        <v>310</v>
      </c>
      <c r="N240" t="s">
        <v>311</v>
      </c>
      <c r="O240">
        <v>21000</v>
      </c>
      <c r="P240" t="s">
        <v>46</v>
      </c>
      <c r="Q240" t="s">
        <v>47</v>
      </c>
      <c r="R240" t="s">
        <v>48</v>
      </c>
      <c r="T240" t="s">
        <v>36</v>
      </c>
      <c r="U240" t="s">
        <v>36</v>
      </c>
      <c r="V240" t="s">
        <v>36</v>
      </c>
      <c r="W240">
        <v>4000</v>
      </c>
      <c r="X240" t="s">
        <v>49</v>
      </c>
      <c r="Y240" t="s">
        <v>50</v>
      </c>
      <c r="Z240" t="s">
        <v>51</v>
      </c>
      <c r="AA240" t="s">
        <v>37</v>
      </c>
      <c r="AB240" t="s">
        <v>52</v>
      </c>
      <c r="AC240" t="s">
        <v>53</v>
      </c>
      <c r="AD240" t="s">
        <v>54</v>
      </c>
      <c r="AE240">
        <v>24.627124170999998</v>
      </c>
      <c r="AF240">
        <v>2151</v>
      </c>
      <c r="AG240">
        <v>2150.5926627099998</v>
      </c>
      <c r="AH240">
        <v>246275.20621599999</v>
      </c>
      <c r="AI240">
        <v>49</v>
      </c>
      <c r="AJ240">
        <v>91905.562472557605</v>
      </c>
      <c r="AK240" s="1">
        <f>intersection_ss_Lden___surface[[#This Row],[surf m2 bout ss]]/intersection_ss_Lden___surface[[#This Row],[Shape_Area]]</f>
        <v>0.37318235921788334</v>
      </c>
      <c r="AL240">
        <v>5225</v>
      </c>
      <c r="AM240">
        <f>intersection_ss_Lden___surface[[#This Row],[Population totale 2024 ss]]*intersection_ss_Lden___surface[[#This Row],[Part de la surface du qs dans le noise contour]]</f>
        <v>1949.8778269134405</v>
      </c>
    </row>
    <row r="241" spans="1:39" x14ac:dyDescent="0.3">
      <c r="A241">
        <v>271</v>
      </c>
      <c r="B241" t="s">
        <v>461</v>
      </c>
      <c r="C241" t="s">
        <v>462</v>
      </c>
      <c r="D241" t="s">
        <v>463</v>
      </c>
      <c r="E241" t="s">
        <v>463</v>
      </c>
      <c r="F241" t="s">
        <v>454</v>
      </c>
      <c r="G241" t="s">
        <v>455</v>
      </c>
      <c r="H241" t="s">
        <v>456</v>
      </c>
      <c r="I241" t="s">
        <v>457</v>
      </c>
      <c r="J241" t="s">
        <v>36</v>
      </c>
      <c r="K241">
        <v>21004</v>
      </c>
      <c r="L241" t="s">
        <v>309</v>
      </c>
      <c r="M241" t="s">
        <v>310</v>
      </c>
      <c r="N241" t="s">
        <v>311</v>
      </c>
      <c r="O241">
        <v>21000</v>
      </c>
      <c r="P241" t="s">
        <v>46</v>
      </c>
      <c r="Q241" t="s">
        <v>47</v>
      </c>
      <c r="R241" t="s">
        <v>48</v>
      </c>
      <c r="T241" t="s">
        <v>36</v>
      </c>
      <c r="U241" t="s">
        <v>36</v>
      </c>
      <c r="V241" t="s">
        <v>36</v>
      </c>
      <c r="W241">
        <v>4000</v>
      </c>
      <c r="X241" t="s">
        <v>49</v>
      </c>
      <c r="Y241" t="s">
        <v>50</v>
      </c>
      <c r="Z241" t="s">
        <v>51</v>
      </c>
      <c r="AA241" t="s">
        <v>37</v>
      </c>
      <c r="AB241" t="s">
        <v>52</v>
      </c>
      <c r="AC241" t="s">
        <v>53</v>
      </c>
      <c r="AD241" t="s">
        <v>54</v>
      </c>
      <c r="AE241">
        <v>24.627124170999998</v>
      </c>
      <c r="AF241">
        <v>2151</v>
      </c>
      <c r="AG241">
        <v>2150.5926627099998</v>
      </c>
      <c r="AH241">
        <v>246275.20621599999</v>
      </c>
      <c r="AI241">
        <v>50</v>
      </c>
      <c r="AJ241">
        <v>154391.95398384999</v>
      </c>
      <c r="AK241" s="1">
        <f>intersection_ss_Lden___surface[[#This Row],[surf m2 bout ss]]/intersection_ss_Lden___surface[[#This Row],[Shape_Area]]</f>
        <v>0.62690823147027563</v>
      </c>
      <c r="AL241">
        <v>5225</v>
      </c>
      <c r="AM241">
        <f>intersection_ss_Lden___surface[[#This Row],[Population totale 2024 ss]]*intersection_ss_Lden___surface[[#This Row],[Part de la surface du qs dans le noise contour]]</f>
        <v>3275.5955094321903</v>
      </c>
    </row>
    <row r="242" spans="1:39" x14ac:dyDescent="0.3">
      <c r="A242">
        <v>272</v>
      </c>
      <c r="B242" t="s">
        <v>464</v>
      </c>
      <c r="C242" t="s">
        <v>465</v>
      </c>
      <c r="D242" t="s">
        <v>466</v>
      </c>
      <c r="E242" t="s">
        <v>466</v>
      </c>
      <c r="F242" t="s">
        <v>454</v>
      </c>
      <c r="G242" t="s">
        <v>455</v>
      </c>
      <c r="H242" t="s">
        <v>456</v>
      </c>
      <c r="I242" t="s">
        <v>457</v>
      </c>
      <c r="J242" t="s">
        <v>36</v>
      </c>
      <c r="K242">
        <v>21004</v>
      </c>
      <c r="L242" t="s">
        <v>309</v>
      </c>
      <c r="M242" t="s">
        <v>310</v>
      </c>
      <c r="N242" t="s">
        <v>311</v>
      </c>
      <c r="O242">
        <v>21000</v>
      </c>
      <c r="P242" t="s">
        <v>46</v>
      </c>
      <c r="Q242" t="s">
        <v>47</v>
      </c>
      <c r="R242" t="s">
        <v>48</v>
      </c>
      <c r="T242" t="s">
        <v>36</v>
      </c>
      <c r="U242" t="s">
        <v>36</v>
      </c>
      <c r="V242" t="s">
        <v>36</v>
      </c>
      <c r="W242">
        <v>4000</v>
      </c>
      <c r="X242" t="s">
        <v>49</v>
      </c>
      <c r="Y242" t="s">
        <v>50</v>
      </c>
      <c r="Z242" t="s">
        <v>51</v>
      </c>
      <c r="AA242" t="s">
        <v>37</v>
      </c>
      <c r="AB242" t="s">
        <v>52</v>
      </c>
      <c r="AC242" t="s">
        <v>53</v>
      </c>
      <c r="AD242" t="s">
        <v>54</v>
      </c>
      <c r="AE242">
        <v>33.237373652899997</v>
      </c>
      <c r="AF242">
        <v>2350</v>
      </c>
      <c r="AG242">
        <v>2349.9350076599999</v>
      </c>
      <c r="AH242">
        <v>332379.07333099999</v>
      </c>
      <c r="AI242">
        <v>48</v>
      </c>
      <c r="AJ242">
        <v>111904.517096009</v>
      </c>
      <c r="AK242" s="1">
        <f>intersection_ss_Lden___surface[[#This Row],[surf m2 bout ss]]/intersection_ss_Lden___surface[[#This Row],[Shape_Area]]</f>
        <v>0.3366773845733928</v>
      </c>
      <c r="AL242">
        <v>5580</v>
      </c>
      <c r="AM242">
        <f>intersection_ss_Lden___surface[[#This Row],[Population totale 2024 ss]]*intersection_ss_Lden___surface[[#This Row],[Part de la surface du qs dans le noise contour]]</f>
        <v>1878.6598059195319</v>
      </c>
    </row>
    <row r="243" spans="1:39" x14ac:dyDescent="0.3">
      <c r="A243">
        <v>273</v>
      </c>
      <c r="B243" t="s">
        <v>464</v>
      </c>
      <c r="C243" t="s">
        <v>465</v>
      </c>
      <c r="D243" t="s">
        <v>466</v>
      </c>
      <c r="E243" t="s">
        <v>466</v>
      </c>
      <c r="F243" t="s">
        <v>454</v>
      </c>
      <c r="G243" t="s">
        <v>455</v>
      </c>
      <c r="H243" t="s">
        <v>456</v>
      </c>
      <c r="I243" t="s">
        <v>457</v>
      </c>
      <c r="J243" t="s">
        <v>36</v>
      </c>
      <c r="K243">
        <v>21004</v>
      </c>
      <c r="L243" t="s">
        <v>309</v>
      </c>
      <c r="M243" t="s">
        <v>310</v>
      </c>
      <c r="N243" t="s">
        <v>311</v>
      </c>
      <c r="O243">
        <v>21000</v>
      </c>
      <c r="P243" t="s">
        <v>46</v>
      </c>
      <c r="Q243" t="s">
        <v>47</v>
      </c>
      <c r="R243" t="s">
        <v>48</v>
      </c>
      <c r="T243" t="s">
        <v>36</v>
      </c>
      <c r="U243" t="s">
        <v>36</v>
      </c>
      <c r="V243" t="s">
        <v>36</v>
      </c>
      <c r="W243">
        <v>4000</v>
      </c>
      <c r="X243" t="s">
        <v>49</v>
      </c>
      <c r="Y243" t="s">
        <v>50</v>
      </c>
      <c r="Z243" t="s">
        <v>51</v>
      </c>
      <c r="AA243" t="s">
        <v>37</v>
      </c>
      <c r="AB243" t="s">
        <v>52</v>
      </c>
      <c r="AC243" t="s">
        <v>53</v>
      </c>
      <c r="AD243" t="s">
        <v>54</v>
      </c>
      <c r="AE243">
        <v>33.237373652899997</v>
      </c>
      <c r="AF243">
        <v>2350</v>
      </c>
      <c r="AG243">
        <v>2349.9350076599999</v>
      </c>
      <c r="AH243">
        <v>332379.07333099999</v>
      </c>
      <c r="AI243">
        <v>49</v>
      </c>
      <c r="AJ243">
        <v>220504.23233861799</v>
      </c>
      <c r="AK243" s="1">
        <f>intersection_ss_Lden___surface[[#This Row],[surf m2 bout ss]]/intersection_ss_Lden___surface[[#This Row],[Shape_Area]]</f>
        <v>0.66341189933768385</v>
      </c>
      <c r="AL243">
        <v>5580</v>
      </c>
      <c r="AM243">
        <f>intersection_ss_Lden___surface[[#This Row],[Population totale 2024 ss]]*intersection_ss_Lden___surface[[#This Row],[Part de la surface du qs dans le noise contour]]</f>
        <v>3701.8383983042759</v>
      </c>
    </row>
    <row r="244" spans="1:39" x14ac:dyDescent="0.3">
      <c r="A244">
        <v>274</v>
      </c>
      <c r="B244" t="s">
        <v>467</v>
      </c>
      <c r="C244" t="s">
        <v>468</v>
      </c>
      <c r="D244" t="s">
        <v>469</v>
      </c>
      <c r="E244" t="s">
        <v>469</v>
      </c>
      <c r="F244" t="s">
        <v>454</v>
      </c>
      <c r="G244" t="s">
        <v>455</v>
      </c>
      <c r="H244" t="s">
        <v>456</v>
      </c>
      <c r="I244" t="s">
        <v>457</v>
      </c>
      <c r="J244" t="s">
        <v>36</v>
      </c>
      <c r="K244">
        <v>21004</v>
      </c>
      <c r="L244" t="s">
        <v>309</v>
      </c>
      <c r="M244" t="s">
        <v>310</v>
      </c>
      <c r="N244" t="s">
        <v>311</v>
      </c>
      <c r="O244">
        <v>21000</v>
      </c>
      <c r="P244" t="s">
        <v>46</v>
      </c>
      <c r="Q244" t="s">
        <v>47</v>
      </c>
      <c r="R244" t="s">
        <v>48</v>
      </c>
      <c r="T244" t="s">
        <v>36</v>
      </c>
      <c r="U244" t="s">
        <v>36</v>
      </c>
      <c r="V244" t="s">
        <v>36</v>
      </c>
      <c r="W244">
        <v>4000</v>
      </c>
      <c r="X244" t="s">
        <v>49</v>
      </c>
      <c r="Y244" t="s">
        <v>50</v>
      </c>
      <c r="Z244" t="s">
        <v>51</v>
      </c>
      <c r="AA244" t="s">
        <v>37</v>
      </c>
      <c r="AB244" t="s">
        <v>52</v>
      </c>
      <c r="AC244" t="s">
        <v>53</v>
      </c>
      <c r="AD244" t="s">
        <v>54</v>
      </c>
      <c r="AE244">
        <v>40.230581466399997</v>
      </c>
      <c r="AF244">
        <v>2888</v>
      </c>
      <c r="AG244">
        <v>2887.5739980600001</v>
      </c>
      <c r="AH244">
        <v>402312.29969700001</v>
      </c>
      <c r="AI244">
        <v>49</v>
      </c>
      <c r="AJ244">
        <v>58285.550625663302</v>
      </c>
      <c r="AK244" s="1">
        <f>intersection_ss_Lden___surface[[#This Row],[surf m2 bout ss]]/intersection_ss_Lden___surface[[#This Row],[Shape_Area]]</f>
        <v>0.14487638252561716</v>
      </c>
      <c r="AL244">
        <v>2940</v>
      </c>
      <c r="AM244">
        <f>intersection_ss_Lden___surface[[#This Row],[Population totale 2024 ss]]*intersection_ss_Lden___surface[[#This Row],[Part de la surface du qs dans le noise contour]]</f>
        <v>425.93656462531447</v>
      </c>
    </row>
    <row r="245" spans="1:39" x14ac:dyDescent="0.3">
      <c r="A245">
        <v>275</v>
      </c>
      <c r="B245" t="s">
        <v>467</v>
      </c>
      <c r="C245" t="s">
        <v>468</v>
      </c>
      <c r="D245" t="s">
        <v>469</v>
      </c>
      <c r="E245" t="s">
        <v>469</v>
      </c>
      <c r="F245" t="s">
        <v>454</v>
      </c>
      <c r="G245" t="s">
        <v>455</v>
      </c>
      <c r="H245" t="s">
        <v>456</v>
      </c>
      <c r="I245" t="s">
        <v>457</v>
      </c>
      <c r="J245" t="s">
        <v>36</v>
      </c>
      <c r="K245">
        <v>21004</v>
      </c>
      <c r="L245" t="s">
        <v>309</v>
      </c>
      <c r="M245" t="s">
        <v>310</v>
      </c>
      <c r="N245" t="s">
        <v>311</v>
      </c>
      <c r="O245">
        <v>21000</v>
      </c>
      <c r="P245" t="s">
        <v>46</v>
      </c>
      <c r="Q245" t="s">
        <v>47</v>
      </c>
      <c r="R245" t="s">
        <v>48</v>
      </c>
      <c r="T245" t="s">
        <v>36</v>
      </c>
      <c r="U245" t="s">
        <v>36</v>
      </c>
      <c r="V245" t="s">
        <v>36</v>
      </c>
      <c r="W245">
        <v>4000</v>
      </c>
      <c r="X245" t="s">
        <v>49</v>
      </c>
      <c r="Y245" t="s">
        <v>50</v>
      </c>
      <c r="Z245" t="s">
        <v>51</v>
      </c>
      <c r="AA245" t="s">
        <v>37</v>
      </c>
      <c r="AB245" t="s">
        <v>52</v>
      </c>
      <c r="AC245" t="s">
        <v>53</v>
      </c>
      <c r="AD245" t="s">
        <v>54</v>
      </c>
      <c r="AE245">
        <v>40.230581466399997</v>
      </c>
      <c r="AF245">
        <v>2888</v>
      </c>
      <c r="AG245">
        <v>2887.5739980600001</v>
      </c>
      <c r="AH245">
        <v>402312.29969700001</v>
      </c>
      <c r="AI245">
        <v>50</v>
      </c>
      <c r="AJ245">
        <v>209716.852396175</v>
      </c>
      <c r="AK245" s="1">
        <f>intersection_ss_Lden___surface[[#This Row],[surf m2 bout ss]]/intersection_ss_Lden___surface[[#This Row],[Shape_Area]]</f>
        <v>0.52127874925554718</v>
      </c>
      <c r="AL245">
        <v>2940</v>
      </c>
      <c r="AM245">
        <f>intersection_ss_Lden___surface[[#This Row],[Population totale 2024 ss]]*intersection_ss_Lden___surface[[#This Row],[Part de la surface du qs dans le noise contour]]</f>
        <v>1532.5595228113086</v>
      </c>
    </row>
    <row r="246" spans="1:39" x14ac:dyDescent="0.3">
      <c r="A246">
        <v>276</v>
      </c>
      <c r="B246" t="s">
        <v>467</v>
      </c>
      <c r="C246" t="s">
        <v>468</v>
      </c>
      <c r="D246" t="s">
        <v>469</v>
      </c>
      <c r="E246" t="s">
        <v>469</v>
      </c>
      <c r="F246" t="s">
        <v>454</v>
      </c>
      <c r="G246" t="s">
        <v>455</v>
      </c>
      <c r="H246" t="s">
        <v>456</v>
      </c>
      <c r="I246" t="s">
        <v>457</v>
      </c>
      <c r="J246" t="s">
        <v>36</v>
      </c>
      <c r="K246">
        <v>21004</v>
      </c>
      <c r="L246" t="s">
        <v>309</v>
      </c>
      <c r="M246" t="s">
        <v>310</v>
      </c>
      <c r="N246" t="s">
        <v>311</v>
      </c>
      <c r="O246">
        <v>21000</v>
      </c>
      <c r="P246" t="s">
        <v>46</v>
      </c>
      <c r="Q246" t="s">
        <v>47</v>
      </c>
      <c r="R246" t="s">
        <v>48</v>
      </c>
      <c r="T246" t="s">
        <v>36</v>
      </c>
      <c r="U246" t="s">
        <v>36</v>
      </c>
      <c r="V246" t="s">
        <v>36</v>
      </c>
      <c r="W246">
        <v>4000</v>
      </c>
      <c r="X246" t="s">
        <v>49</v>
      </c>
      <c r="Y246" t="s">
        <v>50</v>
      </c>
      <c r="Z246" t="s">
        <v>51</v>
      </c>
      <c r="AA246" t="s">
        <v>37</v>
      </c>
      <c r="AB246" t="s">
        <v>52</v>
      </c>
      <c r="AC246" t="s">
        <v>53</v>
      </c>
      <c r="AD246" t="s">
        <v>54</v>
      </c>
      <c r="AE246">
        <v>40.230581466399997</v>
      </c>
      <c r="AF246">
        <v>2888</v>
      </c>
      <c r="AG246">
        <v>2887.5739980600001</v>
      </c>
      <c r="AH246">
        <v>402312.29969700001</v>
      </c>
      <c r="AI246">
        <v>51</v>
      </c>
      <c r="AJ246">
        <v>134346.25608825899</v>
      </c>
      <c r="AK246" s="1">
        <f>intersection_ss_Lden___surface[[#This Row],[surf m2 bout ss]]/intersection_ss_Lden___surface[[#This Row],[Shape_Area]]</f>
        <v>0.33393524431005805</v>
      </c>
      <c r="AL246">
        <v>2940</v>
      </c>
      <c r="AM246">
        <f>intersection_ss_Lden___surface[[#This Row],[Population totale 2024 ss]]*intersection_ss_Lden___surface[[#This Row],[Part de la surface du qs dans le noise contour]]</f>
        <v>981.76961827157072</v>
      </c>
    </row>
    <row r="247" spans="1:39" x14ac:dyDescent="0.3">
      <c r="A247">
        <v>277</v>
      </c>
      <c r="B247" t="s">
        <v>470</v>
      </c>
      <c r="C247" t="s">
        <v>36</v>
      </c>
      <c r="D247" t="s">
        <v>36</v>
      </c>
      <c r="E247" t="s">
        <v>36</v>
      </c>
      <c r="F247" t="s">
        <v>454</v>
      </c>
      <c r="G247" t="s">
        <v>455</v>
      </c>
      <c r="H247" t="s">
        <v>456</v>
      </c>
      <c r="I247" t="s">
        <v>457</v>
      </c>
      <c r="J247" t="s">
        <v>36</v>
      </c>
      <c r="K247">
        <v>21004</v>
      </c>
      <c r="L247" t="s">
        <v>309</v>
      </c>
      <c r="M247" t="s">
        <v>310</v>
      </c>
      <c r="N247" t="s">
        <v>311</v>
      </c>
      <c r="O247">
        <v>21000</v>
      </c>
      <c r="P247" t="s">
        <v>46</v>
      </c>
      <c r="Q247" t="s">
        <v>47</v>
      </c>
      <c r="R247" t="s">
        <v>48</v>
      </c>
      <c r="T247" t="s">
        <v>36</v>
      </c>
      <c r="U247" t="s">
        <v>36</v>
      </c>
      <c r="V247" t="s">
        <v>36</v>
      </c>
      <c r="W247">
        <v>4000</v>
      </c>
      <c r="X247" t="s">
        <v>49</v>
      </c>
      <c r="Y247" t="s">
        <v>50</v>
      </c>
      <c r="Z247" t="s">
        <v>51</v>
      </c>
      <c r="AA247" t="s">
        <v>37</v>
      </c>
      <c r="AB247" t="s">
        <v>52</v>
      </c>
      <c r="AC247" t="s">
        <v>53</v>
      </c>
      <c r="AD247" t="s">
        <v>54</v>
      </c>
      <c r="AE247">
        <v>258.70871880599998</v>
      </c>
      <c r="AF247">
        <v>7783</v>
      </c>
      <c r="AG247">
        <v>7783.3021857000003</v>
      </c>
      <c r="AH247">
        <v>2587128.8445700002</v>
      </c>
      <c r="AI247">
        <v>49</v>
      </c>
      <c r="AJ247">
        <v>289061.36913990998</v>
      </c>
      <c r="AK247" s="1">
        <f>intersection_ss_Lden___surface[[#This Row],[surf m2 bout ss]]/intersection_ss_Lden___surface[[#This Row],[Shape_Area]]</f>
        <v>0.11173056562165697</v>
      </c>
      <c r="AL247">
        <v>27</v>
      </c>
      <c r="AM247">
        <f>intersection_ss_Lden___surface[[#This Row],[Population totale 2024 ss]]*intersection_ss_Lden___surface[[#This Row],[Part de la surface du qs dans le noise contour]]</f>
        <v>3.0167252717847379</v>
      </c>
    </row>
    <row r="248" spans="1:39" x14ac:dyDescent="0.3">
      <c r="A248">
        <v>278</v>
      </c>
      <c r="B248" t="s">
        <v>470</v>
      </c>
      <c r="C248" t="s">
        <v>36</v>
      </c>
      <c r="D248" t="s">
        <v>36</v>
      </c>
      <c r="E248" t="s">
        <v>36</v>
      </c>
      <c r="F248" t="s">
        <v>454</v>
      </c>
      <c r="G248" t="s">
        <v>455</v>
      </c>
      <c r="H248" t="s">
        <v>456</v>
      </c>
      <c r="I248" t="s">
        <v>457</v>
      </c>
      <c r="J248" t="s">
        <v>36</v>
      </c>
      <c r="K248">
        <v>21004</v>
      </c>
      <c r="L248" t="s">
        <v>309</v>
      </c>
      <c r="M248" t="s">
        <v>310</v>
      </c>
      <c r="N248" t="s">
        <v>311</v>
      </c>
      <c r="O248">
        <v>21000</v>
      </c>
      <c r="P248" t="s">
        <v>46</v>
      </c>
      <c r="Q248" t="s">
        <v>47</v>
      </c>
      <c r="R248" t="s">
        <v>48</v>
      </c>
      <c r="T248" t="s">
        <v>36</v>
      </c>
      <c r="U248" t="s">
        <v>36</v>
      </c>
      <c r="V248" t="s">
        <v>36</v>
      </c>
      <c r="W248">
        <v>4000</v>
      </c>
      <c r="X248" t="s">
        <v>49</v>
      </c>
      <c r="Y248" t="s">
        <v>50</v>
      </c>
      <c r="Z248" t="s">
        <v>51</v>
      </c>
      <c r="AA248" t="s">
        <v>37</v>
      </c>
      <c r="AB248" t="s">
        <v>52</v>
      </c>
      <c r="AC248" t="s">
        <v>53</v>
      </c>
      <c r="AD248" t="s">
        <v>54</v>
      </c>
      <c r="AE248">
        <v>258.70871880599998</v>
      </c>
      <c r="AF248">
        <v>7783</v>
      </c>
      <c r="AG248">
        <v>7783.3021857000003</v>
      </c>
      <c r="AH248">
        <v>2587128.8445700002</v>
      </c>
      <c r="AI248">
        <v>50</v>
      </c>
      <c r="AJ248">
        <v>491291.26522088499</v>
      </c>
      <c r="AK248" s="1">
        <f>intersection_ss_Lden___surface[[#This Row],[surf m2 bout ss]]/intersection_ss_Lden___surface[[#This Row],[Shape_Area]]</f>
        <v>0.18989825970671406</v>
      </c>
      <c r="AL248">
        <v>27</v>
      </c>
      <c r="AM248">
        <f>intersection_ss_Lden___surface[[#This Row],[Population totale 2024 ss]]*intersection_ss_Lden___surface[[#This Row],[Part de la surface du qs dans le noise contour]]</f>
        <v>5.1272530120812796</v>
      </c>
    </row>
    <row r="249" spans="1:39" x14ac:dyDescent="0.3">
      <c r="A249">
        <v>279</v>
      </c>
      <c r="B249" t="s">
        <v>470</v>
      </c>
      <c r="C249" t="s">
        <v>36</v>
      </c>
      <c r="D249" t="s">
        <v>36</v>
      </c>
      <c r="E249" t="s">
        <v>36</v>
      </c>
      <c r="F249" t="s">
        <v>454</v>
      </c>
      <c r="G249" t="s">
        <v>455</v>
      </c>
      <c r="H249" t="s">
        <v>456</v>
      </c>
      <c r="I249" t="s">
        <v>457</v>
      </c>
      <c r="J249" t="s">
        <v>36</v>
      </c>
      <c r="K249">
        <v>21004</v>
      </c>
      <c r="L249" t="s">
        <v>309</v>
      </c>
      <c r="M249" t="s">
        <v>310</v>
      </c>
      <c r="N249" t="s">
        <v>311</v>
      </c>
      <c r="O249">
        <v>21000</v>
      </c>
      <c r="P249" t="s">
        <v>46</v>
      </c>
      <c r="Q249" t="s">
        <v>47</v>
      </c>
      <c r="R249" t="s">
        <v>48</v>
      </c>
      <c r="T249" t="s">
        <v>36</v>
      </c>
      <c r="U249" t="s">
        <v>36</v>
      </c>
      <c r="V249" t="s">
        <v>36</v>
      </c>
      <c r="W249">
        <v>4000</v>
      </c>
      <c r="X249" t="s">
        <v>49</v>
      </c>
      <c r="Y249" t="s">
        <v>50</v>
      </c>
      <c r="Z249" t="s">
        <v>51</v>
      </c>
      <c r="AA249" t="s">
        <v>37</v>
      </c>
      <c r="AB249" t="s">
        <v>52</v>
      </c>
      <c r="AC249" t="s">
        <v>53</v>
      </c>
      <c r="AD249" t="s">
        <v>54</v>
      </c>
      <c r="AE249">
        <v>258.70871880599998</v>
      </c>
      <c r="AF249">
        <v>7783</v>
      </c>
      <c r="AG249">
        <v>7783.3021857000003</v>
      </c>
      <c r="AH249">
        <v>2587128.8445700002</v>
      </c>
      <c r="AI249">
        <v>51</v>
      </c>
      <c r="AJ249">
        <v>687265.29395363398</v>
      </c>
      <c r="AK249" s="1">
        <f>intersection_ss_Lden___surface[[#This Row],[surf m2 bout ss]]/intersection_ss_Lden___surface[[#This Row],[Shape_Area]]</f>
        <v>0.26564788042779619</v>
      </c>
      <c r="AL249">
        <v>27</v>
      </c>
      <c r="AM249">
        <f>intersection_ss_Lden___surface[[#This Row],[Population totale 2024 ss]]*intersection_ss_Lden___surface[[#This Row],[Part de la surface du qs dans le noise contour]]</f>
        <v>7.1724927715504974</v>
      </c>
    </row>
    <row r="250" spans="1:39" x14ac:dyDescent="0.3">
      <c r="A250">
        <v>280</v>
      </c>
      <c r="B250" t="s">
        <v>470</v>
      </c>
      <c r="C250" t="s">
        <v>36</v>
      </c>
      <c r="D250" t="s">
        <v>36</v>
      </c>
      <c r="E250" t="s">
        <v>36</v>
      </c>
      <c r="F250" t="s">
        <v>454</v>
      </c>
      <c r="G250" t="s">
        <v>455</v>
      </c>
      <c r="H250" t="s">
        <v>456</v>
      </c>
      <c r="I250" t="s">
        <v>457</v>
      </c>
      <c r="J250" t="s">
        <v>36</v>
      </c>
      <c r="K250">
        <v>21004</v>
      </c>
      <c r="L250" t="s">
        <v>309</v>
      </c>
      <c r="M250" t="s">
        <v>310</v>
      </c>
      <c r="N250" t="s">
        <v>311</v>
      </c>
      <c r="O250">
        <v>21000</v>
      </c>
      <c r="P250" t="s">
        <v>46</v>
      </c>
      <c r="Q250" t="s">
        <v>47</v>
      </c>
      <c r="R250" t="s">
        <v>48</v>
      </c>
      <c r="T250" t="s">
        <v>36</v>
      </c>
      <c r="U250" t="s">
        <v>36</v>
      </c>
      <c r="V250" t="s">
        <v>36</v>
      </c>
      <c r="W250">
        <v>4000</v>
      </c>
      <c r="X250" t="s">
        <v>49</v>
      </c>
      <c r="Y250" t="s">
        <v>50</v>
      </c>
      <c r="Z250" t="s">
        <v>51</v>
      </c>
      <c r="AA250" t="s">
        <v>37</v>
      </c>
      <c r="AB250" t="s">
        <v>52</v>
      </c>
      <c r="AC250" t="s">
        <v>53</v>
      </c>
      <c r="AD250" t="s">
        <v>54</v>
      </c>
      <c r="AE250">
        <v>258.70871880599998</v>
      </c>
      <c r="AF250">
        <v>7783</v>
      </c>
      <c r="AG250">
        <v>7783.3021857000003</v>
      </c>
      <c r="AH250">
        <v>2587128.8445700002</v>
      </c>
      <c r="AI250">
        <v>52</v>
      </c>
      <c r="AJ250">
        <v>717568.89138124802</v>
      </c>
      <c r="AK250" s="1">
        <f>intersection_ss_Lden___surface[[#This Row],[surf m2 bout ss]]/intersection_ss_Lden___surface[[#This Row],[Shape_Area]]</f>
        <v>0.27736109582919255</v>
      </c>
      <c r="AL250">
        <v>27</v>
      </c>
      <c r="AM250">
        <f>intersection_ss_Lden___surface[[#This Row],[Population totale 2024 ss]]*intersection_ss_Lden___surface[[#This Row],[Part de la surface du qs dans le noise contour]]</f>
        <v>7.4887495873881988</v>
      </c>
    </row>
    <row r="251" spans="1:39" x14ac:dyDescent="0.3">
      <c r="A251">
        <v>281</v>
      </c>
      <c r="B251" t="s">
        <v>470</v>
      </c>
      <c r="C251" t="s">
        <v>36</v>
      </c>
      <c r="D251" t="s">
        <v>36</v>
      </c>
      <c r="E251" t="s">
        <v>36</v>
      </c>
      <c r="F251" t="s">
        <v>454</v>
      </c>
      <c r="G251" t="s">
        <v>455</v>
      </c>
      <c r="H251" t="s">
        <v>456</v>
      </c>
      <c r="I251" t="s">
        <v>457</v>
      </c>
      <c r="J251" t="s">
        <v>36</v>
      </c>
      <c r="K251">
        <v>21004</v>
      </c>
      <c r="L251" t="s">
        <v>309</v>
      </c>
      <c r="M251" t="s">
        <v>310</v>
      </c>
      <c r="N251" t="s">
        <v>311</v>
      </c>
      <c r="O251">
        <v>21000</v>
      </c>
      <c r="P251" t="s">
        <v>46</v>
      </c>
      <c r="Q251" t="s">
        <v>47</v>
      </c>
      <c r="R251" t="s">
        <v>48</v>
      </c>
      <c r="T251" t="s">
        <v>36</v>
      </c>
      <c r="U251" t="s">
        <v>36</v>
      </c>
      <c r="V251" t="s">
        <v>36</v>
      </c>
      <c r="W251">
        <v>4000</v>
      </c>
      <c r="X251" t="s">
        <v>49</v>
      </c>
      <c r="Y251" t="s">
        <v>50</v>
      </c>
      <c r="Z251" t="s">
        <v>51</v>
      </c>
      <c r="AA251" t="s">
        <v>37</v>
      </c>
      <c r="AB251" t="s">
        <v>52</v>
      </c>
      <c r="AC251" t="s">
        <v>53</v>
      </c>
      <c r="AD251" t="s">
        <v>54</v>
      </c>
      <c r="AE251">
        <v>258.70871880599998</v>
      </c>
      <c r="AF251">
        <v>7783</v>
      </c>
      <c r="AG251">
        <v>7783.3021857000003</v>
      </c>
      <c r="AH251">
        <v>2587128.8445700002</v>
      </c>
      <c r="AI251">
        <v>53</v>
      </c>
      <c r="AJ251">
        <v>388011.50146045699</v>
      </c>
      <c r="AK251" s="1">
        <f>intersection_ss_Lden___surface[[#This Row],[surf m2 bout ss]]/intersection_ss_Lden___surface[[#This Row],[Shape_Area]]</f>
        <v>0.1499776488808571</v>
      </c>
      <c r="AL251">
        <v>27</v>
      </c>
      <c r="AM251">
        <f>intersection_ss_Lden___surface[[#This Row],[Population totale 2024 ss]]*intersection_ss_Lden___surface[[#This Row],[Part de la surface du qs dans le noise contour]]</f>
        <v>4.0493965197831416</v>
      </c>
    </row>
    <row r="252" spans="1:39" x14ac:dyDescent="0.3">
      <c r="A252">
        <v>282</v>
      </c>
      <c r="B252" t="s">
        <v>470</v>
      </c>
      <c r="C252" t="s">
        <v>36</v>
      </c>
      <c r="D252" t="s">
        <v>36</v>
      </c>
      <c r="E252" t="s">
        <v>36</v>
      </c>
      <c r="F252" t="s">
        <v>454</v>
      </c>
      <c r="G252" t="s">
        <v>455</v>
      </c>
      <c r="H252" t="s">
        <v>456</v>
      </c>
      <c r="I252" t="s">
        <v>457</v>
      </c>
      <c r="J252" t="s">
        <v>36</v>
      </c>
      <c r="K252">
        <v>21004</v>
      </c>
      <c r="L252" t="s">
        <v>309</v>
      </c>
      <c r="M252" t="s">
        <v>310</v>
      </c>
      <c r="N252" t="s">
        <v>311</v>
      </c>
      <c r="O252">
        <v>21000</v>
      </c>
      <c r="P252" t="s">
        <v>46</v>
      </c>
      <c r="Q252" t="s">
        <v>47</v>
      </c>
      <c r="R252" t="s">
        <v>48</v>
      </c>
      <c r="T252" t="s">
        <v>36</v>
      </c>
      <c r="U252" t="s">
        <v>36</v>
      </c>
      <c r="V252" t="s">
        <v>36</v>
      </c>
      <c r="W252">
        <v>4000</v>
      </c>
      <c r="X252" t="s">
        <v>49</v>
      </c>
      <c r="Y252" t="s">
        <v>50</v>
      </c>
      <c r="Z252" t="s">
        <v>51</v>
      </c>
      <c r="AA252" t="s">
        <v>37</v>
      </c>
      <c r="AB252" t="s">
        <v>52</v>
      </c>
      <c r="AC252" t="s">
        <v>53</v>
      </c>
      <c r="AD252" t="s">
        <v>54</v>
      </c>
      <c r="AE252">
        <v>258.70871880599998</v>
      </c>
      <c r="AF252">
        <v>7783</v>
      </c>
      <c r="AG252">
        <v>7783.3021857000003</v>
      </c>
      <c r="AH252">
        <v>2587128.8445700002</v>
      </c>
      <c r="AI252">
        <v>54</v>
      </c>
      <c r="AJ252">
        <v>14163.0768103271</v>
      </c>
      <c r="AK252" s="1">
        <f>intersection_ss_Lden___surface[[#This Row],[surf m2 bout ss]]/intersection_ss_Lden___surface[[#This Row],[Shape_Area]]</f>
        <v>5.474438136335304E-3</v>
      </c>
      <c r="AL252">
        <v>27</v>
      </c>
      <c r="AM252">
        <f>intersection_ss_Lden___surface[[#This Row],[Population totale 2024 ss]]*intersection_ss_Lden___surface[[#This Row],[Part de la surface du qs dans le noise contour]]</f>
        <v>0.14780982968105322</v>
      </c>
    </row>
    <row r="253" spans="1:39" x14ac:dyDescent="0.3">
      <c r="A253">
        <v>283</v>
      </c>
      <c r="B253" t="s">
        <v>471</v>
      </c>
      <c r="C253" t="s">
        <v>472</v>
      </c>
      <c r="D253" t="s">
        <v>473</v>
      </c>
      <c r="E253" t="s">
        <v>473</v>
      </c>
      <c r="F253" t="s">
        <v>454</v>
      </c>
      <c r="G253" t="s">
        <v>455</v>
      </c>
      <c r="H253" t="s">
        <v>456</v>
      </c>
      <c r="I253" t="s">
        <v>457</v>
      </c>
      <c r="J253" t="s">
        <v>36</v>
      </c>
      <c r="K253">
        <v>21004</v>
      </c>
      <c r="L253" t="s">
        <v>309</v>
      </c>
      <c r="M253" t="s">
        <v>310</v>
      </c>
      <c r="N253" t="s">
        <v>311</v>
      </c>
      <c r="O253">
        <v>21000</v>
      </c>
      <c r="P253" t="s">
        <v>46</v>
      </c>
      <c r="Q253" t="s">
        <v>47</v>
      </c>
      <c r="R253" t="s">
        <v>48</v>
      </c>
      <c r="T253" t="s">
        <v>36</v>
      </c>
      <c r="U253" t="s">
        <v>36</v>
      </c>
      <c r="V253" t="s">
        <v>36</v>
      </c>
      <c r="W253">
        <v>4000</v>
      </c>
      <c r="X253" t="s">
        <v>49</v>
      </c>
      <c r="Y253" t="s">
        <v>50</v>
      </c>
      <c r="Z253" t="s">
        <v>51</v>
      </c>
      <c r="AA253" t="s">
        <v>37</v>
      </c>
      <c r="AB253" t="s">
        <v>52</v>
      </c>
      <c r="AC253" t="s">
        <v>53</v>
      </c>
      <c r="AD253" t="s">
        <v>54</v>
      </c>
      <c r="AE253">
        <v>7.1404081893500004</v>
      </c>
      <c r="AF253">
        <v>1350</v>
      </c>
      <c r="AG253">
        <v>1350.49355012</v>
      </c>
      <c r="AH253">
        <v>71405.227085100007</v>
      </c>
      <c r="AI253">
        <v>50</v>
      </c>
      <c r="AJ253">
        <v>1231.5236216783501</v>
      </c>
      <c r="AK253" s="1">
        <f>intersection_ss_Lden___surface[[#This Row],[surf m2 bout ss]]/intersection_ss_Lden___surface[[#This Row],[Shape_Area]]</f>
        <v>1.7246967371319092E-2</v>
      </c>
      <c r="AL253">
        <v>5</v>
      </c>
      <c r="AM253">
        <f>intersection_ss_Lden___surface[[#This Row],[Population totale 2024 ss]]*intersection_ss_Lden___surface[[#This Row],[Part de la surface du qs dans le noise contour]]</f>
        <v>8.6234836856595457E-2</v>
      </c>
    </row>
    <row r="254" spans="1:39" x14ac:dyDescent="0.3">
      <c r="A254">
        <v>284</v>
      </c>
      <c r="B254" t="s">
        <v>471</v>
      </c>
      <c r="C254" t="s">
        <v>472</v>
      </c>
      <c r="D254" t="s">
        <v>473</v>
      </c>
      <c r="E254" t="s">
        <v>473</v>
      </c>
      <c r="F254" t="s">
        <v>454</v>
      </c>
      <c r="G254" t="s">
        <v>455</v>
      </c>
      <c r="H254" t="s">
        <v>456</v>
      </c>
      <c r="I254" t="s">
        <v>457</v>
      </c>
      <c r="J254" t="s">
        <v>36</v>
      </c>
      <c r="K254">
        <v>21004</v>
      </c>
      <c r="L254" t="s">
        <v>309</v>
      </c>
      <c r="M254" t="s">
        <v>310</v>
      </c>
      <c r="N254" t="s">
        <v>311</v>
      </c>
      <c r="O254">
        <v>21000</v>
      </c>
      <c r="P254" t="s">
        <v>46</v>
      </c>
      <c r="Q254" t="s">
        <v>47</v>
      </c>
      <c r="R254" t="s">
        <v>48</v>
      </c>
      <c r="T254" t="s">
        <v>36</v>
      </c>
      <c r="U254" t="s">
        <v>36</v>
      </c>
      <c r="V254" t="s">
        <v>36</v>
      </c>
      <c r="W254">
        <v>4000</v>
      </c>
      <c r="X254" t="s">
        <v>49</v>
      </c>
      <c r="Y254" t="s">
        <v>50</v>
      </c>
      <c r="Z254" t="s">
        <v>51</v>
      </c>
      <c r="AA254" t="s">
        <v>37</v>
      </c>
      <c r="AB254" t="s">
        <v>52</v>
      </c>
      <c r="AC254" t="s">
        <v>53</v>
      </c>
      <c r="AD254" t="s">
        <v>54</v>
      </c>
      <c r="AE254">
        <v>7.1404081893500004</v>
      </c>
      <c r="AF254">
        <v>1350</v>
      </c>
      <c r="AG254">
        <v>1350.49355012</v>
      </c>
      <c r="AH254">
        <v>71405.227085100007</v>
      </c>
      <c r="AI254">
        <v>51</v>
      </c>
      <c r="AJ254">
        <v>70180.228046619799</v>
      </c>
      <c r="AK254" s="1">
        <f>intersection_ss_Lden___surface[[#This Row],[surf m2 bout ss]]/intersection_ss_Lden___surface[[#This Row],[Shape_Area]]</f>
        <v>0.9828444066563885</v>
      </c>
      <c r="AL254">
        <v>5</v>
      </c>
      <c r="AM254">
        <f>intersection_ss_Lden___surface[[#This Row],[Population totale 2024 ss]]*intersection_ss_Lden___surface[[#This Row],[Part de la surface du qs dans le noise contour]]</f>
        <v>4.9142220332819422</v>
      </c>
    </row>
    <row r="255" spans="1:39" x14ac:dyDescent="0.3">
      <c r="A255">
        <v>285</v>
      </c>
      <c r="B255" t="s">
        <v>474</v>
      </c>
      <c r="C255" t="s">
        <v>475</v>
      </c>
      <c r="D255" t="s">
        <v>476</v>
      </c>
      <c r="E255" t="s">
        <v>476</v>
      </c>
      <c r="F255" t="s">
        <v>477</v>
      </c>
      <c r="G255" t="s">
        <v>455</v>
      </c>
      <c r="H255" t="s">
        <v>456</v>
      </c>
      <c r="I255" t="s">
        <v>457</v>
      </c>
      <c r="J255" t="s">
        <v>36</v>
      </c>
      <c r="K255">
        <v>21004</v>
      </c>
      <c r="L255" t="s">
        <v>309</v>
      </c>
      <c r="M255" t="s">
        <v>310</v>
      </c>
      <c r="N255" t="s">
        <v>311</v>
      </c>
      <c r="O255">
        <v>21000</v>
      </c>
      <c r="P255" t="s">
        <v>46</v>
      </c>
      <c r="Q255" t="s">
        <v>47</v>
      </c>
      <c r="R255" t="s">
        <v>48</v>
      </c>
      <c r="T255" t="s">
        <v>36</v>
      </c>
      <c r="U255" t="s">
        <v>36</v>
      </c>
      <c r="V255" t="s">
        <v>36</v>
      </c>
      <c r="W255">
        <v>4000</v>
      </c>
      <c r="X255" t="s">
        <v>49</v>
      </c>
      <c r="Y255" t="s">
        <v>50</v>
      </c>
      <c r="Z255" t="s">
        <v>51</v>
      </c>
      <c r="AA255" t="s">
        <v>37</v>
      </c>
      <c r="AB255" t="s">
        <v>52</v>
      </c>
      <c r="AC255" t="s">
        <v>53</v>
      </c>
      <c r="AD255" t="s">
        <v>54</v>
      </c>
      <c r="AE255">
        <v>40.0034212451</v>
      </c>
      <c r="AF255">
        <v>4150</v>
      </c>
      <c r="AG255">
        <v>4150.2764053800001</v>
      </c>
      <c r="AH255">
        <v>400040.64127700002</v>
      </c>
      <c r="AI255">
        <v>50</v>
      </c>
      <c r="AJ255">
        <v>1268.7407193295701</v>
      </c>
      <c r="AK255" s="1">
        <f>intersection_ss_Lden___surface[[#This Row],[surf m2 bout ss]]/intersection_ss_Lden___surface[[#This Row],[Shape_Area]]</f>
        <v>3.1715295607954402E-3</v>
      </c>
      <c r="AL255">
        <v>5812</v>
      </c>
      <c r="AM255">
        <f>intersection_ss_Lden___surface[[#This Row],[Population totale 2024 ss]]*intersection_ss_Lden___surface[[#This Row],[Part de la surface du qs dans le noise contour]]</f>
        <v>18.432929807343097</v>
      </c>
    </row>
    <row r="256" spans="1:39" x14ac:dyDescent="0.3">
      <c r="A256">
        <v>286</v>
      </c>
      <c r="B256" t="s">
        <v>474</v>
      </c>
      <c r="C256" t="s">
        <v>475</v>
      </c>
      <c r="D256" t="s">
        <v>476</v>
      </c>
      <c r="E256" t="s">
        <v>476</v>
      </c>
      <c r="F256" t="s">
        <v>477</v>
      </c>
      <c r="G256" t="s">
        <v>455</v>
      </c>
      <c r="H256" t="s">
        <v>456</v>
      </c>
      <c r="I256" t="s">
        <v>457</v>
      </c>
      <c r="J256" t="s">
        <v>36</v>
      </c>
      <c r="K256">
        <v>21004</v>
      </c>
      <c r="L256" t="s">
        <v>309</v>
      </c>
      <c r="M256" t="s">
        <v>310</v>
      </c>
      <c r="N256" t="s">
        <v>311</v>
      </c>
      <c r="O256">
        <v>21000</v>
      </c>
      <c r="P256" t="s">
        <v>46</v>
      </c>
      <c r="Q256" t="s">
        <v>47</v>
      </c>
      <c r="R256" t="s">
        <v>48</v>
      </c>
      <c r="T256" t="s">
        <v>36</v>
      </c>
      <c r="U256" t="s">
        <v>36</v>
      </c>
      <c r="V256" t="s">
        <v>36</v>
      </c>
      <c r="W256">
        <v>4000</v>
      </c>
      <c r="X256" t="s">
        <v>49</v>
      </c>
      <c r="Y256" t="s">
        <v>50</v>
      </c>
      <c r="Z256" t="s">
        <v>51</v>
      </c>
      <c r="AA256" t="s">
        <v>37</v>
      </c>
      <c r="AB256" t="s">
        <v>52</v>
      </c>
      <c r="AC256" t="s">
        <v>53</v>
      </c>
      <c r="AD256" t="s">
        <v>54</v>
      </c>
      <c r="AE256">
        <v>40.0034212451</v>
      </c>
      <c r="AF256">
        <v>4150</v>
      </c>
      <c r="AG256">
        <v>4150.2764053800001</v>
      </c>
      <c r="AH256">
        <v>400040.64127700002</v>
      </c>
      <c r="AI256">
        <v>51</v>
      </c>
      <c r="AJ256">
        <v>270674.40923801699</v>
      </c>
      <c r="AK256" s="1">
        <f>intersection_ss_Lden___surface[[#This Row],[surf m2 bout ss]]/intersection_ss_Lden___surface[[#This Row],[Shape_Area]]</f>
        <v>0.67661727661963722</v>
      </c>
      <c r="AL256">
        <v>5812</v>
      </c>
      <c r="AM256">
        <f>intersection_ss_Lden___surface[[#This Row],[Population totale 2024 ss]]*intersection_ss_Lden___surface[[#This Row],[Part de la surface du qs dans le noise contour]]</f>
        <v>3932.4996117133314</v>
      </c>
    </row>
    <row r="257" spans="1:39" x14ac:dyDescent="0.3">
      <c r="A257">
        <v>287</v>
      </c>
      <c r="B257" t="s">
        <v>474</v>
      </c>
      <c r="C257" t="s">
        <v>475</v>
      </c>
      <c r="D257" t="s">
        <v>476</v>
      </c>
      <c r="E257" t="s">
        <v>476</v>
      </c>
      <c r="F257" t="s">
        <v>477</v>
      </c>
      <c r="G257" t="s">
        <v>455</v>
      </c>
      <c r="H257" t="s">
        <v>456</v>
      </c>
      <c r="I257" t="s">
        <v>457</v>
      </c>
      <c r="J257" t="s">
        <v>36</v>
      </c>
      <c r="K257">
        <v>21004</v>
      </c>
      <c r="L257" t="s">
        <v>309</v>
      </c>
      <c r="M257" t="s">
        <v>310</v>
      </c>
      <c r="N257" t="s">
        <v>311</v>
      </c>
      <c r="O257">
        <v>21000</v>
      </c>
      <c r="P257" t="s">
        <v>46</v>
      </c>
      <c r="Q257" t="s">
        <v>47</v>
      </c>
      <c r="R257" t="s">
        <v>48</v>
      </c>
      <c r="T257" t="s">
        <v>36</v>
      </c>
      <c r="U257" t="s">
        <v>36</v>
      </c>
      <c r="V257" t="s">
        <v>36</v>
      </c>
      <c r="W257">
        <v>4000</v>
      </c>
      <c r="X257" t="s">
        <v>49</v>
      </c>
      <c r="Y257" t="s">
        <v>50</v>
      </c>
      <c r="Z257" t="s">
        <v>51</v>
      </c>
      <c r="AA257" t="s">
        <v>37</v>
      </c>
      <c r="AB257" t="s">
        <v>52</v>
      </c>
      <c r="AC257" t="s">
        <v>53</v>
      </c>
      <c r="AD257" t="s">
        <v>54</v>
      </c>
      <c r="AE257">
        <v>40.0034212451</v>
      </c>
      <c r="AF257">
        <v>4150</v>
      </c>
      <c r="AG257">
        <v>4150.2764053800001</v>
      </c>
      <c r="AH257">
        <v>400040.64127700002</v>
      </c>
      <c r="AI257">
        <v>52</v>
      </c>
      <c r="AJ257">
        <v>124028.780704342</v>
      </c>
      <c r="AK257" s="1">
        <f>intersection_ss_Lden___surface[[#This Row],[surf m2 bout ss]]/intersection_ss_Lden___surface[[#This Row],[Shape_Area]]</f>
        <v>0.31004045066126368</v>
      </c>
      <c r="AL257">
        <v>5812</v>
      </c>
      <c r="AM257">
        <f>intersection_ss_Lden___surface[[#This Row],[Population totale 2024 ss]]*intersection_ss_Lden___surface[[#This Row],[Part de la surface du qs dans le noise contour]]</f>
        <v>1801.9550992432644</v>
      </c>
    </row>
    <row r="258" spans="1:39" x14ac:dyDescent="0.3">
      <c r="A258">
        <v>288</v>
      </c>
      <c r="B258" t="s">
        <v>474</v>
      </c>
      <c r="C258" t="s">
        <v>475</v>
      </c>
      <c r="D258" t="s">
        <v>476</v>
      </c>
      <c r="E258" t="s">
        <v>476</v>
      </c>
      <c r="F258" t="s">
        <v>477</v>
      </c>
      <c r="G258" t="s">
        <v>455</v>
      </c>
      <c r="H258" t="s">
        <v>456</v>
      </c>
      <c r="I258" t="s">
        <v>457</v>
      </c>
      <c r="J258" t="s">
        <v>36</v>
      </c>
      <c r="K258">
        <v>21004</v>
      </c>
      <c r="L258" t="s">
        <v>309</v>
      </c>
      <c r="M258" t="s">
        <v>310</v>
      </c>
      <c r="N258" t="s">
        <v>311</v>
      </c>
      <c r="O258">
        <v>21000</v>
      </c>
      <c r="P258" t="s">
        <v>46</v>
      </c>
      <c r="Q258" t="s">
        <v>47</v>
      </c>
      <c r="R258" t="s">
        <v>48</v>
      </c>
      <c r="T258" t="s">
        <v>36</v>
      </c>
      <c r="U258" t="s">
        <v>36</v>
      </c>
      <c r="V258" t="s">
        <v>36</v>
      </c>
      <c r="W258">
        <v>4000</v>
      </c>
      <c r="X258" t="s">
        <v>49</v>
      </c>
      <c r="Y258" t="s">
        <v>50</v>
      </c>
      <c r="Z258" t="s">
        <v>51</v>
      </c>
      <c r="AA258" t="s">
        <v>37</v>
      </c>
      <c r="AB258" t="s">
        <v>52</v>
      </c>
      <c r="AC258" t="s">
        <v>53</v>
      </c>
      <c r="AD258" t="s">
        <v>54</v>
      </c>
      <c r="AE258">
        <v>40.0034212451</v>
      </c>
      <c r="AF258">
        <v>4150</v>
      </c>
      <c r="AG258">
        <v>4150.2764053800001</v>
      </c>
      <c r="AH258">
        <v>400040.64127700002</v>
      </c>
      <c r="AI258">
        <v>53</v>
      </c>
      <c r="AJ258">
        <v>4103.8146250862601</v>
      </c>
      <c r="AK258" s="1">
        <f>intersection_ss_Lden___surface[[#This Row],[surf m2 bout ss]]/intersection_ss_Lden___surface[[#This Row],[Shape_Area]]</f>
        <v>1.0258494266947886E-2</v>
      </c>
      <c r="AL258">
        <v>5812</v>
      </c>
      <c r="AM258">
        <f>intersection_ss_Lden___surface[[#This Row],[Population totale 2024 ss]]*intersection_ss_Lden___surface[[#This Row],[Part de la surface du qs dans le noise contour]]</f>
        <v>59.622368679501115</v>
      </c>
    </row>
    <row r="259" spans="1:39" x14ac:dyDescent="0.3">
      <c r="A259">
        <v>289</v>
      </c>
      <c r="B259" t="s">
        <v>478</v>
      </c>
      <c r="C259" t="s">
        <v>479</v>
      </c>
      <c r="D259" t="s">
        <v>480</v>
      </c>
      <c r="E259" t="s">
        <v>480</v>
      </c>
      <c r="F259" t="s">
        <v>477</v>
      </c>
      <c r="G259" t="s">
        <v>455</v>
      </c>
      <c r="H259" t="s">
        <v>456</v>
      </c>
      <c r="I259" t="s">
        <v>457</v>
      </c>
      <c r="J259" t="s">
        <v>36</v>
      </c>
      <c r="K259">
        <v>21004</v>
      </c>
      <c r="L259" t="s">
        <v>309</v>
      </c>
      <c r="M259" t="s">
        <v>310</v>
      </c>
      <c r="N259" t="s">
        <v>311</v>
      </c>
      <c r="O259">
        <v>21000</v>
      </c>
      <c r="P259" t="s">
        <v>46</v>
      </c>
      <c r="Q259" t="s">
        <v>47</v>
      </c>
      <c r="R259" t="s">
        <v>48</v>
      </c>
      <c r="T259" t="s">
        <v>36</v>
      </c>
      <c r="U259" t="s">
        <v>36</v>
      </c>
      <c r="V259" t="s">
        <v>36</v>
      </c>
      <c r="W259">
        <v>4000</v>
      </c>
      <c r="X259" t="s">
        <v>49</v>
      </c>
      <c r="Y259" t="s">
        <v>50</v>
      </c>
      <c r="Z259" t="s">
        <v>51</v>
      </c>
      <c r="AA259" t="s">
        <v>37</v>
      </c>
      <c r="AB259" t="s">
        <v>52</v>
      </c>
      <c r="AC259" t="s">
        <v>53</v>
      </c>
      <c r="AD259" t="s">
        <v>54</v>
      </c>
      <c r="AE259">
        <v>8.1818739673900005</v>
      </c>
      <c r="AF259">
        <v>1629</v>
      </c>
      <c r="AG259">
        <v>1628.7172322700001</v>
      </c>
      <c r="AH259">
        <v>81820.0594403</v>
      </c>
      <c r="AI259">
        <v>50</v>
      </c>
      <c r="AJ259">
        <v>468.21873459871898</v>
      </c>
      <c r="AK259" s="1">
        <f>intersection_ss_Lden___surface[[#This Row],[surf m2 bout ss]]/intersection_ss_Lden___surface[[#This Row],[Shape_Area]]</f>
        <v>5.7225420978868234E-3</v>
      </c>
      <c r="AL259">
        <v>939</v>
      </c>
      <c r="AM259">
        <f>intersection_ss_Lden___surface[[#This Row],[Population totale 2024 ss]]*intersection_ss_Lden___surface[[#This Row],[Part de la surface du qs dans le noise contour]]</f>
        <v>5.3734670299157274</v>
      </c>
    </row>
    <row r="260" spans="1:39" x14ac:dyDescent="0.3">
      <c r="A260">
        <v>290</v>
      </c>
      <c r="B260" t="s">
        <v>478</v>
      </c>
      <c r="C260" t="s">
        <v>479</v>
      </c>
      <c r="D260" t="s">
        <v>480</v>
      </c>
      <c r="E260" t="s">
        <v>480</v>
      </c>
      <c r="F260" t="s">
        <v>477</v>
      </c>
      <c r="G260" t="s">
        <v>455</v>
      </c>
      <c r="H260" t="s">
        <v>456</v>
      </c>
      <c r="I260" t="s">
        <v>457</v>
      </c>
      <c r="J260" t="s">
        <v>36</v>
      </c>
      <c r="K260">
        <v>21004</v>
      </c>
      <c r="L260" t="s">
        <v>309</v>
      </c>
      <c r="M260" t="s">
        <v>310</v>
      </c>
      <c r="N260" t="s">
        <v>311</v>
      </c>
      <c r="O260">
        <v>21000</v>
      </c>
      <c r="P260" t="s">
        <v>46</v>
      </c>
      <c r="Q260" t="s">
        <v>47</v>
      </c>
      <c r="R260" t="s">
        <v>48</v>
      </c>
      <c r="T260" t="s">
        <v>36</v>
      </c>
      <c r="U260" t="s">
        <v>36</v>
      </c>
      <c r="V260" t="s">
        <v>36</v>
      </c>
      <c r="W260">
        <v>4000</v>
      </c>
      <c r="X260" t="s">
        <v>49</v>
      </c>
      <c r="Y260" t="s">
        <v>50</v>
      </c>
      <c r="Z260" t="s">
        <v>51</v>
      </c>
      <c r="AA260" t="s">
        <v>37</v>
      </c>
      <c r="AB260" t="s">
        <v>52</v>
      </c>
      <c r="AC260" t="s">
        <v>53</v>
      </c>
      <c r="AD260" t="s">
        <v>54</v>
      </c>
      <c r="AE260">
        <v>8.1818739673900005</v>
      </c>
      <c r="AF260">
        <v>1629</v>
      </c>
      <c r="AG260">
        <v>1628.7172322700001</v>
      </c>
      <c r="AH260">
        <v>81820.0594403</v>
      </c>
      <c r="AI260">
        <v>51</v>
      </c>
      <c r="AJ260">
        <v>43678.564193088503</v>
      </c>
      <c r="AK260" s="1">
        <f>intersection_ss_Lden___surface[[#This Row],[surf m2 bout ss]]/intersection_ss_Lden___surface[[#This Row],[Shape_Area]]</f>
        <v>0.53383686704552646</v>
      </c>
      <c r="AL260">
        <v>939</v>
      </c>
      <c r="AM260">
        <f>intersection_ss_Lden___surface[[#This Row],[Population totale 2024 ss]]*intersection_ss_Lden___surface[[#This Row],[Part de la surface du qs dans le noise contour]]</f>
        <v>501.27281815574935</v>
      </c>
    </row>
    <row r="261" spans="1:39" x14ac:dyDescent="0.3">
      <c r="A261">
        <v>291</v>
      </c>
      <c r="B261" t="s">
        <v>478</v>
      </c>
      <c r="C261" t="s">
        <v>479</v>
      </c>
      <c r="D261" t="s">
        <v>480</v>
      </c>
      <c r="E261" t="s">
        <v>480</v>
      </c>
      <c r="F261" t="s">
        <v>477</v>
      </c>
      <c r="G261" t="s">
        <v>455</v>
      </c>
      <c r="H261" t="s">
        <v>456</v>
      </c>
      <c r="I261" t="s">
        <v>457</v>
      </c>
      <c r="J261" t="s">
        <v>36</v>
      </c>
      <c r="K261">
        <v>21004</v>
      </c>
      <c r="L261" t="s">
        <v>309</v>
      </c>
      <c r="M261" t="s">
        <v>310</v>
      </c>
      <c r="N261" t="s">
        <v>311</v>
      </c>
      <c r="O261">
        <v>21000</v>
      </c>
      <c r="P261" t="s">
        <v>46</v>
      </c>
      <c r="Q261" t="s">
        <v>47</v>
      </c>
      <c r="R261" t="s">
        <v>48</v>
      </c>
      <c r="T261" t="s">
        <v>36</v>
      </c>
      <c r="U261" t="s">
        <v>36</v>
      </c>
      <c r="V261" t="s">
        <v>36</v>
      </c>
      <c r="W261">
        <v>4000</v>
      </c>
      <c r="X261" t="s">
        <v>49</v>
      </c>
      <c r="Y261" t="s">
        <v>50</v>
      </c>
      <c r="Z261" t="s">
        <v>51</v>
      </c>
      <c r="AA261" t="s">
        <v>37</v>
      </c>
      <c r="AB261" t="s">
        <v>52</v>
      </c>
      <c r="AC261" t="s">
        <v>53</v>
      </c>
      <c r="AD261" t="s">
        <v>54</v>
      </c>
      <c r="AE261">
        <v>8.1818739673900005</v>
      </c>
      <c r="AF261">
        <v>1629</v>
      </c>
      <c r="AG261">
        <v>1628.7172322700001</v>
      </c>
      <c r="AH261">
        <v>81820.0594403</v>
      </c>
      <c r="AI261">
        <v>52</v>
      </c>
      <c r="AJ261">
        <v>37680.388651275098</v>
      </c>
      <c r="AK261" s="1">
        <f>intersection_ss_Lden___surface[[#This Row],[surf m2 bout ss]]/intersection_ss_Lden___surface[[#This Row],[Shape_Area]]</f>
        <v>0.46052751500099548</v>
      </c>
      <c r="AL261">
        <v>939</v>
      </c>
      <c r="AM261">
        <f>intersection_ss_Lden___surface[[#This Row],[Population totale 2024 ss]]*intersection_ss_Lden___surface[[#This Row],[Part de la surface du qs dans le noise contour]]</f>
        <v>432.43533658593475</v>
      </c>
    </row>
    <row r="262" spans="1:39" x14ac:dyDescent="0.3">
      <c r="A262">
        <v>292</v>
      </c>
      <c r="B262" t="s">
        <v>481</v>
      </c>
      <c r="C262" t="s">
        <v>482</v>
      </c>
      <c r="D262" t="s">
        <v>483</v>
      </c>
      <c r="E262" t="s">
        <v>483</v>
      </c>
      <c r="F262" t="s">
        <v>477</v>
      </c>
      <c r="G262" t="s">
        <v>455</v>
      </c>
      <c r="H262" t="s">
        <v>456</v>
      </c>
      <c r="I262" t="s">
        <v>457</v>
      </c>
      <c r="J262" t="s">
        <v>36</v>
      </c>
      <c r="K262">
        <v>21004</v>
      </c>
      <c r="L262" t="s">
        <v>309</v>
      </c>
      <c r="M262" t="s">
        <v>310</v>
      </c>
      <c r="N262" t="s">
        <v>311</v>
      </c>
      <c r="O262">
        <v>21000</v>
      </c>
      <c r="P262" t="s">
        <v>46</v>
      </c>
      <c r="Q262" t="s">
        <v>47</v>
      </c>
      <c r="R262" t="s">
        <v>48</v>
      </c>
      <c r="T262" t="s">
        <v>36</v>
      </c>
      <c r="U262" t="s">
        <v>36</v>
      </c>
      <c r="V262" t="s">
        <v>36</v>
      </c>
      <c r="W262">
        <v>4000</v>
      </c>
      <c r="X262" t="s">
        <v>49</v>
      </c>
      <c r="Y262" t="s">
        <v>50</v>
      </c>
      <c r="Z262" t="s">
        <v>51</v>
      </c>
      <c r="AA262" t="s">
        <v>37</v>
      </c>
      <c r="AB262" t="s">
        <v>52</v>
      </c>
      <c r="AC262" t="s">
        <v>53</v>
      </c>
      <c r="AD262" t="s">
        <v>54</v>
      </c>
      <c r="AE262">
        <v>10.652471436600001</v>
      </c>
      <c r="AF262">
        <v>1615</v>
      </c>
      <c r="AG262">
        <v>1615.29307062</v>
      </c>
      <c r="AH262">
        <v>106526.426504</v>
      </c>
      <c r="AI262">
        <v>51</v>
      </c>
      <c r="AJ262">
        <v>54791.2010966651</v>
      </c>
      <c r="AK262" s="1">
        <f>intersection_ss_Lden___surface[[#This Row],[surf m2 bout ss]]/intersection_ss_Lden___surface[[#This Row],[Shape_Area]]</f>
        <v>0.51434374450369569</v>
      </c>
      <c r="AL262">
        <v>2680</v>
      </c>
      <c r="AM262">
        <f>intersection_ss_Lden___surface[[#This Row],[Population totale 2024 ss]]*intersection_ss_Lden___surface[[#This Row],[Part de la surface du qs dans le noise contour]]</f>
        <v>1378.4412352699044</v>
      </c>
    </row>
    <row r="263" spans="1:39" x14ac:dyDescent="0.3">
      <c r="A263">
        <v>293</v>
      </c>
      <c r="B263" t="s">
        <v>481</v>
      </c>
      <c r="C263" t="s">
        <v>482</v>
      </c>
      <c r="D263" t="s">
        <v>483</v>
      </c>
      <c r="E263" t="s">
        <v>483</v>
      </c>
      <c r="F263" t="s">
        <v>477</v>
      </c>
      <c r="G263" t="s">
        <v>455</v>
      </c>
      <c r="H263" t="s">
        <v>456</v>
      </c>
      <c r="I263" t="s">
        <v>457</v>
      </c>
      <c r="J263" t="s">
        <v>36</v>
      </c>
      <c r="K263">
        <v>21004</v>
      </c>
      <c r="L263" t="s">
        <v>309</v>
      </c>
      <c r="M263" t="s">
        <v>310</v>
      </c>
      <c r="N263" t="s">
        <v>311</v>
      </c>
      <c r="O263">
        <v>21000</v>
      </c>
      <c r="P263" t="s">
        <v>46</v>
      </c>
      <c r="Q263" t="s">
        <v>47</v>
      </c>
      <c r="R263" t="s">
        <v>48</v>
      </c>
      <c r="T263" t="s">
        <v>36</v>
      </c>
      <c r="U263" t="s">
        <v>36</v>
      </c>
      <c r="V263" t="s">
        <v>36</v>
      </c>
      <c r="W263">
        <v>4000</v>
      </c>
      <c r="X263" t="s">
        <v>49</v>
      </c>
      <c r="Y263" t="s">
        <v>50</v>
      </c>
      <c r="Z263" t="s">
        <v>51</v>
      </c>
      <c r="AA263" t="s">
        <v>37</v>
      </c>
      <c r="AB263" t="s">
        <v>52</v>
      </c>
      <c r="AC263" t="s">
        <v>53</v>
      </c>
      <c r="AD263" t="s">
        <v>54</v>
      </c>
      <c r="AE263">
        <v>10.652471436600001</v>
      </c>
      <c r="AF263">
        <v>1615</v>
      </c>
      <c r="AG263">
        <v>1615.29307062</v>
      </c>
      <c r="AH263">
        <v>106526.426504</v>
      </c>
      <c r="AI263">
        <v>52</v>
      </c>
      <c r="AJ263">
        <v>51744.459658187297</v>
      </c>
      <c r="AK263" s="1">
        <f>intersection_ss_Lden___surface[[#This Row],[surf m2 bout ss]]/intersection_ss_Lden___surface[[#This Row],[Shape_Area]]</f>
        <v>0.48574294056737483</v>
      </c>
      <c r="AL263">
        <v>2680</v>
      </c>
      <c r="AM263">
        <f>intersection_ss_Lden___surface[[#This Row],[Population totale 2024 ss]]*intersection_ss_Lden___surface[[#This Row],[Part de la surface du qs dans le noise contour]]</f>
        <v>1301.7910807205644</v>
      </c>
    </row>
    <row r="264" spans="1:39" x14ac:dyDescent="0.3">
      <c r="A264">
        <v>294</v>
      </c>
      <c r="B264" t="s">
        <v>484</v>
      </c>
      <c r="C264" t="s">
        <v>485</v>
      </c>
      <c r="D264" t="s">
        <v>486</v>
      </c>
      <c r="E264" t="s">
        <v>486</v>
      </c>
      <c r="F264" t="s">
        <v>477</v>
      </c>
      <c r="G264" t="s">
        <v>455</v>
      </c>
      <c r="H264" t="s">
        <v>456</v>
      </c>
      <c r="I264" t="s">
        <v>457</v>
      </c>
      <c r="J264" t="s">
        <v>36</v>
      </c>
      <c r="K264">
        <v>21004</v>
      </c>
      <c r="L264" t="s">
        <v>309</v>
      </c>
      <c r="M264" t="s">
        <v>310</v>
      </c>
      <c r="N264" t="s">
        <v>311</v>
      </c>
      <c r="O264">
        <v>21000</v>
      </c>
      <c r="P264" t="s">
        <v>46</v>
      </c>
      <c r="Q264" t="s">
        <v>47</v>
      </c>
      <c r="R264" t="s">
        <v>48</v>
      </c>
      <c r="T264" t="s">
        <v>36</v>
      </c>
      <c r="U264" t="s">
        <v>36</v>
      </c>
      <c r="V264" t="s">
        <v>36</v>
      </c>
      <c r="W264">
        <v>4000</v>
      </c>
      <c r="X264" t="s">
        <v>49</v>
      </c>
      <c r="Y264" t="s">
        <v>50</v>
      </c>
      <c r="Z264" t="s">
        <v>51</v>
      </c>
      <c r="AA264" t="s">
        <v>37</v>
      </c>
      <c r="AB264" t="s">
        <v>52</v>
      </c>
      <c r="AC264" t="s">
        <v>53</v>
      </c>
      <c r="AD264" t="s">
        <v>54</v>
      </c>
      <c r="AE264">
        <v>30.439585597600001</v>
      </c>
      <c r="AF264">
        <v>3551</v>
      </c>
      <c r="AG264">
        <v>3551.23274305</v>
      </c>
      <c r="AH264">
        <v>304400.75639900001</v>
      </c>
      <c r="AI264">
        <v>50</v>
      </c>
      <c r="AJ264">
        <v>69652.766396639898</v>
      </c>
      <c r="AK264" s="1">
        <f>intersection_ss_Lden___surface[[#This Row],[surf m2 bout ss]]/intersection_ss_Lden___surface[[#This Row],[Shape_Area]]</f>
        <v>0.22881929473703738</v>
      </c>
      <c r="AL264">
        <v>735</v>
      </c>
      <c r="AM264">
        <f>intersection_ss_Lden___surface[[#This Row],[Population totale 2024 ss]]*intersection_ss_Lden___surface[[#This Row],[Part de la surface du qs dans le noise contour]]</f>
        <v>168.18218163172247</v>
      </c>
    </row>
    <row r="265" spans="1:39" x14ac:dyDescent="0.3">
      <c r="A265">
        <v>295</v>
      </c>
      <c r="B265" t="s">
        <v>484</v>
      </c>
      <c r="C265" t="s">
        <v>485</v>
      </c>
      <c r="D265" t="s">
        <v>486</v>
      </c>
      <c r="E265" t="s">
        <v>486</v>
      </c>
      <c r="F265" t="s">
        <v>477</v>
      </c>
      <c r="G265" t="s">
        <v>455</v>
      </c>
      <c r="H265" t="s">
        <v>456</v>
      </c>
      <c r="I265" t="s">
        <v>457</v>
      </c>
      <c r="J265" t="s">
        <v>36</v>
      </c>
      <c r="K265">
        <v>21004</v>
      </c>
      <c r="L265" t="s">
        <v>309</v>
      </c>
      <c r="M265" t="s">
        <v>310</v>
      </c>
      <c r="N265" t="s">
        <v>311</v>
      </c>
      <c r="O265">
        <v>21000</v>
      </c>
      <c r="P265" t="s">
        <v>46</v>
      </c>
      <c r="Q265" t="s">
        <v>47</v>
      </c>
      <c r="R265" t="s">
        <v>48</v>
      </c>
      <c r="T265" t="s">
        <v>36</v>
      </c>
      <c r="U265" t="s">
        <v>36</v>
      </c>
      <c r="V265" t="s">
        <v>36</v>
      </c>
      <c r="W265">
        <v>4000</v>
      </c>
      <c r="X265" t="s">
        <v>49</v>
      </c>
      <c r="Y265" t="s">
        <v>50</v>
      </c>
      <c r="Z265" t="s">
        <v>51</v>
      </c>
      <c r="AA265" t="s">
        <v>37</v>
      </c>
      <c r="AB265" t="s">
        <v>52</v>
      </c>
      <c r="AC265" t="s">
        <v>53</v>
      </c>
      <c r="AD265" t="s">
        <v>54</v>
      </c>
      <c r="AE265">
        <v>30.439585597600001</v>
      </c>
      <c r="AF265">
        <v>3551</v>
      </c>
      <c r="AG265">
        <v>3551.23274305</v>
      </c>
      <c r="AH265">
        <v>304400.75639900001</v>
      </c>
      <c r="AI265">
        <v>51</v>
      </c>
      <c r="AJ265">
        <v>158866.86970409699</v>
      </c>
      <c r="AK265" s="1">
        <f>intersection_ss_Lden___surface[[#This Row],[surf m2 bout ss]]/intersection_ss_Lden___surface[[#This Row],[Shape_Area]]</f>
        <v>0.52190037759255348</v>
      </c>
      <c r="AL265">
        <v>735</v>
      </c>
      <c r="AM265">
        <f>intersection_ss_Lden___surface[[#This Row],[Population totale 2024 ss]]*intersection_ss_Lden___surface[[#This Row],[Part de la surface du qs dans le noise contour]]</f>
        <v>383.59677753052682</v>
      </c>
    </row>
    <row r="266" spans="1:39" x14ac:dyDescent="0.3">
      <c r="A266">
        <v>296</v>
      </c>
      <c r="B266" t="s">
        <v>484</v>
      </c>
      <c r="C266" t="s">
        <v>485</v>
      </c>
      <c r="D266" t="s">
        <v>486</v>
      </c>
      <c r="E266" t="s">
        <v>486</v>
      </c>
      <c r="F266" t="s">
        <v>477</v>
      </c>
      <c r="G266" t="s">
        <v>455</v>
      </c>
      <c r="H266" t="s">
        <v>456</v>
      </c>
      <c r="I266" t="s">
        <v>457</v>
      </c>
      <c r="J266" t="s">
        <v>36</v>
      </c>
      <c r="K266">
        <v>21004</v>
      </c>
      <c r="L266" t="s">
        <v>309</v>
      </c>
      <c r="M266" t="s">
        <v>310</v>
      </c>
      <c r="N266" t="s">
        <v>311</v>
      </c>
      <c r="O266">
        <v>21000</v>
      </c>
      <c r="P266" t="s">
        <v>46</v>
      </c>
      <c r="Q266" t="s">
        <v>47</v>
      </c>
      <c r="R266" t="s">
        <v>48</v>
      </c>
      <c r="T266" t="s">
        <v>36</v>
      </c>
      <c r="U266" t="s">
        <v>36</v>
      </c>
      <c r="V266" t="s">
        <v>36</v>
      </c>
      <c r="W266">
        <v>4000</v>
      </c>
      <c r="X266" t="s">
        <v>49</v>
      </c>
      <c r="Y266" t="s">
        <v>50</v>
      </c>
      <c r="Z266" t="s">
        <v>51</v>
      </c>
      <c r="AA266" t="s">
        <v>37</v>
      </c>
      <c r="AB266" t="s">
        <v>52</v>
      </c>
      <c r="AC266" t="s">
        <v>53</v>
      </c>
      <c r="AD266" t="s">
        <v>54</v>
      </c>
      <c r="AE266">
        <v>30.439585597600001</v>
      </c>
      <c r="AF266">
        <v>3551</v>
      </c>
      <c r="AG266">
        <v>3551.23274305</v>
      </c>
      <c r="AH266">
        <v>304400.75639900001</v>
      </c>
      <c r="AI266">
        <v>52</v>
      </c>
      <c r="AJ266">
        <v>75907.581773637299</v>
      </c>
      <c r="AK266" s="1">
        <f>intersection_ss_Lden___surface[[#This Row],[surf m2 bout ss]]/intersection_ss_Lden___surface[[#This Row],[Shape_Area]]</f>
        <v>0.24936725739978044</v>
      </c>
      <c r="AL266">
        <v>735</v>
      </c>
      <c r="AM266">
        <f>intersection_ss_Lden___surface[[#This Row],[Population totale 2024 ss]]*intersection_ss_Lden___surface[[#This Row],[Part de la surface du qs dans le noise contour]]</f>
        <v>183.28493418883863</v>
      </c>
    </row>
    <row r="267" spans="1:39" x14ac:dyDescent="0.3">
      <c r="A267">
        <v>297</v>
      </c>
      <c r="B267" t="s">
        <v>487</v>
      </c>
      <c r="C267" t="s">
        <v>488</v>
      </c>
      <c r="D267" t="s">
        <v>489</v>
      </c>
      <c r="E267" t="s">
        <v>489</v>
      </c>
      <c r="F267" t="s">
        <v>477</v>
      </c>
      <c r="G267" t="s">
        <v>455</v>
      </c>
      <c r="H267" t="s">
        <v>456</v>
      </c>
      <c r="I267" t="s">
        <v>457</v>
      </c>
      <c r="J267" t="s">
        <v>36</v>
      </c>
      <c r="K267">
        <v>21004</v>
      </c>
      <c r="L267" t="s">
        <v>309</v>
      </c>
      <c r="M267" t="s">
        <v>310</v>
      </c>
      <c r="N267" t="s">
        <v>311</v>
      </c>
      <c r="O267">
        <v>21000</v>
      </c>
      <c r="P267" t="s">
        <v>46</v>
      </c>
      <c r="Q267" t="s">
        <v>47</v>
      </c>
      <c r="R267" t="s">
        <v>48</v>
      </c>
      <c r="T267" t="s">
        <v>36</v>
      </c>
      <c r="U267" t="s">
        <v>36</v>
      </c>
      <c r="V267" t="s">
        <v>36</v>
      </c>
      <c r="W267">
        <v>4000</v>
      </c>
      <c r="X267" t="s">
        <v>49</v>
      </c>
      <c r="Y267" t="s">
        <v>50</v>
      </c>
      <c r="Z267" t="s">
        <v>51</v>
      </c>
      <c r="AA267" t="s">
        <v>37</v>
      </c>
      <c r="AB267" t="s">
        <v>52</v>
      </c>
      <c r="AC267" t="s">
        <v>53</v>
      </c>
      <c r="AD267" t="s">
        <v>54</v>
      </c>
      <c r="AE267">
        <v>20.312783686100001</v>
      </c>
      <c r="AF267">
        <v>4764</v>
      </c>
      <c r="AG267">
        <v>4764.0169100200001</v>
      </c>
      <c r="AH267">
        <v>203131.08228</v>
      </c>
      <c r="AI267">
        <v>50</v>
      </c>
      <c r="AJ267">
        <v>16209.7363550263</v>
      </c>
      <c r="AK267" s="1">
        <f>intersection_ss_Lden___surface[[#This Row],[surf m2 bout ss]]/intersection_ss_Lden___surface[[#This Row],[Shape_Area]]</f>
        <v>7.9799389502993298E-2</v>
      </c>
      <c r="AL267">
        <v>0</v>
      </c>
      <c r="AM267">
        <f>intersection_ss_Lden___surface[[#This Row],[Population totale 2024 ss]]*intersection_ss_Lden___surface[[#This Row],[Part de la surface du qs dans le noise contour]]</f>
        <v>0</v>
      </c>
    </row>
    <row r="268" spans="1:39" x14ac:dyDescent="0.3">
      <c r="A268">
        <v>298</v>
      </c>
      <c r="B268" t="s">
        <v>487</v>
      </c>
      <c r="C268" t="s">
        <v>488</v>
      </c>
      <c r="D268" t="s">
        <v>489</v>
      </c>
      <c r="E268" t="s">
        <v>489</v>
      </c>
      <c r="F268" t="s">
        <v>477</v>
      </c>
      <c r="G268" t="s">
        <v>455</v>
      </c>
      <c r="H268" t="s">
        <v>456</v>
      </c>
      <c r="I268" t="s">
        <v>457</v>
      </c>
      <c r="J268" t="s">
        <v>36</v>
      </c>
      <c r="K268">
        <v>21004</v>
      </c>
      <c r="L268" t="s">
        <v>309</v>
      </c>
      <c r="M268" t="s">
        <v>310</v>
      </c>
      <c r="N268" t="s">
        <v>311</v>
      </c>
      <c r="O268">
        <v>21000</v>
      </c>
      <c r="P268" t="s">
        <v>46</v>
      </c>
      <c r="Q268" t="s">
        <v>47</v>
      </c>
      <c r="R268" t="s">
        <v>48</v>
      </c>
      <c r="T268" t="s">
        <v>36</v>
      </c>
      <c r="U268" t="s">
        <v>36</v>
      </c>
      <c r="V268" t="s">
        <v>36</v>
      </c>
      <c r="W268">
        <v>4000</v>
      </c>
      <c r="X268" t="s">
        <v>49</v>
      </c>
      <c r="Y268" t="s">
        <v>50</v>
      </c>
      <c r="Z268" t="s">
        <v>51</v>
      </c>
      <c r="AA268" t="s">
        <v>37</v>
      </c>
      <c r="AB268" t="s">
        <v>52</v>
      </c>
      <c r="AC268" t="s">
        <v>53</v>
      </c>
      <c r="AD268" t="s">
        <v>54</v>
      </c>
      <c r="AE268">
        <v>20.312783686100001</v>
      </c>
      <c r="AF268">
        <v>4764</v>
      </c>
      <c r="AG268">
        <v>4764.0169100200001</v>
      </c>
      <c r="AH268">
        <v>203131.08228</v>
      </c>
      <c r="AI268">
        <v>51</v>
      </c>
      <c r="AJ268">
        <v>62240.309453244299</v>
      </c>
      <c r="AK268" s="1">
        <f>intersection_ss_Lden___surface[[#This Row],[surf m2 bout ss]]/intersection_ss_Lden___surface[[#This Row],[Shape_Area]]</f>
        <v>0.30640465631670782</v>
      </c>
      <c r="AL268">
        <v>0</v>
      </c>
      <c r="AM268">
        <f>intersection_ss_Lden___surface[[#This Row],[Population totale 2024 ss]]*intersection_ss_Lden___surface[[#This Row],[Part de la surface du qs dans le noise contour]]</f>
        <v>0</v>
      </c>
    </row>
    <row r="269" spans="1:39" x14ac:dyDescent="0.3">
      <c r="A269">
        <v>299</v>
      </c>
      <c r="B269" t="s">
        <v>487</v>
      </c>
      <c r="C269" t="s">
        <v>488</v>
      </c>
      <c r="D269" t="s">
        <v>489</v>
      </c>
      <c r="E269" t="s">
        <v>489</v>
      </c>
      <c r="F269" t="s">
        <v>477</v>
      </c>
      <c r="G269" t="s">
        <v>455</v>
      </c>
      <c r="H269" t="s">
        <v>456</v>
      </c>
      <c r="I269" t="s">
        <v>457</v>
      </c>
      <c r="J269" t="s">
        <v>36</v>
      </c>
      <c r="K269">
        <v>21004</v>
      </c>
      <c r="L269" t="s">
        <v>309</v>
      </c>
      <c r="M269" t="s">
        <v>310</v>
      </c>
      <c r="N269" t="s">
        <v>311</v>
      </c>
      <c r="O269">
        <v>21000</v>
      </c>
      <c r="P269" t="s">
        <v>46</v>
      </c>
      <c r="Q269" t="s">
        <v>47</v>
      </c>
      <c r="R269" t="s">
        <v>48</v>
      </c>
      <c r="T269" t="s">
        <v>36</v>
      </c>
      <c r="U269" t="s">
        <v>36</v>
      </c>
      <c r="V269" t="s">
        <v>36</v>
      </c>
      <c r="W269">
        <v>4000</v>
      </c>
      <c r="X269" t="s">
        <v>49</v>
      </c>
      <c r="Y269" t="s">
        <v>50</v>
      </c>
      <c r="Z269" t="s">
        <v>51</v>
      </c>
      <c r="AA269" t="s">
        <v>37</v>
      </c>
      <c r="AB269" t="s">
        <v>52</v>
      </c>
      <c r="AC269" t="s">
        <v>53</v>
      </c>
      <c r="AD269" t="s">
        <v>54</v>
      </c>
      <c r="AE269">
        <v>20.312783686100001</v>
      </c>
      <c r="AF269">
        <v>4764</v>
      </c>
      <c r="AG269">
        <v>4764.0169100200001</v>
      </c>
      <c r="AH269">
        <v>203131.08228</v>
      </c>
      <c r="AI269">
        <v>52</v>
      </c>
      <c r="AJ269">
        <v>36598.946609798397</v>
      </c>
      <c r="AK269" s="1">
        <f>intersection_ss_Lden___surface[[#This Row],[surf m2 bout ss]]/intersection_ss_Lden___surface[[#This Row],[Shape_Area]]</f>
        <v>0.18017403441660232</v>
      </c>
      <c r="AL269">
        <v>0</v>
      </c>
      <c r="AM269">
        <f>intersection_ss_Lden___surface[[#This Row],[Population totale 2024 ss]]*intersection_ss_Lden___surface[[#This Row],[Part de la surface du qs dans le noise contour]]</f>
        <v>0</v>
      </c>
    </row>
    <row r="270" spans="1:39" x14ac:dyDescent="0.3">
      <c r="A270">
        <v>300</v>
      </c>
      <c r="B270" t="s">
        <v>487</v>
      </c>
      <c r="C270" t="s">
        <v>488</v>
      </c>
      <c r="D270" t="s">
        <v>489</v>
      </c>
      <c r="E270" t="s">
        <v>489</v>
      </c>
      <c r="F270" t="s">
        <v>477</v>
      </c>
      <c r="G270" t="s">
        <v>455</v>
      </c>
      <c r="H270" t="s">
        <v>456</v>
      </c>
      <c r="I270" t="s">
        <v>457</v>
      </c>
      <c r="J270" t="s">
        <v>36</v>
      </c>
      <c r="K270">
        <v>21004</v>
      </c>
      <c r="L270" t="s">
        <v>309</v>
      </c>
      <c r="M270" t="s">
        <v>310</v>
      </c>
      <c r="N270" t="s">
        <v>311</v>
      </c>
      <c r="O270">
        <v>21000</v>
      </c>
      <c r="P270" t="s">
        <v>46</v>
      </c>
      <c r="Q270" t="s">
        <v>47</v>
      </c>
      <c r="R270" t="s">
        <v>48</v>
      </c>
      <c r="T270" t="s">
        <v>36</v>
      </c>
      <c r="U270" t="s">
        <v>36</v>
      </c>
      <c r="V270" t="s">
        <v>36</v>
      </c>
      <c r="W270">
        <v>4000</v>
      </c>
      <c r="X270" t="s">
        <v>49</v>
      </c>
      <c r="Y270" t="s">
        <v>50</v>
      </c>
      <c r="Z270" t="s">
        <v>51</v>
      </c>
      <c r="AA270" t="s">
        <v>37</v>
      </c>
      <c r="AB270" t="s">
        <v>52</v>
      </c>
      <c r="AC270" t="s">
        <v>53</v>
      </c>
      <c r="AD270" t="s">
        <v>54</v>
      </c>
      <c r="AE270">
        <v>20.312783686100001</v>
      </c>
      <c r="AF270">
        <v>4764</v>
      </c>
      <c r="AG270">
        <v>4764.0169100200001</v>
      </c>
      <c r="AH270">
        <v>203131.08228</v>
      </c>
      <c r="AI270">
        <v>53</v>
      </c>
      <c r="AJ270">
        <v>55722.717915316098</v>
      </c>
      <c r="AK270" s="1">
        <f>intersection_ss_Lden___surface[[#This Row],[surf m2 bout ss]]/intersection_ss_Lden___surface[[#This Row],[Shape_Area]]</f>
        <v>0.2743190125798019</v>
      </c>
      <c r="AL270">
        <v>0</v>
      </c>
      <c r="AM270">
        <f>intersection_ss_Lden___surface[[#This Row],[Population totale 2024 ss]]*intersection_ss_Lden___surface[[#This Row],[Part de la surface du qs dans le noise contour]]</f>
        <v>0</v>
      </c>
    </row>
    <row r="271" spans="1:39" x14ac:dyDescent="0.3">
      <c r="A271">
        <v>301</v>
      </c>
      <c r="B271" t="s">
        <v>487</v>
      </c>
      <c r="C271" t="s">
        <v>488</v>
      </c>
      <c r="D271" t="s">
        <v>489</v>
      </c>
      <c r="E271" t="s">
        <v>489</v>
      </c>
      <c r="F271" t="s">
        <v>477</v>
      </c>
      <c r="G271" t="s">
        <v>455</v>
      </c>
      <c r="H271" t="s">
        <v>456</v>
      </c>
      <c r="I271" t="s">
        <v>457</v>
      </c>
      <c r="J271" t="s">
        <v>36</v>
      </c>
      <c r="K271">
        <v>21004</v>
      </c>
      <c r="L271" t="s">
        <v>309</v>
      </c>
      <c r="M271" t="s">
        <v>310</v>
      </c>
      <c r="N271" t="s">
        <v>311</v>
      </c>
      <c r="O271">
        <v>21000</v>
      </c>
      <c r="P271" t="s">
        <v>46</v>
      </c>
      <c r="Q271" t="s">
        <v>47</v>
      </c>
      <c r="R271" t="s">
        <v>48</v>
      </c>
      <c r="T271" t="s">
        <v>36</v>
      </c>
      <c r="U271" t="s">
        <v>36</v>
      </c>
      <c r="V271" t="s">
        <v>36</v>
      </c>
      <c r="W271">
        <v>4000</v>
      </c>
      <c r="X271" t="s">
        <v>49</v>
      </c>
      <c r="Y271" t="s">
        <v>50</v>
      </c>
      <c r="Z271" t="s">
        <v>51</v>
      </c>
      <c r="AA271" t="s">
        <v>37</v>
      </c>
      <c r="AB271" t="s">
        <v>52</v>
      </c>
      <c r="AC271" t="s">
        <v>53</v>
      </c>
      <c r="AD271" t="s">
        <v>54</v>
      </c>
      <c r="AE271">
        <v>20.312783686100001</v>
      </c>
      <c r="AF271">
        <v>4764</v>
      </c>
      <c r="AG271">
        <v>4764.0169100200001</v>
      </c>
      <c r="AH271">
        <v>203131.08228</v>
      </c>
      <c r="AI271">
        <v>54</v>
      </c>
      <c r="AJ271">
        <v>32377.4852811126</v>
      </c>
      <c r="AK271" s="1">
        <f>intersection_ss_Lden___surface[[#This Row],[surf m2 bout ss]]/intersection_ss_Lden___surface[[#This Row],[Shape_Area]]</f>
        <v>0.1593920778528754</v>
      </c>
      <c r="AL271">
        <v>0</v>
      </c>
      <c r="AM271">
        <f>intersection_ss_Lden___surface[[#This Row],[Population totale 2024 ss]]*intersection_ss_Lden___surface[[#This Row],[Part de la surface du qs dans le noise contour]]</f>
        <v>0</v>
      </c>
    </row>
    <row r="272" spans="1:39" x14ac:dyDescent="0.3">
      <c r="A272">
        <v>302</v>
      </c>
      <c r="B272" t="s">
        <v>490</v>
      </c>
      <c r="C272" t="s">
        <v>491</v>
      </c>
      <c r="D272" t="s">
        <v>492</v>
      </c>
      <c r="E272" t="s">
        <v>492</v>
      </c>
      <c r="F272" t="s">
        <v>493</v>
      </c>
      <c r="G272" t="s">
        <v>455</v>
      </c>
      <c r="H272" t="s">
        <v>456</v>
      </c>
      <c r="I272" t="s">
        <v>457</v>
      </c>
      <c r="J272" t="s">
        <v>36</v>
      </c>
      <c r="K272">
        <v>21004</v>
      </c>
      <c r="L272" t="s">
        <v>309</v>
      </c>
      <c r="M272" t="s">
        <v>310</v>
      </c>
      <c r="N272" t="s">
        <v>311</v>
      </c>
      <c r="O272">
        <v>21000</v>
      </c>
      <c r="P272" t="s">
        <v>46</v>
      </c>
      <c r="Q272" t="s">
        <v>47</v>
      </c>
      <c r="R272" t="s">
        <v>48</v>
      </c>
      <c r="T272" t="s">
        <v>36</v>
      </c>
      <c r="U272" t="s">
        <v>36</v>
      </c>
      <c r="V272" t="s">
        <v>36</v>
      </c>
      <c r="W272">
        <v>4000</v>
      </c>
      <c r="X272" t="s">
        <v>49</v>
      </c>
      <c r="Y272" t="s">
        <v>50</v>
      </c>
      <c r="Z272" t="s">
        <v>51</v>
      </c>
      <c r="AA272" t="s">
        <v>37</v>
      </c>
      <c r="AB272" t="s">
        <v>52</v>
      </c>
      <c r="AC272" t="s">
        <v>53</v>
      </c>
      <c r="AD272" t="s">
        <v>54</v>
      </c>
      <c r="AE272">
        <v>31.438785150099999</v>
      </c>
      <c r="AF272">
        <v>2732</v>
      </c>
      <c r="AG272">
        <v>2731.9651582900001</v>
      </c>
      <c r="AH272">
        <v>314392.93085399998</v>
      </c>
      <c r="AI272">
        <v>49</v>
      </c>
      <c r="AJ272">
        <v>6723.3802698557301</v>
      </c>
      <c r="AK272" s="1">
        <f>intersection_ss_Lden___surface[[#This Row],[surf m2 bout ss]]/intersection_ss_Lden___surface[[#This Row],[Shape_Area]]</f>
        <v>2.1385278134570977E-2</v>
      </c>
      <c r="AL272">
        <v>6057</v>
      </c>
      <c r="AM272">
        <f>intersection_ss_Lden___surface[[#This Row],[Population totale 2024 ss]]*intersection_ss_Lden___surface[[#This Row],[Part de la surface du qs dans le noise contour]]</f>
        <v>129.53062966109641</v>
      </c>
    </row>
    <row r="273" spans="1:39" x14ac:dyDescent="0.3">
      <c r="A273">
        <v>303</v>
      </c>
      <c r="B273" t="s">
        <v>490</v>
      </c>
      <c r="C273" t="s">
        <v>491</v>
      </c>
      <c r="D273" t="s">
        <v>492</v>
      </c>
      <c r="E273" t="s">
        <v>492</v>
      </c>
      <c r="F273" t="s">
        <v>493</v>
      </c>
      <c r="G273" t="s">
        <v>455</v>
      </c>
      <c r="H273" t="s">
        <v>456</v>
      </c>
      <c r="I273" t="s">
        <v>457</v>
      </c>
      <c r="J273" t="s">
        <v>36</v>
      </c>
      <c r="K273">
        <v>21004</v>
      </c>
      <c r="L273" t="s">
        <v>309</v>
      </c>
      <c r="M273" t="s">
        <v>310</v>
      </c>
      <c r="N273" t="s">
        <v>311</v>
      </c>
      <c r="O273">
        <v>21000</v>
      </c>
      <c r="P273" t="s">
        <v>46</v>
      </c>
      <c r="Q273" t="s">
        <v>47</v>
      </c>
      <c r="R273" t="s">
        <v>48</v>
      </c>
      <c r="T273" t="s">
        <v>36</v>
      </c>
      <c r="U273" t="s">
        <v>36</v>
      </c>
      <c r="V273" t="s">
        <v>36</v>
      </c>
      <c r="W273">
        <v>4000</v>
      </c>
      <c r="X273" t="s">
        <v>49</v>
      </c>
      <c r="Y273" t="s">
        <v>50</v>
      </c>
      <c r="Z273" t="s">
        <v>51</v>
      </c>
      <c r="AA273" t="s">
        <v>37</v>
      </c>
      <c r="AB273" t="s">
        <v>52</v>
      </c>
      <c r="AC273" t="s">
        <v>53</v>
      </c>
      <c r="AD273" t="s">
        <v>54</v>
      </c>
      <c r="AE273">
        <v>31.438785150099999</v>
      </c>
      <c r="AF273">
        <v>2732</v>
      </c>
      <c r="AG273">
        <v>2731.9651582900001</v>
      </c>
      <c r="AH273">
        <v>314392.93085399998</v>
      </c>
      <c r="AI273">
        <v>50</v>
      </c>
      <c r="AJ273">
        <v>287903.313087355</v>
      </c>
      <c r="AK273" s="1">
        <f>intersection_ss_Lden___surface[[#This Row],[surf m2 bout ss]]/intersection_ss_Lden___surface[[#This Row],[Shape_Area]]</f>
        <v>0.91574359609584732</v>
      </c>
      <c r="AL273">
        <v>6057</v>
      </c>
      <c r="AM273">
        <f>intersection_ss_Lden___surface[[#This Row],[Population totale 2024 ss]]*intersection_ss_Lden___surface[[#This Row],[Part de la surface du qs dans le noise contour]]</f>
        <v>5546.6589615525472</v>
      </c>
    </row>
    <row r="274" spans="1:39" x14ac:dyDescent="0.3">
      <c r="A274">
        <v>304</v>
      </c>
      <c r="B274" t="s">
        <v>490</v>
      </c>
      <c r="C274" t="s">
        <v>491</v>
      </c>
      <c r="D274" t="s">
        <v>492</v>
      </c>
      <c r="E274" t="s">
        <v>492</v>
      </c>
      <c r="F274" t="s">
        <v>493</v>
      </c>
      <c r="G274" t="s">
        <v>455</v>
      </c>
      <c r="H274" t="s">
        <v>456</v>
      </c>
      <c r="I274" t="s">
        <v>457</v>
      </c>
      <c r="J274" t="s">
        <v>36</v>
      </c>
      <c r="K274">
        <v>21004</v>
      </c>
      <c r="L274" t="s">
        <v>309</v>
      </c>
      <c r="M274" t="s">
        <v>310</v>
      </c>
      <c r="N274" t="s">
        <v>311</v>
      </c>
      <c r="O274">
        <v>21000</v>
      </c>
      <c r="P274" t="s">
        <v>46</v>
      </c>
      <c r="Q274" t="s">
        <v>47</v>
      </c>
      <c r="R274" t="s">
        <v>48</v>
      </c>
      <c r="T274" t="s">
        <v>36</v>
      </c>
      <c r="U274" t="s">
        <v>36</v>
      </c>
      <c r="V274" t="s">
        <v>36</v>
      </c>
      <c r="W274">
        <v>4000</v>
      </c>
      <c r="X274" t="s">
        <v>49</v>
      </c>
      <c r="Y274" t="s">
        <v>50</v>
      </c>
      <c r="Z274" t="s">
        <v>51</v>
      </c>
      <c r="AA274" t="s">
        <v>37</v>
      </c>
      <c r="AB274" t="s">
        <v>52</v>
      </c>
      <c r="AC274" t="s">
        <v>53</v>
      </c>
      <c r="AD274" t="s">
        <v>54</v>
      </c>
      <c r="AE274">
        <v>31.438785150099999</v>
      </c>
      <c r="AF274">
        <v>2732</v>
      </c>
      <c r="AG274">
        <v>2731.9651582900001</v>
      </c>
      <c r="AH274">
        <v>314392.93085399998</v>
      </c>
      <c r="AI274">
        <v>51</v>
      </c>
      <c r="AJ274">
        <v>19795.175399708602</v>
      </c>
      <c r="AK274" s="1">
        <f>intersection_ss_Lden___surface[[#This Row],[surf m2 bout ss]]/intersection_ss_Lden___surface[[#This Row],[Shape_Area]]</f>
        <v>6.2963169515097103E-2</v>
      </c>
      <c r="AL274">
        <v>6057</v>
      </c>
      <c r="AM274">
        <f>intersection_ss_Lden___surface[[#This Row],[Population totale 2024 ss]]*intersection_ss_Lden___surface[[#This Row],[Part de la surface du qs dans le noise contour]]</f>
        <v>381.36791775294313</v>
      </c>
    </row>
    <row r="275" spans="1:39" x14ac:dyDescent="0.3">
      <c r="A275">
        <v>305</v>
      </c>
      <c r="B275" t="s">
        <v>494</v>
      </c>
      <c r="C275" t="s">
        <v>495</v>
      </c>
      <c r="D275" t="s">
        <v>496</v>
      </c>
      <c r="E275" t="s">
        <v>496</v>
      </c>
      <c r="F275" t="s">
        <v>493</v>
      </c>
      <c r="G275" t="s">
        <v>455</v>
      </c>
      <c r="H275" t="s">
        <v>456</v>
      </c>
      <c r="I275" t="s">
        <v>457</v>
      </c>
      <c r="J275" t="s">
        <v>36</v>
      </c>
      <c r="K275">
        <v>21004</v>
      </c>
      <c r="L275" t="s">
        <v>309</v>
      </c>
      <c r="M275" t="s">
        <v>310</v>
      </c>
      <c r="N275" t="s">
        <v>311</v>
      </c>
      <c r="O275">
        <v>21000</v>
      </c>
      <c r="P275" t="s">
        <v>46</v>
      </c>
      <c r="Q275" t="s">
        <v>47</v>
      </c>
      <c r="R275" t="s">
        <v>48</v>
      </c>
      <c r="T275" t="s">
        <v>36</v>
      </c>
      <c r="U275" t="s">
        <v>36</v>
      </c>
      <c r="V275" t="s">
        <v>36</v>
      </c>
      <c r="W275">
        <v>4000</v>
      </c>
      <c r="X275" t="s">
        <v>49</v>
      </c>
      <c r="Y275" t="s">
        <v>50</v>
      </c>
      <c r="Z275" t="s">
        <v>51</v>
      </c>
      <c r="AA275" t="s">
        <v>37</v>
      </c>
      <c r="AB275" t="s">
        <v>52</v>
      </c>
      <c r="AC275" t="s">
        <v>53</v>
      </c>
      <c r="AD275" t="s">
        <v>54</v>
      </c>
      <c r="AE275">
        <v>33.858588080700002</v>
      </c>
      <c r="AF275">
        <v>2894</v>
      </c>
      <c r="AG275">
        <v>2893.63201033</v>
      </c>
      <c r="AH275">
        <v>338591.29954400001</v>
      </c>
      <c r="AI275">
        <v>49</v>
      </c>
      <c r="AJ275">
        <v>526.11293633800301</v>
      </c>
      <c r="AK275" s="1">
        <f>intersection_ss_Lden___surface[[#This Row],[surf m2 bout ss]]/intersection_ss_Lden___surface[[#This Row],[Shape_Area]]</f>
        <v>1.5538288699282852E-3</v>
      </c>
      <c r="AL275">
        <v>7180</v>
      </c>
      <c r="AM275">
        <f>intersection_ss_Lden___surface[[#This Row],[Population totale 2024 ss]]*intersection_ss_Lden___surface[[#This Row],[Part de la surface du qs dans le noise contour]]</f>
        <v>11.156491286085087</v>
      </c>
    </row>
    <row r="276" spans="1:39" x14ac:dyDescent="0.3">
      <c r="A276">
        <v>306</v>
      </c>
      <c r="B276" t="s">
        <v>494</v>
      </c>
      <c r="C276" t="s">
        <v>495</v>
      </c>
      <c r="D276" t="s">
        <v>496</v>
      </c>
      <c r="E276" t="s">
        <v>496</v>
      </c>
      <c r="F276" t="s">
        <v>493</v>
      </c>
      <c r="G276" t="s">
        <v>455</v>
      </c>
      <c r="H276" t="s">
        <v>456</v>
      </c>
      <c r="I276" t="s">
        <v>457</v>
      </c>
      <c r="J276" t="s">
        <v>36</v>
      </c>
      <c r="K276">
        <v>21004</v>
      </c>
      <c r="L276" t="s">
        <v>309</v>
      </c>
      <c r="M276" t="s">
        <v>310</v>
      </c>
      <c r="N276" t="s">
        <v>311</v>
      </c>
      <c r="O276">
        <v>21000</v>
      </c>
      <c r="P276" t="s">
        <v>46</v>
      </c>
      <c r="Q276" t="s">
        <v>47</v>
      </c>
      <c r="R276" t="s">
        <v>48</v>
      </c>
      <c r="T276" t="s">
        <v>36</v>
      </c>
      <c r="U276" t="s">
        <v>36</v>
      </c>
      <c r="V276" t="s">
        <v>36</v>
      </c>
      <c r="W276">
        <v>4000</v>
      </c>
      <c r="X276" t="s">
        <v>49</v>
      </c>
      <c r="Y276" t="s">
        <v>50</v>
      </c>
      <c r="Z276" t="s">
        <v>51</v>
      </c>
      <c r="AA276" t="s">
        <v>37</v>
      </c>
      <c r="AB276" t="s">
        <v>52</v>
      </c>
      <c r="AC276" t="s">
        <v>53</v>
      </c>
      <c r="AD276" t="s">
        <v>54</v>
      </c>
      <c r="AE276">
        <v>33.858588080700002</v>
      </c>
      <c r="AF276">
        <v>2894</v>
      </c>
      <c r="AG276">
        <v>2893.63201033</v>
      </c>
      <c r="AH276">
        <v>338591.29954400001</v>
      </c>
      <c r="AI276">
        <v>50</v>
      </c>
      <c r="AJ276">
        <v>216709.760827199</v>
      </c>
      <c r="AK276" s="1">
        <f>intersection_ss_Lden___surface[[#This Row],[surf m2 bout ss]]/intersection_ss_Lden___surface[[#This Row],[Shape_Area]]</f>
        <v>0.64003345956926316</v>
      </c>
      <c r="AL276">
        <v>7180</v>
      </c>
      <c r="AM276">
        <f>intersection_ss_Lden___surface[[#This Row],[Population totale 2024 ss]]*intersection_ss_Lden___surface[[#This Row],[Part de la surface du qs dans le noise contour]]</f>
        <v>4595.44023970731</v>
      </c>
    </row>
    <row r="277" spans="1:39" x14ac:dyDescent="0.3">
      <c r="A277">
        <v>307</v>
      </c>
      <c r="B277" t="s">
        <v>494</v>
      </c>
      <c r="C277" t="s">
        <v>495</v>
      </c>
      <c r="D277" t="s">
        <v>496</v>
      </c>
      <c r="E277" t="s">
        <v>496</v>
      </c>
      <c r="F277" t="s">
        <v>493</v>
      </c>
      <c r="G277" t="s">
        <v>455</v>
      </c>
      <c r="H277" t="s">
        <v>456</v>
      </c>
      <c r="I277" t="s">
        <v>457</v>
      </c>
      <c r="J277" t="s">
        <v>36</v>
      </c>
      <c r="K277">
        <v>21004</v>
      </c>
      <c r="L277" t="s">
        <v>309</v>
      </c>
      <c r="M277" t="s">
        <v>310</v>
      </c>
      <c r="N277" t="s">
        <v>311</v>
      </c>
      <c r="O277">
        <v>21000</v>
      </c>
      <c r="P277" t="s">
        <v>46</v>
      </c>
      <c r="Q277" t="s">
        <v>47</v>
      </c>
      <c r="R277" t="s">
        <v>48</v>
      </c>
      <c r="T277" t="s">
        <v>36</v>
      </c>
      <c r="U277" t="s">
        <v>36</v>
      </c>
      <c r="V277" t="s">
        <v>36</v>
      </c>
      <c r="W277">
        <v>4000</v>
      </c>
      <c r="X277" t="s">
        <v>49</v>
      </c>
      <c r="Y277" t="s">
        <v>50</v>
      </c>
      <c r="Z277" t="s">
        <v>51</v>
      </c>
      <c r="AA277" t="s">
        <v>37</v>
      </c>
      <c r="AB277" t="s">
        <v>52</v>
      </c>
      <c r="AC277" t="s">
        <v>53</v>
      </c>
      <c r="AD277" t="s">
        <v>54</v>
      </c>
      <c r="AE277">
        <v>33.858588080700002</v>
      </c>
      <c r="AF277">
        <v>2894</v>
      </c>
      <c r="AG277">
        <v>2893.63201033</v>
      </c>
      <c r="AH277">
        <v>338591.29954400001</v>
      </c>
      <c r="AI277">
        <v>51</v>
      </c>
      <c r="AJ277">
        <v>121386.84286305</v>
      </c>
      <c r="AK277" s="1">
        <f>intersection_ss_Lden___surface[[#This Row],[surf m2 bout ss]]/intersection_ss_Lden___surface[[#This Row],[Shape_Area]]</f>
        <v>0.35850549918597585</v>
      </c>
      <c r="AL277">
        <v>7180</v>
      </c>
      <c r="AM277">
        <f>intersection_ss_Lden___surface[[#This Row],[Population totale 2024 ss]]*intersection_ss_Lden___surface[[#This Row],[Part de la surface du qs dans le noise contour]]</f>
        <v>2574.0694841553068</v>
      </c>
    </row>
    <row r="278" spans="1:39" x14ac:dyDescent="0.3">
      <c r="A278">
        <v>308</v>
      </c>
      <c r="B278" t="s">
        <v>497</v>
      </c>
      <c r="C278" t="s">
        <v>498</v>
      </c>
      <c r="D278" t="s">
        <v>499</v>
      </c>
      <c r="E278" t="s">
        <v>499</v>
      </c>
      <c r="F278" t="s">
        <v>493</v>
      </c>
      <c r="G278" t="s">
        <v>455</v>
      </c>
      <c r="H278" t="s">
        <v>456</v>
      </c>
      <c r="I278" t="s">
        <v>457</v>
      </c>
      <c r="J278" t="s">
        <v>36</v>
      </c>
      <c r="K278">
        <v>21004</v>
      </c>
      <c r="L278" t="s">
        <v>309</v>
      </c>
      <c r="M278" t="s">
        <v>310</v>
      </c>
      <c r="N278" t="s">
        <v>311</v>
      </c>
      <c r="O278">
        <v>21000</v>
      </c>
      <c r="P278" t="s">
        <v>46</v>
      </c>
      <c r="Q278" t="s">
        <v>47</v>
      </c>
      <c r="R278" t="s">
        <v>48</v>
      </c>
      <c r="T278" t="s">
        <v>36</v>
      </c>
      <c r="U278" t="s">
        <v>36</v>
      </c>
      <c r="V278" t="s">
        <v>36</v>
      </c>
      <c r="W278">
        <v>4000</v>
      </c>
      <c r="X278" t="s">
        <v>49</v>
      </c>
      <c r="Y278" t="s">
        <v>50</v>
      </c>
      <c r="Z278" t="s">
        <v>51</v>
      </c>
      <c r="AA278" t="s">
        <v>37</v>
      </c>
      <c r="AB278" t="s">
        <v>52</v>
      </c>
      <c r="AC278" t="s">
        <v>53</v>
      </c>
      <c r="AD278" t="s">
        <v>54</v>
      </c>
      <c r="AE278">
        <v>16.666521018400001</v>
      </c>
      <c r="AF278">
        <v>1847</v>
      </c>
      <c r="AG278">
        <v>1846.74667647</v>
      </c>
      <c r="AH278">
        <v>166667.89789600001</v>
      </c>
      <c r="AI278">
        <v>49</v>
      </c>
      <c r="AJ278">
        <v>153139.267675718</v>
      </c>
      <c r="AK278" s="1">
        <f>intersection_ss_Lden___surface[[#This Row],[surf m2 bout ss]]/intersection_ss_Lden___surface[[#This Row],[Shape_Area]]</f>
        <v>0.91882881832034735</v>
      </c>
      <c r="AL278">
        <v>3940</v>
      </c>
      <c r="AM278">
        <f>intersection_ss_Lden___surface[[#This Row],[Population totale 2024 ss]]*intersection_ss_Lden___surface[[#This Row],[Part de la surface du qs dans le noise contour]]</f>
        <v>3620.1855441821685</v>
      </c>
    </row>
    <row r="279" spans="1:39" x14ac:dyDescent="0.3">
      <c r="A279">
        <v>309</v>
      </c>
      <c r="B279" t="s">
        <v>497</v>
      </c>
      <c r="C279" t="s">
        <v>498</v>
      </c>
      <c r="D279" t="s">
        <v>499</v>
      </c>
      <c r="E279" t="s">
        <v>499</v>
      </c>
      <c r="F279" t="s">
        <v>493</v>
      </c>
      <c r="G279" t="s">
        <v>455</v>
      </c>
      <c r="H279" t="s">
        <v>456</v>
      </c>
      <c r="I279" t="s">
        <v>457</v>
      </c>
      <c r="J279" t="s">
        <v>36</v>
      </c>
      <c r="K279">
        <v>21004</v>
      </c>
      <c r="L279" t="s">
        <v>309</v>
      </c>
      <c r="M279" t="s">
        <v>310</v>
      </c>
      <c r="N279" t="s">
        <v>311</v>
      </c>
      <c r="O279">
        <v>21000</v>
      </c>
      <c r="P279" t="s">
        <v>46</v>
      </c>
      <c r="Q279" t="s">
        <v>47</v>
      </c>
      <c r="R279" t="s">
        <v>48</v>
      </c>
      <c r="T279" t="s">
        <v>36</v>
      </c>
      <c r="U279" t="s">
        <v>36</v>
      </c>
      <c r="V279" t="s">
        <v>36</v>
      </c>
      <c r="W279">
        <v>4000</v>
      </c>
      <c r="X279" t="s">
        <v>49</v>
      </c>
      <c r="Y279" t="s">
        <v>50</v>
      </c>
      <c r="Z279" t="s">
        <v>51</v>
      </c>
      <c r="AA279" t="s">
        <v>37</v>
      </c>
      <c r="AB279" t="s">
        <v>52</v>
      </c>
      <c r="AC279" t="s">
        <v>53</v>
      </c>
      <c r="AD279" t="s">
        <v>54</v>
      </c>
      <c r="AE279">
        <v>16.666521018400001</v>
      </c>
      <c r="AF279">
        <v>1847</v>
      </c>
      <c r="AG279">
        <v>1846.74667647</v>
      </c>
      <c r="AH279">
        <v>166667.89789600001</v>
      </c>
      <c r="AI279">
        <v>50</v>
      </c>
      <c r="AJ279">
        <v>13544.1324971828</v>
      </c>
      <c r="AK279" s="1">
        <f>intersection_ss_Lden___surface[[#This Row],[surf m2 bout ss]]/intersection_ss_Lden___surface[[#This Row],[Shape_Area]]</f>
        <v>8.1264194653935543E-2</v>
      </c>
      <c r="AL279">
        <v>3940</v>
      </c>
      <c r="AM279">
        <f>intersection_ss_Lden___surface[[#This Row],[Population totale 2024 ss]]*intersection_ss_Lden___surface[[#This Row],[Part de la surface du qs dans le noise contour]]</f>
        <v>320.18092693650601</v>
      </c>
    </row>
    <row r="280" spans="1:39" x14ac:dyDescent="0.3">
      <c r="A280">
        <v>310</v>
      </c>
      <c r="B280" t="s">
        <v>500</v>
      </c>
      <c r="C280" t="s">
        <v>501</v>
      </c>
      <c r="D280" t="s">
        <v>502</v>
      </c>
      <c r="E280" t="s">
        <v>502</v>
      </c>
      <c r="F280" t="s">
        <v>493</v>
      </c>
      <c r="G280" t="s">
        <v>455</v>
      </c>
      <c r="H280" t="s">
        <v>456</v>
      </c>
      <c r="I280" t="s">
        <v>457</v>
      </c>
      <c r="J280" t="s">
        <v>36</v>
      </c>
      <c r="K280">
        <v>21004</v>
      </c>
      <c r="L280" t="s">
        <v>309</v>
      </c>
      <c r="M280" t="s">
        <v>310</v>
      </c>
      <c r="N280" t="s">
        <v>311</v>
      </c>
      <c r="O280">
        <v>21000</v>
      </c>
      <c r="P280" t="s">
        <v>46</v>
      </c>
      <c r="Q280" t="s">
        <v>47</v>
      </c>
      <c r="R280" t="s">
        <v>48</v>
      </c>
      <c r="T280" t="s">
        <v>36</v>
      </c>
      <c r="U280" t="s">
        <v>36</v>
      </c>
      <c r="V280" t="s">
        <v>36</v>
      </c>
      <c r="W280">
        <v>4000</v>
      </c>
      <c r="X280" t="s">
        <v>49</v>
      </c>
      <c r="Y280" t="s">
        <v>50</v>
      </c>
      <c r="Z280" t="s">
        <v>51</v>
      </c>
      <c r="AA280" t="s">
        <v>37</v>
      </c>
      <c r="AB280" t="s">
        <v>52</v>
      </c>
      <c r="AC280" t="s">
        <v>53</v>
      </c>
      <c r="AD280" t="s">
        <v>54</v>
      </c>
      <c r="AE280">
        <v>49.815736032099998</v>
      </c>
      <c r="AF280">
        <v>3257</v>
      </c>
      <c r="AG280">
        <v>3256.7471231499999</v>
      </c>
      <c r="AH280">
        <v>498165.37321799999</v>
      </c>
      <c r="AI280">
        <v>48</v>
      </c>
      <c r="AJ280">
        <v>9931.2720551197399</v>
      </c>
      <c r="AK280" s="1">
        <f>intersection_ss_Lden___surface[[#This Row],[surf m2 bout ss]]/intersection_ss_Lden___surface[[#This Row],[Shape_Area]]</f>
        <v>1.9935693223651171E-2</v>
      </c>
      <c r="AL280">
        <v>9213</v>
      </c>
      <c r="AM280">
        <f>intersection_ss_Lden___surface[[#This Row],[Population totale 2024 ss]]*intersection_ss_Lden___surface[[#This Row],[Part de la surface du qs dans le noise contour]]</f>
        <v>183.66754166949823</v>
      </c>
    </row>
    <row r="281" spans="1:39" x14ac:dyDescent="0.3">
      <c r="A281">
        <v>311</v>
      </c>
      <c r="B281" t="s">
        <v>500</v>
      </c>
      <c r="C281" t="s">
        <v>501</v>
      </c>
      <c r="D281" t="s">
        <v>502</v>
      </c>
      <c r="E281" t="s">
        <v>502</v>
      </c>
      <c r="F281" t="s">
        <v>493</v>
      </c>
      <c r="G281" t="s">
        <v>455</v>
      </c>
      <c r="H281" t="s">
        <v>456</v>
      </c>
      <c r="I281" t="s">
        <v>457</v>
      </c>
      <c r="J281" t="s">
        <v>36</v>
      </c>
      <c r="K281">
        <v>21004</v>
      </c>
      <c r="L281" t="s">
        <v>309</v>
      </c>
      <c r="M281" t="s">
        <v>310</v>
      </c>
      <c r="N281" t="s">
        <v>311</v>
      </c>
      <c r="O281">
        <v>21000</v>
      </c>
      <c r="P281" t="s">
        <v>46</v>
      </c>
      <c r="Q281" t="s">
        <v>47</v>
      </c>
      <c r="R281" t="s">
        <v>48</v>
      </c>
      <c r="T281" t="s">
        <v>36</v>
      </c>
      <c r="U281" t="s">
        <v>36</v>
      </c>
      <c r="V281" t="s">
        <v>36</v>
      </c>
      <c r="W281">
        <v>4000</v>
      </c>
      <c r="X281" t="s">
        <v>49</v>
      </c>
      <c r="Y281" t="s">
        <v>50</v>
      </c>
      <c r="Z281" t="s">
        <v>51</v>
      </c>
      <c r="AA281" t="s">
        <v>37</v>
      </c>
      <c r="AB281" t="s">
        <v>52</v>
      </c>
      <c r="AC281" t="s">
        <v>53</v>
      </c>
      <c r="AD281" t="s">
        <v>54</v>
      </c>
      <c r="AE281">
        <v>49.815736032099998</v>
      </c>
      <c r="AF281">
        <v>3257</v>
      </c>
      <c r="AG281">
        <v>3256.7471231499999</v>
      </c>
      <c r="AH281">
        <v>498165.37321799999</v>
      </c>
      <c r="AI281">
        <v>49</v>
      </c>
      <c r="AJ281">
        <v>308256.337064091</v>
      </c>
      <c r="AK281" s="1">
        <f>intersection_ss_Lden___surface[[#This Row],[surf m2 bout ss]]/intersection_ss_Lden___surface[[#This Row],[Shape_Area]]</f>
        <v>0.61878314639342924</v>
      </c>
      <c r="AL281">
        <v>9213</v>
      </c>
      <c r="AM281">
        <f>intersection_ss_Lden___surface[[#This Row],[Population totale 2024 ss]]*intersection_ss_Lden___surface[[#This Row],[Part de la surface du qs dans le noise contour]]</f>
        <v>5700.849127722664</v>
      </c>
    </row>
    <row r="282" spans="1:39" x14ac:dyDescent="0.3">
      <c r="A282">
        <v>312</v>
      </c>
      <c r="B282" t="s">
        <v>500</v>
      </c>
      <c r="C282" t="s">
        <v>501</v>
      </c>
      <c r="D282" t="s">
        <v>502</v>
      </c>
      <c r="E282" t="s">
        <v>502</v>
      </c>
      <c r="F282" t="s">
        <v>493</v>
      </c>
      <c r="G282" t="s">
        <v>455</v>
      </c>
      <c r="H282" t="s">
        <v>456</v>
      </c>
      <c r="I282" t="s">
        <v>457</v>
      </c>
      <c r="J282" t="s">
        <v>36</v>
      </c>
      <c r="K282">
        <v>21004</v>
      </c>
      <c r="L282" t="s">
        <v>309</v>
      </c>
      <c r="M282" t="s">
        <v>310</v>
      </c>
      <c r="N282" t="s">
        <v>311</v>
      </c>
      <c r="O282">
        <v>21000</v>
      </c>
      <c r="P282" t="s">
        <v>46</v>
      </c>
      <c r="Q282" t="s">
        <v>47</v>
      </c>
      <c r="R282" t="s">
        <v>48</v>
      </c>
      <c r="T282" t="s">
        <v>36</v>
      </c>
      <c r="U282" t="s">
        <v>36</v>
      </c>
      <c r="V282" t="s">
        <v>36</v>
      </c>
      <c r="W282">
        <v>4000</v>
      </c>
      <c r="X282" t="s">
        <v>49</v>
      </c>
      <c r="Y282" t="s">
        <v>50</v>
      </c>
      <c r="Z282" t="s">
        <v>51</v>
      </c>
      <c r="AA282" t="s">
        <v>37</v>
      </c>
      <c r="AB282" t="s">
        <v>52</v>
      </c>
      <c r="AC282" t="s">
        <v>53</v>
      </c>
      <c r="AD282" t="s">
        <v>54</v>
      </c>
      <c r="AE282">
        <v>49.815736032099998</v>
      </c>
      <c r="AF282">
        <v>3257</v>
      </c>
      <c r="AG282">
        <v>3256.7471231499999</v>
      </c>
      <c r="AH282">
        <v>498165.37321799999</v>
      </c>
      <c r="AI282">
        <v>50</v>
      </c>
      <c r="AJ282">
        <v>180023.60731636599</v>
      </c>
      <c r="AK282" s="1">
        <f>intersection_ss_Lden___surface[[#This Row],[surf m2 bout ss]]/intersection_ss_Lden___surface[[#This Row],[Shape_Area]]</f>
        <v>0.36137318447781125</v>
      </c>
      <c r="AL282">
        <v>9213</v>
      </c>
      <c r="AM282">
        <f>intersection_ss_Lden___surface[[#This Row],[Population totale 2024 ss]]*intersection_ss_Lden___surface[[#This Row],[Part de la surface du qs dans le noise contour]]</f>
        <v>3329.3311485940749</v>
      </c>
    </row>
    <row r="283" spans="1:39" x14ac:dyDescent="0.3">
      <c r="A283">
        <v>313</v>
      </c>
      <c r="B283" t="s">
        <v>503</v>
      </c>
      <c r="C283" t="s">
        <v>504</v>
      </c>
      <c r="D283" t="s">
        <v>505</v>
      </c>
      <c r="E283" t="s">
        <v>505</v>
      </c>
      <c r="F283" t="s">
        <v>506</v>
      </c>
      <c r="G283" t="s">
        <v>455</v>
      </c>
      <c r="H283" t="s">
        <v>456</v>
      </c>
      <c r="I283" t="s">
        <v>457</v>
      </c>
      <c r="J283" t="s">
        <v>36</v>
      </c>
      <c r="K283">
        <v>21004</v>
      </c>
      <c r="L283" t="s">
        <v>309</v>
      </c>
      <c r="M283" t="s">
        <v>310</v>
      </c>
      <c r="N283" t="s">
        <v>311</v>
      </c>
      <c r="O283">
        <v>21000</v>
      </c>
      <c r="P283" t="s">
        <v>46</v>
      </c>
      <c r="Q283" t="s">
        <v>47</v>
      </c>
      <c r="R283" t="s">
        <v>48</v>
      </c>
      <c r="T283" t="s">
        <v>36</v>
      </c>
      <c r="U283" t="s">
        <v>36</v>
      </c>
      <c r="V283" t="s">
        <v>36</v>
      </c>
      <c r="W283">
        <v>4000</v>
      </c>
      <c r="X283" t="s">
        <v>49</v>
      </c>
      <c r="Y283" t="s">
        <v>50</v>
      </c>
      <c r="Z283" t="s">
        <v>51</v>
      </c>
      <c r="AA283" t="s">
        <v>37</v>
      </c>
      <c r="AB283" t="s">
        <v>52</v>
      </c>
      <c r="AC283" t="s">
        <v>53</v>
      </c>
      <c r="AD283" t="s">
        <v>54</v>
      </c>
      <c r="AE283">
        <v>14.096719091300001</v>
      </c>
      <c r="AF283">
        <v>2016</v>
      </c>
      <c r="AG283">
        <v>2016.12792911</v>
      </c>
      <c r="AH283">
        <v>140969.455464</v>
      </c>
      <c r="AI283">
        <v>50</v>
      </c>
      <c r="AJ283">
        <v>83605.209896798697</v>
      </c>
      <c r="AK283" s="1">
        <f>intersection_ss_Lden___surface[[#This Row],[surf m2 bout ss]]/intersection_ss_Lden___surface[[#This Row],[Shape_Area]]</f>
        <v>0.5930732272577256</v>
      </c>
      <c r="AL283">
        <v>1311</v>
      </c>
      <c r="AM283">
        <f>intersection_ss_Lden___surface[[#This Row],[Population totale 2024 ss]]*intersection_ss_Lden___surface[[#This Row],[Part de la surface du qs dans le noise contour]]</f>
        <v>777.51900093487825</v>
      </c>
    </row>
    <row r="284" spans="1:39" x14ac:dyDescent="0.3">
      <c r="A284">
        <v>314</v>
      </c>
      <c r="B284" t="s">
        <v>503</v>
      </c>
      <c r="C284" t="s">
        <v>504</v>
      </c>
      <c r="D284" t="s">
        <v>505</v>
      </c>
      <c r="E284" t="s">
        <v>505</v>
      </c>
      <c r="F284" t="s">
        <v>506</v>
      </c>
      <c r="G284" t="s">
        <v>455</v>
      </c>
      <c r="H284" t="s">
        <v>456</v>
      </c>
      <c r="I284" t="s">
        <v>457</v>
      </c>
      <c r="J284" t="s">
        <v>36</v>
      </c>
      <c r="K284">
        <v>21004</v>
      </c>
      <c r="L284" t="s">
        <v>309</v>
      </c>
      <c r="M284" t="s">
        <v>310</v>
      </c>
      <c r="N284" t="s">
        <v>311</v>
      </c>
      <c r="O284">
        <v>21000</v>
      </c>
      <c r="P284" t="s">
        <v>46</v>
      </c>
      <c r="Q284" t="s">
        <v>47</v>
      </c>
      <c r="R284" t="s">
        <v>48</v>
      </c>
      <c r="T284" t="s">
        <v>36</v>
      </c>
      <c r="U284" t="s">
        <v>36</v>
      </c>
      <c r="V284" t="s">
        <v>36</v>
      </c>
      <c r="W284">
        <v>4000</v>
      </c>
      <c r="X284" t="s">
        <v>49</v>
      </c>
      <c r="Y284" t="s">
        <v>50</v>
      </c>
      <c r="Z284" t="s">
        <v>51</v>
      </c>
      <c r="AA284" t="s">
        <v>37</v>
      </c>
      <c r="AB284" t="s">
        <v>52</v>
      </c>
      <c r="AC284" t="s">
        <v>53</v>
      </c>
      <c r="AD284" t="s">
        <v>54</v>
      </c>
      <c r="AE284">
        <v>14.096719091300001</v>
      </c>
      <c r="AF284">
        <v>2016</v>
      </c>
      <c r="AG284">
        <v>2016.12792911</v>
      </c>
      <c r="AH284">
        <v>140969.455464</v>
      </c>
      <c r="AI284">
        <v>51</v>
      </c>
      <c r="AJ284">
        <v>57376.463583725497</v>
      </c>
      <c r="AK284" s="1">
        <f>intersection_ss_Lden___surface[[#This Row],[surf m2 bout ss]]/intersection_ss_Lden___surface[[#This Row],[Shape_Area]]</f>
        <v>0.40701344411717599</v>
      </c>
      <c r="AL284">
        <v>1311</v>
      </c>
      <c r="AM284">
        <f>intersection_ss_Lden___surface[[#This Row],[Population totale 2024 ss]]*intersection_ss_Lden___surface[[#This Row],[Part de la surface du qs dans le noise contour]]</f>
        <v>533.59462523761772</v>
      </c>
    </row>
    <row r="285" spans="1:39" x14ac:dyDescent="0.3">
      <c r="A285">
        <v>315</v>
      </c>
      <c r="B285" t="s">
        <v>507</v>
      </c>
      <c r="C285" t="s">
        <v>508</v>
      </c>
      <c r="D285" t="s">
        <v>509</v>
      </c>
      <c r="E285" t="s">
        <v>509</v>
      </c>
      <c r="F285" t="s">
        <v>506</v>
      </c>
      <c r="G285" t="s">
        <v>455</v>
      </c>
      <c r="H285" t="s">
        <v>456</v>
      </c>
      <c r="I285" t="s">
        <v>457</v>
      </c>
      <c r="J285" t="s">
        <v>36</v>
      </c>
      <c r="K285">
        <v>21004</v>
      </c>
      <c r="L285" t="s">
        <v>309</v>
      </c>
      <c r="M285" t="s">
        <v>310</v>
      </c>
      <c r="N285" t="s">
        <v>311</v>
      </c>
      <c r="O285">
        <v>21000</v>
      </c>
      <c r="P285" t="s">
        <v>46</v>
      </c>
      <c r="Q285" t="s">
        <v>47</v>
      </c>
      <c r="R285" t="s">
        <v>48</v>
      </c>
      <c r="T285" t="s">
        <v>36</v>
      </c>
      <c r="U285" t="s">
        <v>36</v>
      </c>
      <c r="V285" t="s">
        <v>36</v>
      </c>
      <c r="W285">
        <v>4000</v>
      </c>
      <c r="X285" t="s">
        <v>49</v>
      </c>
      <c r="Y285" t="s">
        <v>50</v>
      </c>
      <c r="Z285" t="s">
        <v>51</v>
      </c>
      <c r="AA285" t="s">
        <v>37</v>
      </c>
      <c r="AB285" t="s">
        <v>52</v>
      </c>
      <c r="AC285" t="s">
        <v>53</v>
      </c>
      <c r="AD285" t="s">
        <v>54</v>
      </c>
      <c r="AE285">
        <v>10.7918480044</v>
      </c>
      <c r="AF285">
        <v>1744</v>
      </c>
      <c r="AG285">
        <v>1743.62830403</v>
      </c>
      <c r="AH285">
        <v>107920.216356</v>
      </c>
      <c r="AI285">
        <v>49</v>
      </c>
      <c r="AJ285">
        <v>90869.771162211298</v>
      </c>
      <c r="AK285" s="1">
        <f>intersection_ss_Lden___surface[[#This Row],[surf m2 bout ss]]/intersection_ss_Lden___surface[[#This Row],[Shape_Area]]</f>
        <v>0.84200879344474411</v>
      </c>
      <c r="AL285">
        <v>1465</v>
      </c>
      <c r="AM285">
        <f>intersection_ss_Lden___surface[[#This Row],[Population totale 2024 ss]]*intersection_ss_Lden___surface[[#This Row],[Part de la surface du qs dans le noise contour]]</f>
        <v>1233.5428823965501</v>
      </c>
    </row>
    <row r="286" spans="1:39" x14ac:dyDescent="0.3">
      <c r="A286">
        <v>316</v>
      </c>
      <c r="B286" t="s">
        <v>507</v>
      </c>
      <c r="C286" t="s">
        <v>508</v>
      </c>
      <c r="D286" t="s">
        <v>509</v>
      </c>
      <c r="E286" t="s">
        <v>509</v>
      </c>
      <c r="F286" t="s">
        <v>506</v>
      </c>
      <c r="G286" t="s">
        <v>455</v>
      </c>
      <c r="H286" t="s">
        <v>456</v>
      </c>
      <c r="I286" t="s">
        <v>457</v>
      </c>
      <c r="J286" t="s">
        <v>36</v>
      </c>
      <c r="K286">
        <v>21004</v>
      </c>
      <c r="L286" t="s">
        <v>309</v>
      </c>
      <c r="M286" t="s">
        <v>310</v>
      </c>
      <c r="N286" t="s">
        <v>311</v>
      </c>
      <c r="O286">
        <v>21000</v>
      </c>
      <c r="P286" t="s">
        <v>46</v>
      </c>
      <c r="Q286" t="s">
        <v>47</v>
      </c>
      <c r="R286" t="s">
        <v>48</v>
      </c>
      <c r="T286" t="s">
        <v>36</v>
      </c>
      <c r="U286" t="s">
        <v>36</v>
      </c>
      <c r="V286" t="s">
        <v>36</v>
      </c>
      <c r="W286">
        <v>4000</v>
      </c>
      <c r="X286" t="s">
        <v>49</v>
      </c>
      <c r="Y286" t="s">
        <v>50</v>
      </c>
      <c r="Z286" t="s">
        <v>51</v>
      </c>
      <c r="AA286" t="s">
        <v>37</v>
      </c>
      <c r="AB286" t="s">
        <v>52</v>
      </c>
      <c r="AC286" t="s">
        <v>53</v>
      </c>
      <c r="AD286" t="s">
        <v>54</v>
      </c>
      <c r="AE286">
        <v>10.7918480044</v>
      </c>
      <c r="AF286">
        <v>1744</v>
      </c>
      <c r="AG286">
        <v>1743.62830403</v>
      </c>
      <c r="AH286">
        <v>107920.216356</v>
      </c>
      <c r="AI286">
        <v>50</v>
      </c>
      <c r="AJ286">
        <v>17059.921635128601</v>
      </c>
      <c r="AK286" s="1">
        <f>intersection_ss_Lden___surface[[#This Row],[surf m2 bout ss]]/intersection_ss_Lden___surface[[#This Row],[Shape_Area]]</f>
        <v>0.15807901625078727</v>
      </c>
      <c r="AL286">
        <v>1465</v>
      </c>
      <c r="AM286">
        <f>intersection_ss_Lden___surface[[#This Row],[Population totale 2024 ss]]*intersection_ss_Lden___surface[[#This Row],[Part de la surface du qs dans le noise contour]]</f>
        <v>231.58575880740335</v>
      </c>
    </row>
    <row r="287" spans="1:39" x14ac:dyDescent="0.3">
      <c r="A287">
        <v>317</v>
      </c>
      <c r="B287" t="s">
        <v>510</v>
      </c>
      <c r="C287" t="s">
        <v>511</v>
      </c>
      <c r="D287" t="s">
        <v>512</v>
      </c>
      <c r="E287" t="s">
        <v>512</v>
      </c>
      <c r="F287" t="s">
        <v>506</v>
      </c>
      <c r="G287" t="s">
        <v>455</v>
      </c>
      <c r="H287" t="s">
        <v>456</v>
      </c>
      <c r="I287" t="s">
        <v>457</v>
      </c>
      <c r="J287" t="s">
        <v>36</v>
      </c>
      <c r="K287">
        <v>21004</v>
      </c>
      <c r="L287" t="s">
        <v>309</v>
      </c>
      <c r="M287" t="s">
        <v>310</v>
      </c>
      <c r="N287" t="s">
        <v>311</v>
      </c>
      <c r="O287">
        <v>21000</v>
      </c>
      <c r="P287" t="s">
        <v>46</v>
      </c>
      <c r="Q287" t="s">
        <v>47</v>
      </c>
      <c r="R287" t="s">
        <v>48</v>
      </c>
      <c r="T287" t="s">
        <v>36</v>
      </c>
      <c r="U287" t="s">
        <v>36</v>
      </c>
      <c r="V287" t="s">
        <v>36</v>
      </c>
      <c r="W287">
        <v>4000</v>
      </c>
      <c r="X287" t="s">
        <v>49</v>
      </c>
      <c r="Y287" t="s">
        <v>50</v>
      </c>
      <c r="Z287" t="s">
        <v>51</v>
      </c>
      <c r="AA287" t="s">
        <v>37</v>
      </c>
      <c r="AB287" t="s">
        <v>52</v>
      </c>
      <c r="AC287" t="s">
        <v>53</v>
      </c>
      <c r="AD287" t="s">
        <v>54</v>
      </c>
      <c r="AE287">
        <v>25.312893542899999</v>
      </c>
      <c r="AF287">
        <v>2639</v>
      </c>
      <c r="AG287">
        <v>2639.33867551</v>
      </c>
      <c r="AH287">
        <v>253133.00915699999</v>
      </c>
      <c r="AI287">
        <v>49</v>
      </c>
      <c r="AJ287">
        <v>177024.35280063999</v>
      </c>
      <c r="AK287" s="1">
        <f>intersection_ss_Lden___surface[[#This Row],[surf m2 bout ss]]/intersection_ss_Lden___surface[[#This Row],[Shape_Area]]</f>
        <v>0.69933334016838811</v>
      </c>
      <c r="AL287">
        <v>3565</v>
      </c>
      <c r="AM287">
        <f>intersection_ss_Lden___surface[[#This Row],[Population totale 2024 ss]]*intersection_ss_Lden___surface[[#This Row],[Part de la surface du qs dans le noise contour]]</f>
        <v>2493.1233577003036</v>
      </c>
    </row>
    <row r="288" spans="1:39" x14ac:dyDescent="0.3">
      <c r="A288">
        <v>318</v>
      </c>
      <c r="B288" t="s">
        <v>510</v>
      </c>
      <c r="C288" t="s">
        <v>511</v>
      </c>
      <c r="D288" t="s">
        <v>512</v>
      </c>
      <c r="E288" t="s">
        <v>512</v>
      </c>
      <c r="F288" t="s">
        <v>506</v>
      </c>
      <c r="G288" t="s">
        <v>455</v>
      </c>
      <c r="H288" t="s">
        <v>456</v>
      </c>
      <c r="I288" t="s">
        <v>457</v>
      </c>
      <c r="J288" t="s">
        <v>36</v>
      </c>
      <c r="K288">
        <v>21004</v>
      </c>
      <c r="L288" t="s">
        <v>309</v>
      </c>
      <c r="M288" t="s">
        <v>310</v>
      </c>
      <c r="N288" t="s">
        <v>311</v>
      </c>
      <c r="O288">
        <v>21000</v>
      </c>
      <c r="P288" t="s">
        <v>46</v>
      </c>
      <c r="Q288" t="s">
        <v>47</v>
      </c>
      <c r="R288" t="s">
        <v>48</v>
      </c>
      <c r="T288" t="s">
        <v>36</v>
      </c>
      <c r="U288" t="s">
        <v>36</v>
      </c>
      <c r="V288" t="s">
        <v>36</v>
      </c>
      <c r="W288">
        <v>4000</v>
      </c>
      <c r="X288" t="s">
        <v>49</v>
      </c>
      <c r="Y288" t="s">
        <v>50</v>
      </c>
      <c r="Z288" t="s">
        <v>51</v>
      </c>
      <c r="AA288" t="s">
        <v>37</v>
      </c>
      <c r="AB288" t="s">
        <v>52</v>
      </c>
      <c r="AC288" t="s">
        <v>53</v>
      </c>
      <c r="AD288" t="s">
        <v>54</v>
      </c>
      <c r="AE288">
        <v>25.312893542899999</v>
      </c>
      <c r="AF288">
        <v>2639</v>
      </c>
      <c r="AG288">
        <v>2639.33867551</v>
      </c>
      <c r="AH288">
        <v>253133.00915699999</v>
      </c>
      <c r="AI288">
        <v>50</v>
      </c>
      <c r="AJ288">
        <v>76130.840977847605</v>
      </c>
      <c r="AK288" s="1">
        <f>intersection_ss_Lden___surface[[#This Row],[surf m2 bout ss]]/intersection_ss_Lden___surface[[#This Row],[Shape_Area]]</f>
        <v>0.30075430000766584</v>
      </c>
      <c r="AL288">
        <v>3565</v>
      </c>
      <c r="AM288">
        <f>intersection_ss_Lden___surface[[#This Row],[Population totale 2024 ss]]*intersection_ss_Lden___surface[[#This Row],[Part de la surface du qs dans le noise contour]]</f>
        <v>1072.1890795273287</v>
      </c>
    </row>
    <row r="289" spans="1:39" x14ac:dyDescent="0.3">
      <c r="A289">
        <v>319</v>
      </c>
      <c r="B289" t="s">
        <v>513</v>
      </c>
      <c r="C289" t="s">
        <v>514</v>
      </c>
      <c r="D289" t="s">
        <v>515</v>
      </c>
      <c r="E289" t="s">
        <v>515</v>
      </c>
      <c r="F289" t="s">
        <v>506</v>
      </c>
      <c r="G289" t="s">
        <v>455</v>
      </c>
      <c r="H289" t="s">
        <v>456</v>
      </c>
      <c r="I289" t="s">
        <v>457</v>
      </c>
      <c r="J289" t="s">
        <v>36</v>
      </c>
      <c r="K289">
        <v>21004</v>
      </c>
      <c r="L289" t="s">
        <v>309</v>
      </c>
      <c r="M289" t="s">
        <v>310</v>
      </c>
      <c r="N289" t="s">
        <v>311</v>
      </c>
      <c r="O289">
        <v>21000</v>
      </c>
      <c r="P289" t="s">
        <v>46</v>
      </c>
      <c r="Q289" t="s">
        <v>47</v>
      </c>
      <c r="R289" t="s">
        <v>48</v>
      </c>
      <c r="T289" t="s">
        <v>36</v>
      </c>
      <c r="U289" t="s">
        <v>36</v>
      </c>
      <c r="V289" t="s">
        <v>36</v>
      </c>
      <c r="W289">
        <v>4000</v>
      </c>
      <c r="X289" t="s">
        <v>49</v>
      </c>
      <c r="Y289" t="s">
        <v>50</v>
      </c>
      <c r="Z289" t="s">
        <v>51</v>
      </c>
      <c r="AA289" t="s">
        <v>37</v>
      </c>
      <c r="AB289" t="s">
        <v>52</v>
      </c>
      <c r="AC289" t="s">
        <v>53</v>
      </c>
      <c r="AD289" t="s">
        <v>54</v>
      </c>
      <c r="AE289">
        <v>23.643343048399998</v>
      </c>
      <c r="AF289">
        <v>2521</v>
      </c>
      <c r="AG289">
        <v>2520.8332732499998</v>
      </c>
      <c r="AH289">
        <v>236437.22729899999</v>
      </c>
      <c r="AI289">
        <v>48</v>
      </c>
      <c r="AJ289">
        <v>160918.94817737499</v>
      </c>
      <c r="AK289" s="1">
        <f>intersection_ss_Lden___surface[[#This Row],[surf m2 bout ss]]/intersection_ss_Lden___surface[[#This Row],[Shape_Area]]</f>
        <v>0.68059903262981458</v>
      </c>
      <c r="AL289">
        <v>4776</v>
      </c>
      <c r="AM289">
        <f>intersection_ss_Lden___surface[[#This Row],[Population totale 2024 ss]]*intersection_ss_Lden___surface[[#This Row],[Part de la surface du qs dans le noise contour]]</f>
        <v>3250.5409798399946</v>
      </c>
    </row>
    <row r="290" spans="1:39" x14ac:dyDescent="0.3">
      <c r="A290">
        <v>320</v>
      </c>
      <c r="B290" t="s">
        <v>513</v>
      </c>
      <c r="C290" t="s">
        <v>514</v>
      </c>
      <c r="D290" t="s">
        <v>515</v>
      </c>
      <c r="E290" t="s">
        <v>515</v>
      </c>
      <c r="F290" t="s">
        <v>506</v>
      </c>
      <c r="G290" t="s">
        <v>455</v>
      </c>
      <c r="H290" t="s">
        <v>456</v>
      </c>
      <c r="I290" t="s">
        <v>457</v>
      </c>
      <c r="J290" t="s">
        <v>36</v>
      </c>
      <c r="K290">
        <v>21004</v>
      </c>
      <c r="L290" t="s">
        <v>309</v>
      </c>
      <c r="M290" t="s">
        <v>310</v>
      </c>
      <c r="N290" t="s">
        <v>311</v>
      </c>
      <c r="O290">
        <v>21000</v>
      </c>
      <c r="P290" t="s">
        <v>46</v>
      </c>
      <c r="Q290" t="s">
        <v>47</v>
      </c>
      <c r="R290" t="s">
        <v>48</v>
      </c>
      <c r="T290" t="s">
        <v>36</v>
      </c>
      <c r="U290" t="s">
        <v>36</v>
      </c>
      <c r="V290" t="s">
        <v>36</v>
      </c>
      <c r="W290">
        <v>4000</v>
      </c>
      <c r="X290" t="s">
        <v>49</v>
      </c>
      <c r="Y290" t="s">
        <v>50</v>
      </c>
      <c r="Z290" t="s">
        <v>51</v>
      </c>
      <c r="AA290" t="s">
        <v>37</v>
      </c>
      <c r="AB290" t="s">
        <v>52</v>
      </c>
      <c r="AC290" t="s">
        <v>53</v>
      </c>
      <c r="AD290" t="s">
        <v>54</v>
      </c>
      <c r="AE290">
        <v>23.643343048399998</v>
      </c>
      <c r="AF290">
        <v>2521</v>
      </c>
      <c r="AG290">
        <v>2520.8332732499998</v>
      </c>
      <c r="AH290">
        <v>236437.22729899999</v>
      </c>
      <c r="AI290">
        <v>49</v>
      </c>
      <c r="AJ290">
        <v>75539.250793623898</v>
      </c>
      <c r="AK290" s="1">
        <f>intersection_ss_Lden___surface[[#This Row],[surf m2 bout ss]]/intersection_ss_Lden___surface[[#This Row],[Shape_Area]]</f>
        <v>0.3194896660587907</v>
      </c>
      <c r="AL290">
        <v>4776</v>
      </c>
      <c r="AM290">
        <f>intersection_ss_Lden___surface[[#This Row],[Population totale 2024 ss]]*intersection_ss_Lden___surface[[#This Row],[Part de la surface du qs dans le noise contour]]</f>
        <v>1525.8826450967845</v>
      </c>
    </row>
    <row r="291" spans="1:39" x14ac:dyDescent="0.3">
      <c r="A291">
        <v>321</v>
      </c>
      <c r="B291" t="s">
        <v>516</v>
      </c>
      <c r="C291" t="s">
        <v>517</v>
      </c>
      <c r="D291" t="s">
        <v>518</v>
      </c>
      <c r="E291" t="s">
        <v>518</v>
      </c>
      <c r="F291" t="s">
        <v>506</v>
      </c>
      <c r="G291" t="s">
        <v>455</v>
      </c>
      <c r="H291" t="s">
        <v>456</v>
      </c>
      <c r="I291" t="s">
        <v>457</v>
      </c>
      <c r="J291" t="s">
        <v>36</v>
      </c>
      <c r="K291">
        <v>21004</v>
      </c>
      <c r="L291" t="s">
        <v>309</v>
      </c>
      <c r="M291" t="s">
        <v>310</v>
      </c>
      <c r="N291" t="s">
        <v>311</v>
      </c>
      <c r="O291">
        <v>21000</v>
      </c>
      <c r="P291" t="s">
        <v>46</v>
      </c>
      <c r="Q291" t="s">
        <v>47</v>
      </c>
      <c r="R291" t="s">
        <v>48</v>
      </c>
      <c r="T291" t="s">
        <v>36</v>
      </c>
      <c r="U291" t="s">
        <v>36</v>
      </c>
      <c r="V291" t="s">
        <v>36</v>
      </c>
      <c r="W291">
        <v>4000</v>
      </c>
      <c r="X291" t="s">
        <v>49</v>
      </c>
      <c r="Y291" t="s">
        <v>50</v>
      </c>
      <c r="Z291" t="s">
        <v>51</v>
      </c>
      <c r="AA291" t="s">
        <v>37</v>
      </c>
      <c r="AB291" t="s">
        <v>52</v>
      </c>
      <c r="AC291" t="s">
        <v>53</v>
      </c>
      <c r="AD291" t="s">
        <v>54</v>
      </c>
      <c r="AE291">
        <v>157.689333922</v>
      </c>
      <c r="AF291">
        <v>5984</v>
      </c>
      <c r="AG291">
        <v>5984.2553360900001</v>
      </c>
      <c r="AH291">
        <v>1576918.72211</v>
      </c>
      <c r="AI291">
        <v>48</v>
      </c>
      <c r="AJ291">
        <v>11313.8589671724</v>
      </c>
      <c r="AK291" s="1">
        <f>intersection_ss_Lden___surface[[#This Row],[surf m2 bout ss]]/intersection_ss_Lden___surface[[#This Row],[Shape_Area]]</f>
        <v>7.1746620853317435E-3</v>
      </c>
      <c r="AL291">
        <v>180</v>
      </c>
      <c r="AM291">
        <f>intersection_ss_Lden___surface[[#This Row],[Population totale 2024 ss]]*intersection_ss_Lden___surface[[#This Row],[Part de la surface du qs dans le noise contour]]</f>
        <v>1.2914391753597139</v>
      </c>
    </row>
    <row r="292" spans="1:39" x14ac:dyDescent="0.3">
      <c r="A292">
        <v>322</v>
      </c>
      <c r="B292" t="s">
        <v>516</v>
      </c>
      <c r="C292" t="s">
        <v>517</v>
      </c>
      <c r="D292" t="s">
        <v>518</v>
      </c>
      <c r="E292" t="s">
        <v>518</v>
      </c>
      <c r="F292" t="s">
        <v>506</v>
      </c>
      <c r="G292" t="s">
        <v>455</v>
      </c>
      <c r="H292" t="s">
        <v>456</v>
      </c>
      <c r="I292" t="s">
        <v>457</v>
      </c>
      <c r="J292" t="s">
        <v>36</v>
      </c>
      <c r="K292">
        <v>21004</v>
      </c>
      <c r="L292" t="s">
        <v>309</v>
      </c>
      <c r="M292" t="s">
        <v>310</v>
      </c>
      <c r="N292" t="s">
        <v>311</v>
      </c>
      <c r="O292">
        <v>21000</v>
      </c>
      <c r="P292" t="s">
        <v>46</v>
      </c>
      <c r="Q292" t="s">
        <v>47</v>
      </c>
      <c r="R292" t="s">
        <v>48</v>
      </c>
      <c r="T292" t="s">
        <v>36</v>
      </c>
      <c r="U292" t="s">
        <v>36</v>
      </c>
      <c r="V292" t="s">
        <v>36</v>
      </c>
      <c r="W292">
        <v>4000</v>
      </c>
      <c r="X292" t="s">
        <v>49</v>
      </c>
      <c r="Y292" t="s">
        <v>50</v>
      </c>
      <c r="Z292" t="s">
        <v>51</v>
      </c>
      <c r="AA292" t="s">
        <v>37</v>
      </c>
      <c r="AB292" t="s">
        <v>52</v>
      </c>
      <c r="AC292" t="s">
        <v>53</v>
      </c>
      <c r="AD292" t="s">
        <v>54</v>
      </c>
      <c r="AE292">
        <v>157.689333922</v>
      </c>
      <c r="AF292">
        <v>5984</v>
      </c>
      <c r="AG292">
        <v>5984.2553360900001</v>
      </c>
      <c r="AH292">
        <v>1576918.72211</v>
      </c>
      <c r="AI292">
        <v>49</v>
      </c>
      <c r="AJ292">
        <v>515095.29975839698</v>
      </c>
      <c r="AK292" s="1">
        <f>intersection_ss_Lden___surface[[#This Row],[surf m2 bout ss]]/intersection_ss_Lden___surface[[#This Row],[Shape_Area]]</f>
        <v>0.32664670191065553</v>
      </c>
      <c r="AL292">
        <v>180</v>
      </c>
      <c r="AM292">
        <f>intersection_ss_Lden___surface[[#This Row],[Population totale 2024 ss]]*intersection_ss_Lden___surface[[#This Row],[Part de la surface du qs dans le noise contour]]</f>
        <v>58.796406343917994</v>
      </c>
    </row>
    <row r="293" spans="1:39" x14ac:dyDescent="0.3">
      <c r="A293">
        <v>323</v>
      </c>
      <c r="B293" t="s">
        <v>516</v>
      </c>
      <c r="C293" t="s">
        <v>517</v>
      </c>
      <c r="D293" t="s">
        <v>518</v>
      </c>
      <c r="E293" t="s">
        <v>518</v>
      </c>
      <c r="F293" t="s">
        <v>506</v>
      </c>
      <c r="G293" t="s">
        <v>455</v>
      </c>
      <c r="H293" t="s">
        <v>456</v>
      </c>
      <c r="I293" t="s">
        <v>457</v>
      </c>
      <c r="J293" t="s">
        <v>36</v>
      </c>
      <c r="K293">
        <v>21004</v>
      </c>
      <c r="L293" t="s">
        <v>309</v>
      </c>
      <c r="M293" t="s">
        <v>310</v>
      </c>
      <c r="N293" t="s">
        <v>311</v>
      </c>
      <c r="O293">
        <v>21000</v>
      </c>
      <c r="P293" t="s">
        <v>46</v>
      </c>
      <c r="Q293" t="s">
        <v>47</v>
      </c>
      <c r="R293" t="s">
        <v>48</v>
      </c>
      <c r="T293" t="s">
        <v>36</v>
      </c>
      <c r="U293" t="s">
        <v>36</v>
      </c>
      <c r="V293" t="s">
        <v>36</v>
      </c>
      <c r="W293">
        <v>4000</v>
      </c>
      <c r="X293" t="s">
        <v>49</v>
      </c>
      <c r="Y293" t="s">
        <v>50</v>
      </c>
      <c r="Z293" t="s">
        <v>51</v>
      </c>
      <c r="AA293" t="s">
        <v>37</v>
      </c>
      <c r="AB293" t="s">
        <v>52</v>
      </c>
      <c r="AC293" t="s">
        <v>53</v>
      </c>
      <c r="AD293" t="s">
        <v>54</v>
      </c>
      <c r="AE293">
        <v>157.689333922</v>
      </c>
      <c r="AF293">
        <v>5984</v>
      </c>
      <c r="AG293">
        <v>5984.2553360900001</v>
      </c>
      <c r="AH293">
        <v>1576918.72211</v>
      </c>
      <c r="AI293">
        <v>50</v>
      </c>
      <c r="AJ293">
        <v>675700.53804977599</v>
      </c>
      <c r="AK293" s="1">
        <f>intersection_ss_Lden___surface[[#This Row],[surf m2 bout ss]]/intersection_ss_Lden___surface[[#This Row],[Shape_Area]]</f>
        <v>0.42849420745392203</v>
      </c>
      <c r="AL293">
        <v>180</v>
      </c>
      <c r="AM293">
        <f>intersection_ss_Lden___surface[[#This Row],[Population totale 2024 ss]]*intersection_ss_Lden___surface[[#This Row],[Part de la surface du qs dans le noise contour]]</f>
        <v>77.12895734170597</v>
      </c>
    </row>
    <row r="294" spans="1:39" x14ac:dyDescent="0.3">
      <c r="A294">
        <v>324</v>
      </c>
      <c r="B294" t="s">
        <v>516</v>
      </c>
      <c r="C294" t="s">
        <v>517</v>
      </c>
      <c r="D294" t="s">
        <v>518</v>
      </c>
      <c r="E294" t="s">
        <v>518</v>
      </c>
      <c r="F294" t="s">
        <v>506</v>
      </c>
      <c r="G294" t="s">
        <v>455</v>
      </c>
      <c r="H294" t="s">
        <v>456</v>
      </c>
      <c r="I294" t="s">
        <v>457</v>
      </c>
      <c r="J294" t="s">
        <v>36</v>
      </c>
      <c r="K294">
        <v>21004</v>
      </c>
      <c r="L294" t="s">
        <v>309</v>
      </c>
      <c r="M294" t="s">
        <v>310</v>
      </c>
      <c r="N294" t="s">
        <v>311</v>
      </c>
      <c r="O294">
        <v>21000</v>
      </c>
      <c r="P294" t="s">
        <v>46</v>
      </c>
      <c r="Q294" t="s">
        <v>47</v>
      </c>
      <c r="R294" t="s">
        <v>48</v>
      </c>
      <c r="T294" t="s">
        <v>36</v>
      </c>
      <c r="U294" t="s">
        <v>36</v>
      </c>
      <c r="V294" t="s">
        <v>36</v>
      </c>
      <c r="W294">
        <v>4000</v>
      </c>
      <c r="X294" t="s">
        <v>49</v>
      </c>
      <c r="Y294" t="s">
        <v>50</v>
      </c>
      <c r="Z294" t="s">
        <v>51</v>
      </c>
      <c r="AA294" t="s">
        <v>37</v>
      </c>
      <c r="AB294" t="s">
        <v>52</v>
      </c>
      <c r="AC294" t="s">
        <v>53</v>
      </c>
      <c r="AD294" t="s">
        <v>54</v>
      </c>
      <c r="AE294">
        <v>157.689333922</v>
      </c>
      <c r="AF294">
        <v>5984</v>
      </c>
      <c r="AG294">
        <v>5984.2553360900001</v>
      </c>
      <c r="AH294">
        <v>1576918.72211</v>
      </c>
      <c r="AI294">
        <v>51</v>
      </c>
      <c r="AJ294">
        <v>341380.929081332</v>
      </c>
      <c r="AK294" s="1">
        <f>intersection_ss_Lden___surface[[#This Row],[surf m2 bout ss]]/intersection_ss_Lden___surface[[#This Row],[Shape_Area]]</f>
        <v>0.21648606506779652</v>
      </c>
      <c r="AL294">
        <v>180</v>
      </c>
      <c r="AM294">
        <f>intersection_ss_Lden___surface[[#This Row],[Population totale 2024 ss]]*intersection_ss_Lden___surface[[#This Row],[Part de la surface du qs dans le noise contour]]</f>
        <v>38.967491712203376</v>
      </c>
    </row>
    <row r="295" spans="1:39" x14ac:dyDescent="0.3">
      <c r="A295">
        <v>325</v>
      </c>
      <c r="B295" t="s">
        <v>516</v>
      </c>
      <c r="C295" t="s">
        <v>517</v>
      </c>
      <c r="D295" t="s">
        <v>518</v>
      </c>
      <c r="E295" t="s">
        <v>518</v>
      </c>
      <c r="F295" t="s">
        <v>506</v>
      </c>
      <c r="G295" t="s">
        <v>455</v>
      </c>
      <c r="H295" t="s">
        <v>456</v>
      </c>
      <c r="I295" t="s">
        <v>457</v>
      </c>
      <c r="J295" t="s">
        <v>36</v>
      </c>
      <c r="K295">
        <v>21004</v>
      </c>
      <c r="L295" t="s">
        <v>309</v>
      </c>
      <c r="M295" t="s">
        <v>310</v>
      </c>
      <c r="N295" t="s">
        <v>311</v>
      </c>
      <c r="O295">
        <v>21000</v>
      </c>
      <c r="P295" t="s">
        <v>46</v>
      </c>
      <c r="Q295" t="s">
        <v>47</v>
      </c>
      <c r="R295" t="s">
        <v>48</v>
      </c>
      <c r="T295" t="s">
        <v>36</v>
      </c>
      <c r="U295" t="s">
        <v>36</v>
      </c>
      <c r="V295" t="s">
        <v>36</v>
      </c>
      <c r="W295">
        <v>4000</v>
      </c>
      <c r="X295" t="s">
        <v>49</v>
      </c>
      <c r="Y295" t="s">
        <v>50</v>
      </c>
      <c r="Z295" t="s">
        <v>51</v>
      </c>
      <c r="AA295" t="s">
        <v>37</v>
      </c>
      <c r="AB295" t="s">
        <v>52</v>
      </c>
      <c r="AC295" t="s">
        <v>53</v>
      </c>
      <c r="AD295" t="s">
        <v>54</v>
      </c>
      <c r="AE295">
        <v>157.689333922</v>
      </c>
      <c r="AF295">
        <v>5984</v>
      </c>
      <c r="AG295">
        <v>5984.2553360900001</v>
      </c>
      <c r="AH295">
        <v>1576918.72211</v>
      </c>
      <c r="AI295">
        <v>52</v>
      </c>
      <c r="AJ295">
        <v>33565.951991921298</v>
      </c>
      <c r="AK295" s="1">
        <f>intersection_ss_Lden___surface[[#This Row],[surf m2 bout ss]]/intersection_ss_Lden___surface[[#This Row],[Shape_Area]]</f>
        <v>2.1285784435996987E-2</v>
      </c>
      <c r="AL295">
        <v>180</v>
      </c>
      <c r="AM295">
        <f>intersection_ss_Lden___surface[[#This Row],[Population totale 2024 ss]]*intersection_ss_Lden___surface[[#This Row],[Part de la surface du qs dans le noise contour]]</f>
        <v>3.8314411984794576</v>
      </c>
    </row>
    <row r="296" spans="1:39" x14ac:dyDescent="0.3">
      <c r="A296">
        <v>326</v>
      </c>
      <c r="B296" t="s">
        <v>519</v>
      </c>
      <c r="C296" t="s">
        <v>520</v>
      </c>
      <c r="D296" t="s">
        <v>521</v>
      </c>
      <c r="E296" t="s">
        <v>521</v>
      </c>
      <c r="F296" t="s">
        <v>506</v>
      </c>
      <c r="G296" t="s">
        <v>455</v>
      </c>
      <c r="H296" t="s">
        <v>456</v>
      </c>
      <c r="I296" t="s">
        <v>457</v>
      </c>
      <c r="J296" t="s">
        <v>36</v>
      </c>
      <c r="K296">
        <v>21004</v>
      </c>
      <c r="L296" t="s">
        <v>309</v>
      </c>
      <c r="M296" t="s">
        <v>310</v>
      </c>
      <c r="N296" t="s">
        <v>311</v>
      </c>
      <c r="O296">
        <v>21000</v>
      </c>
      <c r="P296" t="s">
        <v>46</v>
      </c>
      <c r="Q296" t="s">
        <v>47</v>
      </c>
      <c r="R296" t="s">
        <v>48</v>
      </c>
      <c r="T296" t="s">
        <v>36</v>
      </c>
      <c r="U296" t="s">
        <v>36</v>
      </c>
      <c r="V296" t="s">
        <v>36</v>
      </c>
      <c r="W296">
        <v>4000</v>
      </c>
      <c r="X296" t="s">
        <v>49</v>
      </c>
      <c r="Y296" t="s">
        <v>50</v>
      </c>
      <c r="Z296" t="s">
        <v>51</v>
      </c>
      <c r="AA296" t="s">
        <v>37</v>
      </c>
      <c r="AB296" t="s">
        <v>52</v>
      </c>
      <c r="AC296" t="s">
        <v>53</v>
      </c>
      <c r="AD296" t="s">
        <v>54</v>
      </c>
      <c r="AE296">
        <v>20.5276305764</v>
      </c>
      <c r="AF296">
        <v>1790</v>
      </c>
      <c r="AG296">
        <v>1790.2383811899999</v>
      </c>
      <c r="AH296">
        <v>205279.6171</v>
      </c>
      <c r="AI296">
        <v>48</v>
      </c>
      <c r="AJ296">
        <v>205297.98312875899</v>
      </c>
      <c r="AK296" s="1">
        <f>intersection_ss_Lden___surface[[#This Row],[surf m2 bout ss]]/intersection_ss_Lden___surface[[#This Row],[Shape_Area]]</f>
        <v>1.0000894683506256</v>
      </c>
      <c r="AL296">
        <v>0</v>
      </c>
      <c r="AM296">
        <f>intersection_ss_Lden___surface[[#This Row],[Population totale 2024 ss]]*intersection_ss_Lden___surface[[#This Row],[Part de la surface du qs dans le noise contour]]</f>
        <v>0</v>
      </c>
    </row>
    <row r="297" spans="1:39" x14ac:dyDescent="0.3">
      <c r="A297">
        <v>327</v>
      </c>
      <c r="B297" t="s">
        <v>522</v>
      </c>
      <c r="C297" t="s">
        <v>523</v>
      </c>
      <c r="D297" t="s">
        <v>524</v>
      </c>
      <c r="E297" t="s">
        <v>524</v>
      </c>
      <c r="F297" t="s">
        <v>525</v>
      </c>
      <c r="G297" t="s">
        <v>526</v>
      </c>
      <c r="H297" t="s">
        <v>527</v>
      </c>
      <c r="I297" t="s">
        <v>528</v>
      </c>
      <c r="J297" t="s">
        <v>36</v>
      </c>
      <c r="K297">
        <v>21004</v>
      </c>
      <c r="L297" t="s">
        <v>309</v>
      </c>
      <c r="M297" t="s">
        <v>310</v>
      </c>
      <c r="N297" t="s">
        <v>311</v>
      </c>
      <c r="O297">
        <v>21000</v>
      </c>
      <c r="P297" t="s">
        <v>46</v>
      </c>
      <c r="Q297" t="s">
        <v>47</v>
      </c>
      <c r="R297" t="s">
        <v>48</v>
      </c>
      <c r="T297" t="s">
        <v>36</v>
      </c>
      <c r="U297" t="s">
        <v>36</v>
      </c>
      <c r="V297" t="s">
        <v>36</v>
      </c>
      <c r="W297">
        <v>4000</v>
      </c>
      <c r="X297" t="s">
        <v>49</v>
      </c>
      <c r="Y297" t="s">
        <v>50</v>
      </c>
      <c r="Z297" t="s">
        <v>51</v>
      </c>
      <c r="AA297" t="s">
        <v>37</v>
      </c>
      <c r="AB297" t="s">
        <v>52</v>
      </c>
      <c r="AC297" t="s">
        <v>53</v>
      </c>
      <c r="AD297" t="s">
        <v>54</v>
      </c>
      <c r="AE297">
        <v>18.2997214034</v>
      </c>
      <c r="AF297">
        <v>2747</v>
      </c>
      <c r="AG297">
        <v>2747.4244727199998</v>
      </c>
      <c r="AH297">
        <v>183000.16315000001</v>
      </c>
      <c r="AI297">
        <v>51</v>
      </c>
      <c r="AJ297">
        <v>5888.75413402915</v>
      </c>
      <c r="AK297" s="1">
        <f>intersection_ss_Lden___surface[[#This Row],[surf m2 bout ss]]/intersection_ss_Lden___surface[[#This Row],[Shape_Area]]</f>
        <v>3.2178955650451015E-2</v>
      </c>
      <c r="AL297">
        <v>1890</v>
      </c>
      <c r="AM297">
        <f>intersection_ss_Lden___surface[[#This Row],[Population totale 2024 ss]]*intersection_ss_Lden___surface[[#This Row],[Part de la surface du qs dans le noise contour]]</f>
        <v>60.818226179352415</v>
      </c>
    </row>
    <row r="298" spans="1:39" x14ac:dyDescent="0.3">
      <c r="A298">
        <v>328</v>
      </c>
      <c r="B298" t="s">
        <v>522</v>
      </c>
      <c r="C298" t="s">
        <v>523</v>
      </c>
      <c r="D298" t="s">
        <v>524</v>
      </c>
      <c r="E298" t="s">
        <v>524</v>
      </c>
      <c r="F298" t="s">
        <v>525</v>
      </c>
      <c r="G298" t="s">
        <v>526</v>
      </c>
      <c r="H298" t="s">
        <v>527</v>
      </c>
      <c r="I298" t="s">
        <v>528</v>
      </c>
      <c r="J298" t="s">
        <v>36</v>
      </c>
      <c r="K298">
        <v>21004</v>
      </c>
      <c r="L298" t="s">
        <v>309</v>
      </c>
      <c r="M298" t="s">
        <v>310</v>
      </c>
      <c r="N298" t="s">
        <v>311</v>
      </c>
      <c r="O298">
        <v>21000</v>
      </c>
      <c r="P298" t="s">
        <v>46</v>
      </c>
      <c r="Q298" t="s">
        <v>47</v>
      </c>
      <c r="R298" t="s">
        <v>48</v>
      </c>
      <c r="T298" t="s">
        <v>36</v>
      </c>
      <c r="U298" t="s">
        <v>36</v>
      </c>
      <c r="V298" t="s">
        <v>36</v>
      </c>
      <c r="W298">
        <v>4000</v>
      </c>
      <c r="X298" t="s">
        <v>49</v>
      </c>
      <c r="Y298" t="s">
        <v>50</v>
      </c>
      <c r="Z298" t="s">
        <v>51</v>
      </c>
      <c r="AA298" t="s">
        <v>37</v>
      </c>
      <c r="AB298" t="s">
        <v>52</v>
      </c>
      <c r="AC298" t="s">
        <v>53</v>
      </c>
      <c r="AD298" t="s">
        <v>54</v>
      </c>
      <c r="AE298">
        <v>18.2997214034</v>
      </c>
      <c r="AF298">
        <v>2747</v>
      </c>
      <c r="AG298">
        <v>2747.4244727199998</v>
      </c>
      <c r="AH298">
        <v>183000.16315000001</v>
      </c>
      <c r="AI298">
        <v>52</v>
      </c>
      <c r="AJ298">
        <v>165998.63073601999</v>
      </c>
      <c r="AK298" s="1">
        <f>intersection_ss_Lden___surface[[#This Row],[surf m2 bout ss]]/intersection_ss_Lden___surface[[#This Row],[Shape_Area]]</f>
        <v>0.90709553411685018</v>
      </c>
      <c r="AL298">
        <v>1890</v>
      </c>
      <c r="AM298">
        <f>intersection_ss_Lden___surface[[#This Row],[Population totale 2024 ss]]*intersection_ss_Lden___surface[[#This Row],[Part de la surface du qs dans le noise contour]]</f>
        <v>1714.4105594808468</v>
      </c>
    </row>
    <row r="299" spans="1:39" x14ac:dyDescent="0.3">
      <c r="A299">
        <v>329</v>
      </c>
      <c r="B299" t="s">
        <v>522</v>
      </c>
      <c r="C299" t="s">
        <v>523</v>
      </c>
      <c r="D299" t="s">
        <v>524</v>
      </c>
      <c r="E299" t="s">
        <v>524</v>
      </c>
      <c r="F299" t="s">
        <v>525</v>
      </c>
      <c r="G299" t="s">
        <v>526</v>
      </c>
      <c r="H299" t="s">
        <v>527</v>
      </c>
      <c r="I299" t="s">
        <v>528</v>
      </c>
      <c r="J299" t="s">
        <v>36</v>
      </c>
      <c r="K299">
        <v>21004</v>
      </c>
      <c r="L299" t="s">
        <v>309</v>
      </c>
      <c r="M299" t="s">
        <v>310</v>
      </c>
      <c r="N299" t="s">
        <v>311</v>
      </c>
      <c r="O299">
        <v>21000</v>
      </c>
      <c r="P299" t="s">
        <v>46</v>
      </c>
      <c r="Q299" t="s">
        <v>47</v>
      </c>
      <c r="R299" t="s">
        <v>48</v>
      </c>
      <c r="T299" t="s">
        <v>36</v>
      </c>
      <c r="U299" t="s">
        <v>36</v>
      </c>
      <c r="V299" t="s">
        <v>36</v>
      </c>
      <c r="W299">
        <v>4000</v>
      </c>
      <c r="X299" t="s">
        <v>49</v>
      </c>
      <c r="Y299" t="s">
        <v>50</v>
      </c>
      <c r="Z299" t="s">
        <v>51</v>
      </c>
      <c r="AA299" t="s">
        <v>37</v>
      </c>
      <c r="AB299" t="s">
        <v>52</v>
      </c>
      <c r="AC299" t="s">
        <v>53</v>
      </c>
      <c r="AD299" t="s">
        <v>54</v>
      </c>
      <c r="AE299">
        <v>18.2997214034</v>
      </c>
      <c r="AF299">
        <v>2747</v>
      </c>
      <c r="AG299">
        <v>2747.4244727199998</v>
      </c>
      <c r="AH299">
        <v>183000.16315000001</v>
      </c>
      <c r="AI299">
        <v>53</v>
      </c>
      <c r="AJ299">
        <v>11128.9091529651</v>
      </c>
      <c r="AK299" s="1">
        <f>intersection_ss_Lden___surface[[#This Row],[surf m2 bout ss]]/intersection_ss_Lden___surface[[#This Row],[Shape_Area]]</f>
        <v>6.0813657001185573E-2</v>
      </c>
      <c r="AL299">
        <v>1890</v>
      </c>
      <c r="AM299">
        <f>intersection_ss_Lden___surface[[#This Row],[Population totale 2024 ss]]*intersection_ss_Lden___surface[[#This Row],[Part de la surface du qs dans le noise contour]]</f>
        <v>114.93781173224073</v>
      </c>
    </row>
    <row r="300" spans="1:39" x14ac:dyDescent="0.3">
      <c r="A300">
        <v>330</v>
      </c>
      <c r="B300" t="s">
        <v>529</v>
      </c>
      <c r="C300" t="s">
        <v>530</v>
      </c>
      <c r="D300" t="s">
        <v>531</v>
      </c>
      <c r="E300" t="s">
        <v>531</v>
      </c>
      <c r="F300" t="s">
        <v>525</v>
      </c>
      <c r="G300" t="s">
        <v>526</v>
      </c>
      <c r="H300" t="s">
        <v>527</v>
      </c>
      <c r="I300" t="s">
        <v>528</v>
      </c>
      <c r="J300" t="s">
        <v>36</v>
      </c>
      <c r="K300">
        <v>21004</v>
      </c>
      <c r="L300" t="s">
        <v>309</v>
      </c>
      <c r="M300" t="s">
        <v>310</v>
      </c>
      <c r="N300" t="s">
        <v>311</v>
      </c>
      <c r="O300">
        <v>21000</v>
      </c>
      <c r="P300" t="s">
        <v>46</v>
      </c>
      <c r="Q300" t="s">
        <v>47</v>
      </c>
      <c r="R300" t="s">
        <v>48</v>
      </c>
      <c r="T300" t="s">
        <v>36</v>
      </c>
      <c r="U300" t="s">
        <v>36</v>
      </c>
      <c r="V300" t="s">
        <v>36</v>
      </c>
      <c r="W300">
        <v>4000</v>
      </c>
      <c r="X300" t="s">
        <v>49</v>
      </c>
      <c r="Y300" t="s">
        <v>50</v>
      </c>
      <c r="Z300" t="s">
        <v>51</v>
      </c>
      <c r="AA300" t="s">
        <v>37</v>
      </c>
      <c r="AB300" t="s">
        <v>52</v>
      </c>
      <c r="AC300" t="s">
        <v>53</v>
      </c>
      <c r="AD300" t="s">
        <v>54</v>
      </c>
      <c r="AE300">
        <v>31.183385185900001</v>
      </c>
      <c r="AF300">
        <v>2344</v>
      </c>
      <c r="AG300">
        <v>2344.3246729399998</v>
      </c>
      <c r="AH300">
        <v>311838.87091900001</v>
      </c>
      <c r="AI300">
        <v>51</v>
      </c>
      <c r="AJ300">
        <v>19371.411662172501</v>
      </c>
      <c r="AK300" s="1">
        <f>intersection_ss_Lden___surface[[#This Row],[surf m2 bout ss]]/intersection_ss_Lden___surface[[#This Row],[Shape_Area]]</f>
        <v>6.2119939073292163E-2</v>
      </c>
      <c r="AL300">
        <v>2478</v>
      </c>
      <c r="AM300">
        <f>intersection_ss_Lden___surface[[#This Row],[Population totale 2024 ss]]*intersection_ss_Lden___surface[[#This Row],[Part de la surface du qs dans le noise contour]]</f>
        <v>153.93320902361799</v>
      </c>
    </row>
    <row r="301" spans="1:39" x14ac:dyDescent="0.3">
      <c r="A301">
        <v>331</v>
      </c>
      <c r="B301" t="s">
        <v>529</v>
      </c>
      <c r="C301" t="s">
        <v>530</v>
      </c>
      <c r="D301" t="s">
        <v>531</v>
      </c>
      <c r="E301" t="s">
        <v>531</v>
      </c>
      <c r="F301" t="s">
        <v>525</v>
      </c>
      <c r="G301" t="s">
        <v>526</v>
      </c>
      <c r="H301" t="s">
        <v>527</v>
      </c>
      <c r="I301" t="s">
        <v>528</v>
      </c>
      <c r="J301" t="s">
        <v>36</v>
      </c>
      <c r="K301">
        <v>21004</v>
      </c>
      <c r="L301" t="s">
        <v>309</v>
      </c>
      <c r="M301" t="s">
        <v>310</v>
      </c>
      <c r="N301" t="s">
        <v>311</v>
      </c>
      <c r="O301">
        <v>21000</v>
      </c>
      <c r="P301" t="s">
        <v>46</v>
      </c>
      <c r="Q301" t="s">
        <v>47</v>
      </c>
      <c r="R301" t="s">
        <v>48</v>
      </c>
      <c r="T301" t="s">
        <v>36</v>
      </c>
      <c r="U301" t="s">
        <v>36</v>
      </c>
      <c r="V301" t="s">
        <v>36</v>
      </c>
      <c r="W301">
        <v>4000</v>
      </c>
      <c r="X301" t="s">
        <v>49</v>
      </c>
      <c r="Y301" t="s">
        <v>50</v>
      </c>
      <c r="Z301" t="s">
        <v>51</v>
      </c>
      <c r="AA301" t="s">
        <v>37</v>
      </c>
      <c r="AB301" t="s">
        <v>52</v>
      </c>
      <c r="AC301" t="s">
        <v>53</v>
      </c>
      <c r="AD301" t="s">
        <v>54</v>
      </c>
      <c r="AE301">
        <v>31.183385185900001</v>
      </c>
      <c r="AF301">
        <v>2344</v>
      </c>
      <c r="AG301">
        <v>2344.3246729399998</v>
      </c>
      <c r="AH301">
        <v>311838.87091900001</v>
      </c>
      <c r="AI301">
        <v>52</v>
      </c>
      <c r="AJ301">
        <v>207444.182099761</v>
      </c>
      <c r="AK301" s="1">
        <f>intersection_ss_Lden___surface[[#This Row],[surf m2 bout ss]]/intersection_ss_Lden___surface[[#This Row],[Shape_Area]]</f>
        <v>0.66522874934871257</v>
      </c>
      <c r="AL301">
        <v>2478</v>
      </c>
      <c r="AM301">
        <f>intersection_ss_Lden___surface[[#This Row],[Population totale 2024 ss]]*intersection_ss_Lden___surface[[#This Row],[Part de la surface du qs dans le noise contour]]</f>
        <v>1648.4368408861098</v>
      </c>
    </row>
    <row r="302" spans="1:39" x14ac:dyDescent="0.3">
      <c r="A302">
        <v>332</v>
      </c>
      <c r="B302" t="s">
        <v>529</v>
      </c>
      <c r="C302" t="s">
        <v>530</v>
      </c>
      <c r="D302" t="s">
        <v>531</v>
      </c>
      <c r="E302" t="s">
        <v>531</v>
      </c>
      <c r="F302" t="s">
        <v>525</v>
      </c>
      <c r="G302" t="s">
        <v>526</v>
      </c>
      <c r="H302" t="s">
        <v>527</v>
      </c>
      <c r="I302" t="s">
        <v>528</v>
      </c>
      <c r="J302" t="s">
        <v>36</v>
      </c>
      <c r="K302">
        <v>21004</v>
      </c>
      <c r="L302" t="s">
        <v>309</v>
      </c>
      <c r="M302" t="s">
        <v>310</v>
      </c>
      <c r="N302" t="s">
        <v>311</v>
      </c>
      <c r="O302">
        <v>21000</v>
      </c>
      <c r="P302" t="s">
        <v>46</v>
      </c>
      <c r="Q302" t="s">
        <v>47</v>
      </c>
      <c r="R302" t="s">
        <v>48</v>
      </c>
      <c r="T302" t="s">
        <v>36</v>
      </c>
      <c r="U302" t="s">
        <v>36</v>
      </c>
      <c r="V302" t="s">
        <v>36</v>
      </c>
      <c r="W302">
        <v>4000</v>
      </c>
      <c r="X302" t="s">
        <v>49</v>
      </c>
      <c r="Y302" t="s">
        <v>50</v>
      </c>
      <c r="Z302" t="s">
        <v>51</v>
      </c>
      <c r="AA302" t="s">
        <v>37</v>
      </c>
      <c r="AB302" t="s">
        <v>52</v>
      </c>
      <c r="AC302" t="s">
        <v>53</v>
      </c>
      <c r="AD302" t="s">
        <v>54</v>
      </c>
      <c r="AE302">
        <v>31.183385185900001</v>
      </c>
      <c r="AF302">
        <v>2344</v>
      </c>
      <c r="AG302">
        <v>2344.3246729399998</v>
      </c>
      <c r="AH302">
        <v>311838.87091900001</v>
      </c>
      <c r="AI302">
        <v>53</v>
      </c>
      <c r="AJ302">
        <v>85050.410494561103</v>
      </c>
      <c r="AK302" s="1">
        <f>intersection_ss_Lden___surface[[#This Row],[surf m2 bout ss]]/intersection_ss_Lden___surface[[#This Row],[Shape_Area]]</f>
        <v>0.27273832233908041</v>
      </c>
      <c r="AL302">
        <v>2478</v>
      </c>
      <c r="AM302">
        <f>intersection_ss_Lden___surface[[#This Row],[Population totale 2024 ss]]*intersection_ss_Lden___surface[[#This Row],[Part de la surface du qs dans le noise contour]]</f>
        <v>675.84556275624129</v>
      </c>
    </row>
    <row r="303" spans="1:39" x14ac:dyDescent="0.3">
      <c r="A303">
        <v>333</v>
      </c>
      <c r="B303" t="s">
        <v>532</v>
      </c>
      <c r="C303" t="s">
        <v>533</v>
      </c>
      <c r="D303" t="s">
        <v>534</v>
      </c>
      <c r="E303" t="s">
        <v>534</v>
      </c>
      <c r="F303" t="s">
        <v>525</v>
      </c>
      <c r="G303" t="s">
        <v>526</v>
      </c>
      <c r="H303" t="s">
        <v>527</v>
      </c>
      <c r="I303" t="s">
        <v>528</v>
      </c>
      <c r="J303" t="s">
        <v>36</v>
      </c>
      <c r="K303">
        <v>21004</v>
      </c>
      <c r="L303" t="s">
        <v>309</v>
      </c>
      <c r="M303" t="s">
        <v>310</v>
      </c>
      <c r="N303" t="s">
        <v>311</v>
      </c>
      <c r="O303">
        <v>21000</v>
      </c>
      <c r="P303" t="s">
        <v>46</v>
      </c>
      <c r="Q303" t="s">
        <v>47</v>
      </c>
      <c r="R303" t="s">
        <v>48</v>
      </c>
      <c r="T303" t="s">
        <v>36</v>
      </c>
      <c r="U303" t="s">
        <v>36</v>
      </c>
      <c r="V303" t="s">
        <v>36</v>
      </c>
      <c r="W303">
        <v>4000</v>
      </c>
      <c r="X303" t="s">
        <v>49</v>
      </c>
      <c r="Y303" t="s">
        <v>50</v>
      </c>
      <c r="Z303" t="s">
        <v>51</v>
      </c>
      <c r="AA303" t="s">
        <v>37</v>
      </c>
      <c r="AB303" t="s">
        <v>52</v>
      </c>
      <c r="AC303" t="s">
        <v>53</v>
      </c>
      <c r="AD303" t="s">
        <v>54</v>
      </c>
      <c r="AE303">
        <v>19.868234371900002</v>
      </c>
      <c r="AF303">
        <v>2689</v>
      </c>
      <c r="AG303">
        <v>2688.8936949600002</v>
      </c>
      <c r="AH303">
        <v>198685.533299</v>
      </c>
      <c r="AI303">
        <v>53</v>
      </c>
      <c r="AJ303">
        <v>1614.1640279693499</v>
      </c>
      <c r="AK303" s="1">
        <f>intersection_ss_Lden___surface[[#This Row],[surf m2 bout ss]]/intersection_ss_Lden___surface[[#This Row],[Shape_Area]]</f>
        <v>8.1242151915520162E-3</v>
      </c>
      <c r="AL303">
        <v>3359</v>
      </c>
      <c r="AM303">
        <f>intersection_ss_Lden___surface[[#This Row],[Population totale 2024 ss]]*intersection_ss_Lden___surface[[#This Row],[Part de la surface du qs dans le noise contour]]</f>
        <v>27.289238828423223</v>
      </c>
    </row>
    <row r="304" spans="1:39" x14ac:dyDescent="0.3">
      <c r="A304">
        <v>334</v>
      </c>
      <c r="B304" t="s">
        <v>532</v>
      </c>
      <c r="C304" t="s">
        <v>533</v>
      </c>
      <c r="D304" t="s">
        <v>534</v>
      </c>
      <c r="E304" t="s">
        <v>534</v>
      </c>
      <c r="F304" t="s">
        <v>525</v>
      </c>
      <c r="G304" t="s">
        <v>526</v>
      </c>
      <c r="H304" t="s">
        <v>527</v>
      </c>
      <c r="I304" t="s">
        <v>528</v>
      </c>
      <c r="J304" t="s">
        <v>36</v>
      </c>
      <c r="K304">
        <v>21004</v>
      </c>
      <c r="L304" t="s">
        <v>309</v>
      </c>
      <c r="M304" t="s">
        <v>310</v>
      </c>
      <c r="N304" t="s">
        <v>311</v>
      </c>
      <c r="O304">
        <v>21000</v>
      </c>
      <c r="P304" t="s">
        <v>46</v>
      </c>
      <c r="Q304" t="s">
        <v>47</v>
      </c>
      <c r="R304" t="s">
        <v>48</v>
      </c>
      <c r="T304" t="s">
        <v>36</v>
      </c>
      <c r="U304" t="s">
        <v>36</v>
      </c>
      <c r="V304" t="s">
        <v>36</v>
      </c>
      <c r="W304">
        <v>4000</v>
      </c>
      <c r="X304" t="s">
        <v>49</v>
      </c>
      <c r="Y304" t="s">
        <v>50</v>
      </c>
      <c r="Z304" t="s">
        <v>51</v>
      </c>
      <c r="AA304" t="s">
        <v>37</v>
      </c>
      <c r="AB304" t="s">
        <v>52</v>
      </c>
      <c r="AC304" t="s">
        <v>53</v>
      </c>
      <c r="AD304" t="s">
        <v>54</v>
      </c>
      <c r="AE304">
        <v>19.868234371900002</v>
      </c>
      <c r="AF304">
        <v>2689</v>
      </c>
      <c r="AG304">
        <v>2688.8936949600002</v>
      </c>
      <c r="AH304">
        <v>198685.533299</v>
      </c>
      <c r="AI304">
        <v>54</v>
      </c>
      <c r="AJ304">
        <v>119275.674114806</v>
      </c>
      <c r="AK304" s="1">
        <f>intersection_ss_Lden___surface[[#This Row],[surf m2 bout ss]]/intersection_ss_Lden___surface[[#This Row],[Shape_Area]]</f>
        <v>0.60032389945225229</v>
      </c>
      <c r="AL304">
        <v>3359</v>
      </c>
      <c r="AM304">
        <f>intersection_ss_Lden___surface[[#This Row],[Population totale 2024 ss]]*intersection_ss_Lden___surface[[#This Row],[Part de la surface du qs dans le noise contour]]</f>
        <v>2016.4879782601154</v>
      </c>
    </row>
    <row r="305" spans="1:39" x14ac:dyDescent="0.3">
      <c r="A305">
        <v>335</v>
      </c>
      <c r="B305" t="s">
        <v>532</v>
      </c>
      <c r="C305" t="s">
        <v>533</v>
      </c>
      <c r="D305" t="s">
        <v>534</v>
      </c>
      <c r="E305" t="s">
        <v>534</v>
      </c>
      <c r="F305" t="s">
        <v>525</v>
      </c>
      <c r="G305" t="s">
        <v>526</v>
      </c>
      <c r="H305" t="s">
        <v>527</v>
      </c>
      <c r="I305" t="s">
        <v>528</v>
      </c>
      <c r="J305" t="s">
        <v>36</v>
      </c>
      <c r="K305">
        <v>21004</v>
      </c>
      <c r="L305" t="s">
        <v>309</v>
      </c>
      <c r="M305" t="s">
        <v>310</v>
      </c>
      <c r="N305" t="s">
        <v>311</v>
      </c>
      <c r="O305">
        <v>21000</v>
      </c>
      <c r="P305" t="s">
        <v>46</v>
      </c>
      <c r="Q305" t="s">
        <v>47</v>
      </c>
      <c r="R305" t="s">
        <v>48</v>
      </c>
      <c r="T305" t="s">
        <v>36</v>
      </c>
      <c r="U305" t="s">
        <v>36</v>
      </c>
      <c r="V305" t="s">
        <v>36</v>
      </c>
      <c r="W305">
        <v>4000</v>
      </c>
      <c r="X305" t="s">
        <v>49</v>
      </c>
      <c r="Y305" t="s">
        <v>50</v>
      </c>
      <c r="Z305" t="s">
        <v>51</v>
      </c>
      <c r="AA305" t="s">
        <v>37</v>
      </c>
      <c r="AB305" t="s">
        <v>52</v>
      </c>
      <c r="AC305" t="s">
        <v>53</v>
      </c>
      <c r="AD305" t="s">
        <v>54</v>
      </c>
      <c r="AE305">
        <v>19.868234371900002</v>
      </c>
      <c r="AF305">
        <v>2689</v>
      </c>
      <c r="AG305">
        <v>2688.8936949600002</v>
      </c>
      <c r="AH305">
        <v>198685.533299</v>
      </c>
      <c r="AI305">
        <v>55</v>
      </c>
      <c r="AJ305">
        <v>69388.883809752093</v>
      </c>
      <c r="AK305" s="1">
        <f>intersection_ss_Lden___surface[[#This Row],[surf m2 bout ss]]/intersection_ss_Lden___surface[[#This Row],[Shape_Area]]</f>
        <v>0.34923973908724099</v>
      </c>
      <c r="AL305">
        <v>3359</v>
      </c>
      <c r="AM305">
        <f>intersection_ss_Lden___surface[[#This Row],[Population totale 2024 ss]]*intersection_ss_Lden___surface[[#This Row],[Part de la surface du qs dans le noise contour]]</f>
        <v>1173.0962835940425</v>
      </c>
    </row>
    <row r="306" spans="1:39" x14ac:dyDescent="0.3">
      <c r="A306">
        <v>336</v>
      </c>
      <c r="B306" t="s">
        <v>532</v>
      </c>
      <c r="C306" t="s">
        <v>533</v>
      </c>
      <c r="D306" t="s">
        <v>534</v>
      </c>
      <c r="E306" t="s">
        <v>534</v>
      </c>
      <c r="F306" t="s">
        <v>525</v>
      </c>
      <c r="G306" t="s">
        <v>526</v>
      </c>
      <c r="H306" t="s">
        <v>527</v>
      </c>
      <c r="I306" t="s">
        <v>528</v>
      </c>
      <c r="J306" t="s">
        <v>36</v>
      </c>
      <c r="K306">
        <v>21004</v>
      </c>
      <c r="L306" t="s">
        <v>309</v>
      </c>
      <c r="M306" t="s">
        <v>310</v>
      </c>
      <c r="N306" t="s">
        <v>311</v>
      </c>
      <c r="O306">
        <v>21000</v>
      </c>
      <c r="P306" t="s">
        <v>46</v>
      </c>
      <c r="Q306" t="s">
        <v>47</v>
      </c>
      <c r="R306" t="s">
        <v>48</v>
      </c>
      <c r="T306" t="s">
        <v>36</v>
      </c>
      <c r="U306" t="s">
        <v>36</v>
      </c>
      <c r="V306" t="s">
        <v>36</v>
      </c>
      <c r="W306">
        <v>4000</v>
      </c>
      <c r="X306" t="s">
        <v>49</v>
      </c>
      <c r="Y306" t="s">
        <v>50</v>
      </c>
      <c r="Z306" t="s">
        <v>51</v>
      </c>
      <c r="AA306" t="s">
        <v>37</v>
      </c>
      <c r="AB306" t="s">
        <v>52</v>
      </c>
      <c r="AC306" t="s">
        <v>53</v>
      </c>
      <c r="AD306" t="s">
        <v>54</v>
      </c>
      <c r="AE306">
        <v>19.868234371900002</v>
      </c>
      <c r="AF306">
        <v>2689</v>
      </c>
      <c r="AG306">
        <v>2688.8936949600002</v>
      </c>
      <c r="AH306">
        <v>198685.533299</v>
      </c>
      <c r="AI306">
        <v>56</v>
      </c>
      <c r="AJ306">
        <v>8424.3779644435308</v>
      </c>
      <c r="AK306" s="1">
        <f>intersection_ss_Lden___surface[[#This Row],[surf m2 bout ss]]/intersection_ss_Lden___surface[[#This Row],[Shape_Area]]</f>
        <v>4.2400560446269449E-2</v>
      </c>
      <c r="AL306">
        <v>3359</v>
      </c>
      <c r="AM306">
        <f>intersection_ss_Lden___surface[[#This Row],[Population totale 2024 ss]]*intersection_ss_Lden___surface[[#This Row],[Part de la surface du qs dans le noise contour]]</f>
        <v>142.42348253901909</v>
      </c>
    </row>
    <row r="307" spans="1:39" x14ac:dyDescent="0.3">
      <c r="A307">
        <v>337</v>
      </c>
      <c r="B307" t="s">
        <v>535</v>
      </c>
      <c r="C307" t="s">
        <v>536</v>
      </c>
      <c r="D307" t="s">
        <v>537</v>
      </c>
      <c r="E307" t="s">
        <v>537</v>
      </c>
      <c r="F307" t="s">
        <v>525</v>
      </c>
      <c r="G307" t="s">
        <v>526</v>
      </c>
      <c r="H307" t="s">
        <v>527</v>
      </c>
      <c r="I307" t="s">
        <v>528</v>
      </c>
      <c r="J307" t="s">
        <v>36</v>
      </c>
      <c r="K307">
        <v>21004</v>
      </c>
      <c r="L307" t="s">
        <v>309</v>
      </c>
      <c r="M307" t="s">
        <v>310</v>
      </c>
      <c r="N307" t="s">
        <v>311</v>
      </c>
      <c r="O307">
        <v>21000</v>
      </c>
      <c r="P307" t="s">
        <v>46</v>
      </c>
      <c r="Q307" t="s">
        <v>47</v>
      </c>
      <c r="R307" t="s">
        <v>48</v>
      </c>
      <c r="T307" t="s">
        <v>36</v>
      </c>
      <c r="U307" t="s">
        <v>36</v>
      </c>
      <c r="V307" t="s">
        <v>36</v>
      </c>
      <c r="W307">
        <v>4000</v>
      </c>
      <c r="X307" t="s">
        <v>49</v>
      </c>
      <c r="Y307" t="s">
        <v>50</v>
      </c>
      <c r="Z307" t="s">
        <v>51</v>
      </c>
      <c r="AA307" t="s">
        <v>37</v>
      </c>
      <c r="AB307" t="s">
        <v>52</v>
      </c>
      <c r="AC307" t="s">
        <v>53</v>
      </c>
      <c r="AD307" t="s">
        <v>54</v>
      </c>
      <c r="AE307">
        <v>66.705827915399993</v>
      </c>
      <c r="AF307">
        <v>4850</v>
      </c>
      <c r="AG307">
        <v>4849.7335040199996</v>
      </c>
      <c r="AH307">
        <v>667069.05896900001</v>
      </c>
      <c r="AI307">
        <v>53</v>
      </c>
      <c r="AJ307">
        <v>28315.105291653399</v>
      </c>
      <c r="AK307" s="1">
        <f>intersection_ss_Lden___surface[[#This Row],[surf m2 bout ss]]/intersection_ss_Lden___surface[[#This Row],[Shape_Area]]</f>
        <v>4.2447037395822694E-2</v>
      </c>
      <c r="AL307">
        <v>124</v>
      </c>
      <c r="AM307">
        <f>intersection_ss_Lden___surface[[#This Row],[Population totale 2024 ss]]*intersection_ss_Lden___surface[[#This Row],[Part de la surface du qs dans le noise contour]]</f>
        <v>5.2634326370820137</v>
      </c>
    </row>
    <row r="308" spans="1:39" x14ac:dyDescent="0.3">
      <c r="A308">
        <v>338</v>
      </c>
      <c r="B308" t="s">
        <v>535</v>
      </c>
      <c r="C308" t="s">
        <v>536</v>
      </c>
      <c r="D308" t="s">
        <v>537</v>
      </c>
      <c r="E308" t="s">
        <v>537</v>
      </c>
      <c r="F308" t="s">
        <v>525</v>
      </c>
      <c r="G308" t="s">
        <v>526</v>
      </c>
      <c r="H308" t="s">
        <v>527</v>
      </c>
      <c r="I308" t="s">
        <v>528</v>
      </c>
      <c r="J308" t="s">
        <v>36</v>
      </c>
      <c r="K308">
        <v>21004</v>
      </c>
      <c r="L308" t="s">
        <v>309</v>
      </c>
      <c r="M308" t="s">
        <v>310</v>
      </c>
      <c r="N308" t="s">
        <v>311</v>
      </c>
      <c r="O308">
        <v>21000</v>
      </c>
      <c r="P308" t="s">
        <v>46</v>
      </c>
      <c r="Q308" t="s">
        <v>47</v>
      </c>
      <c r="R308" t="s">
        <v>48</v>
      </c>
      <c r="T308" t="s">
        <v>36</v>
      </c>
      <c r="U308" t="s">
        <v>36</v>
      </c>
      <c r="V308" t="s">
        <v>36</v>
      </c>
      <c r="W308">
        <v>4000</v>
      </c>
      <c r="X308" t="s">
        <v>49</v>
      </c>
      <c r="Y308" t="s">
        <v>50</v>
      </c>
      <c r="Z308" t="s">
        <v>51</v>
      </c>
      <c r="AA308" t="s">
        <v>37</v>
      </c>
      <c r="AB308" t="s">
        <v>52</v>
      </c>
      <c r="AC308" t="s">
        <v>53</v>
      </c>
      <c r="AD308" t="s">
        <v>54</v>
      </c>
      <c r="AE308">
        <v>66.705827915399993</v>
      </c>
      <c r="AF308">
        <v>4850</v>
      </c>
      <c r="AG308">
        <v>4849.7335040199996</v>
      </c>
      <c r="AH308">
        <v>667069.05896900001</v>
      </c>
      <c r="AI308">
        <v>54</v>
      </c>
      <c r="AJ308">
        <v>278203.16736083</v>
      </c>
      <c r="AK308" s="1">
        <f>intersection_ss_Lden___surface[[#This Row],[surf m2 bout ss]]/intersection_ss_Lden___surface[[#This Row],[Shape_Area]]</f>
        <v>0.41705302265227484</v>
      </c>
      <c r="AL308">
        <v>124</v>
      </c>
      <c r="AM308">
        <f>intersection_ss_Lden___surface[[#This Row],[Population totale 2024 ss]]*intersection_ss_Lden___surface[[#This Row],[Part de la surface du qs dans le noise contour]]</f>
        <v>51.714574808882077</v>
      </c>
    </row>
    <row r="309" spans="1:39" x14ac:dyDescent="0.3">
      <c r="A309">
        <v>339</v>
      </c>
      <c r="B309" t="s">
        <v>535</v>
      </c>
      <c r="C309" t="s">
        <v>536</v>
      </c>
      <c r="D309" t="s">
        <v>537</v>
      </c>
      <c r="E309" t="s">
        <v>537</v>
      </c>
      <c r="F309" t="s">
        <v>525</v>
      </c>
      <c r="G309" t="s">
        <v>526</v>
      </c>
      <c r="H309" t="s">
        <v>527</v>
      </c>
      <c r="I309" t="s">
        <v>528</v>
      </c>
      <c r="J309" t="s">
        <v>36</v>
      </c>
      <c r="K309">
        <v>21004</v>
      </c>
      <c r="L309" t="s">
        <v>309</v>
      </c>
      <c r="M309" t="s">
        <v>310</v>
      </c>
      <c r="N309" t="s">
        <v>311</v>
      </c>
      <c r="O309">
        <v>21000</v>
      </c>
      <c r="P309" t="s">
        <v>46</v>
      </c>
      <c r="Q309" t="s">
        <v>47</v>
      </c>
      <c r="R309" t="s">
        <v>48</v>
      </c>
      <c r="T309" t="s">
        <v>36</v>
      </c>
      <c r="U309" t="s">
        <v>36</v>
      </c>
      <c r="V309" t="s">
        <v>36</v>
      </c>
      <c r="W309">
        <v>4000</v>
      </c>
      <c r="X309" t="s">
        <v>49</v>
      </c>
      <c r="Y309" t="s">
        <v>50</v>
      </c>
      <c r="Z309" t="s">
        <v>51</v>
      </c>
      <c r="AA309" t="s">
        <v>37</v>
      </c>
      <c r="AB309" t="s">
        <v>52</v>
      </c>
      <c r="AC309" t="s">
        <v>53</v>
      </c>
      <c r="AD309" t="s">
        <v>54</v>
      </c>
      <c r="AE309">
        <v>66.705827915399993</v>
      </c>
      <c r="AF309">
        <v>4850</v>
      </c>
      <c r="AG309">
        <v>4849.7335040199996</v>
      </c>
      <c r="AH309">
        <v>667069.05896900001</v>
      </c>
      <c r="AI309">
        <v>55</v>
      </c>
      <c r="AJ309">
        <v>267886.12773192598</v>
      </c>
      <c r="AK309" s="1">
        <f>intersection_ss_Lden___surface[[#This Row],[surf m2 bout ss]]/intersection_ss_Lden___surface[[#This Row],[Shape_Area]]</f>
        <v>0.40158679844327055</v>
      </c>
      <c r="AL309">
        <v>124</v>
      </c>
      <c r="AM309">
        <f>intersection_ss_Lden___surface[[#This Row],[Population totale 2024 ss]]*intersection_ss_Lden___surface[[#This Row],[Part de la surface du qs dans le noise contour]]</f>
        <v>49.796763006965548</v>
      </c>
    </row>
    <row r="310" spans="1:39" x14ac:dyDescent="0.3">
      <c r="A310">
        <v>340</v>
      </c>
      <c r="B310" t="s">
        <v>535</v>
      </c>
      <c r="C310" t="s">
        <v>536</v>
      </c>
      <c r="D310" t="s">
        <v>537</v>
      </c>
      <c r="E310" t="s">
        <v>537</v>
      </c>
      <c r="F310" t="s">
        <v>525</v>
      </c>
      <c r="G310" t="s">
        <v>526</v>
      </c>
      <c r="H310" t="s">
        <v>527</v>
      </c>
      <c r="I310" t="s">
        <v>528</v>
      </c>
      <c r="J310" t="s">
        <v>36</v>
      </c>
      <c r="K310">
        <v>21004</v>
      </c>
      <c r="L310" t="s">
        <v>309</v>
      </c>
      <c r="M310" t="s">
        <v>310</v>
      </c>
      <c r="N310" t="s">
        <v>311</v>
      </c>
      <c r="O310">
        <v>21000</v>
      </c>
      <c r="P310" t="s">
        <v>46</v>
      </c>
      <c r="Q310" t="s">
        <v>47</v>
      </c>
      <c r="R310" t="s">
        <v>48</v>
      </c>
      <c r="T310" t="s">
        <v>36</v>
      </c>
      <c r="U310" t="s">
        <v>36</v>
      </c>
      <c r="V310" t="s">
        <v>36</v>
      </c>
      <c r="W310">
        <v>4000</v>
      </c>
      <c r="X310" t="s">
        <v>49</v>
      </c>
      <c r="Y310" t="s">
        <v>50</v>
      </c>
      <c r="Z310" t="s">
        <v>51</v>
      </c>
      <c r="AA310" t="s">
        <v>37</v>
      </c>
      <c r="AB310" t="s">
        <v>52</v>
      </c>
      <c r="AC310" t="s">
        <v>53</v>
      </c>
      <c r="AD310" t="s">
        <v>54</v>
      </c>
      <c r="AE310">
        <v>66.705827915399993</v>
      </c>
      <c r="AF310">
        <v>4850</v>
      </c>
      <c r="AG310">
        <v>4849.7335040199996</v>
      </c>
      <c r="AH310">
        <v>667069.05896900001</v>
      </c>
      <c r="AI310">
        <v>56</v>
      </c>
      <c r="AJ310">
        <v>92724.094926772494</v>
      </c>
      <c r="AK310" s="1">
        <f>intersection_ss_Lden___surface[[#This Row],[surf m2 bout ss]]/intersection_ss_Lden___surface[[#This Row],[Shape_Area]]</f>
        <v>0.13900224224173102</v>
      </c>
      <c r="AL310">
        <v>124</v>
      </c>
      <c r="AM310">
        <f>intersection_ss_Lden___surface[[#This Row],[Population totale 2024 ss]]*intersection_ss_Lden___surface[[#This Row],[Part de la surface du qs dans le noise contour]]</f>
        <v>17.236278037974646</v>
      </c>
    </row>
    <row r="311" spans="1:39" x14ac:dyDescent="0.3">
      <c r="A311">
        <v>341</v>
      </c>
      <c r="B311" t="s">
        <v>538</v>
      </c>
      <c r="C311" t="s">
        <v>539</v>
      </c>
      <c r="D311" t="s">
        <v>540</v>
      </c>
      <c r="E311" t="s">
        <v>540</v>
      </c>
      <c r="F311" t="s">
        <v>541</v>
      </c>
      <c r="G311" t="s">
        <v>526</v>
      </c>
      <c r="H311" t="s">
        <v>527</v>
      </c>
      <c r="I311" t="s">
        <v>528</v>
      </c>
      <c r="J311" t="s">
        <v>36</v>
      </c>
      <c r="K311">
        <v>21004</v>
      </c>
      <c r="L311" t="s">
        <v>309</v>
      </c>
      <c r="M311" t="s">
        <v>310</v>
      </c>
      <c r="N311" t="s">
        <v>311</v>
      </c>
      <c r="O311">
        <v>21000</v>
      </c>
      <c r="P311" t="s">
        <v>46</v>
      </c>
      <c r="Q311" t="s">
        <v>47</v>
      </c>
      <c r="R311" t="s">
        <v>48</v>
      </c>
      <c r="T311" t="s">
        <v>36</v>
      </c>
      <c r="U311" t="s">
        <v>36</v>
      </c>
      <c r="V311" t="s">
        <v>36</v>
      </c>
      <c r="W311">
        <v>4000</v>
      </c>
      <c r="X311" t="s">
        <v>49</v>
      </c>
      <c r="Y311" t="s">
        <v>50</v>
      </c>
      <c r="Z311" t="s">
        <v>51</v>
      </c>
      <c r="AA311" t="s">
        <v>37</v>
      </c>
      <c r="AB311" t="s">
        <v>52</v>
      </c>
      <c r="AC311" t="s">
        <v>53</v>
      </c>
      <c r="AD311" t="s">
        <v>54</v>
      </c>
      <c r="AE311">
        <v>23.181983373600001</v>
      </c>
      <c r="AF311">
        <v>2271</v>
      </c>
      <c r="AG311">
        <v>2271.0076668500001</v>
      </c>
      <c r="AH311">
        <v>231823.56047</v>
      </c>
      <c r="AI311">
        <v>53</v>
      </c>
      <c r="AJ311">
        <v>16911.026114477299</v>
      </c>
      <c r="AK311" s="1">
        <f>intersection_ss_Lden___surface[[#This Row],[surf m2 bout ss]]/intersection_ss_Lden___surface[[#This Row],[Shape_Area]]</f>
        <v>7.294783187779455E-2</v>
      </c>
      <c r="AL311">
        <v>2020</v>
      </c>
      <c r="AM311">
        <f>intersection_ss_Lden___surface[[#This Row],[Population totale 2024 ss]]*intersection_ss_Lden___surface[[#This Row],[Part de la surface du qs dans le noise contour]]</f>
        <v>147.35462039314498</v>
      </c>
    </row>
    <row r="312" spans="1:39" x14ac:dyDescent="0.3">
      <c r="A312">
        <v>342</v>
      </c>
      <c r="B312" t="s">
        <v>538</v>
      </c>
      <c r="C312" t="s">
        <v>539</v>
      </c>
      <c r="D312" t="s">
        <v>540</v>
      </c>
      <c r="E312" t="s">
        <v>540</v>
      </c>
      <c r="F312" t="s">
        <v>541</v>
      </c>
      <c r="G312" t="s">
        <v>526</v>
      </c>
      <c r="H312" t="s">
        <v>527</v>
      </c>
      <c r="I312" t="s">
        <v>528</v>
      </c>
      <c r="J312" t="s">
        <v>36</v>
      </c>
      <c r="K312">
        <v>21004</v>
      </c>
      <c r="L312" t="s">
        <v>309</v>
      </c>
      <c r="M312" t="s">
        <v>310</v>
      </c>
      <c r="N312" t="s">
        <v>311</v>
      </c>
      <c r="O312">
        <v>21000</v>
      </c>
      <c r="P312" t="s">
        <v>46</v>
      </c>
      <c r="Q312" t="s">
        <v>47</v>
      </c>
      <c r="R312" t="s">
        <v>48</v>
      </c>
      <c r="T312" t="s">
        <v>36</v>
      </c>
      <c r="U312" t="s">
        <v>36</v>
      </c>
      <c r="V312" t="s">
        <v>36</v>
      </c>
      <c r="W312">
        <v>4000</v>
      </c>
      <c r="X312" t="s">
        <v>49</v>
      </c>
      <c r="Y312" t="s">
        <v>50</v>
      </c>
      <c r="Z312" t="s">
        <v>51</v>
      </c>
      <c r="AA312" t="s">
        <v>37</v>
      </c>
      <c r="AB312" t="s">
        <v>52</v>
      </c>
      <c r="AC312" t="s">
        <v>53</v>
      </c>
      <c r="AD312" t="s">
        <v>54</v>
      </c>
      <c r="AE312">
        <v>23.181983373600001</v>
      </c>
      <c r="AF312">
        <v>2271</v>
      </c>
      <c r="AG312">
        <v>2271.0076668500001</v>
      </c>
      <c r="AH312">
        <v>231823.56047</v>
      </c>
      <c r="AI312">
        <v>54</v>
      </c>
      <c r="AJ312">
        <v>165377.02475151099</v>
      </c>
      <c r="AK312" s="1">
        <f>intersection_ss_Lden___surface[[#This Row],[surf m2 bout ss]]/intersection_ss_Lden___surface[[#This Row],[Shape_Area]]</f>
        <v>0.71337453542782692</v>
      </c>
      <c r="AL312">
        <v>2020</v>
      </c>
      <c r="AM312">
        <f>intersection_ss_Lden___surface[[#This Row],[Population totale 2024 ss]]*intersection_ss_Lden___surface[[#This Row],[Part de la surface du qs dans le noise contour]]</f>
        <v>1441.0165615642104</v>
      </c>
    </row>
    <row r="313" spans="1:39" x14ac:dyDescent="0.3">
      <c r="A313">
        <v>343</v>
      </c>
      <c r="B313" t="s">
        <v>538</v>
      </c>
      <c r="C313" t="s">
        <v>539</v>
      </c>
      <c r="D313" t="s">
        <v>540</v>
      </c>
      <c r="E313" t="s">
        <v>540</v>
      </c>
      <c r="F313" t="s">
        <v>541</v>
      </c>
      <c r="G313" t="s">
        <v>526</v>
      </c>
      <c r="H313" t="s">
        <v>527</v>
      </c>
      <c r="I313" t="s">
        <v>528</v>
      </c>
      <c r="J313" t="s">
        <v>36</v>
      </c>
      <c r="K313">
        <v>21004</v>
      </c>
      <c r="L313" t="s">
        <v>309</v>
      </c>
      <c r="M313" t="s">
        <v>310</v>
      </c>
      <c r="N313" t="s">
        <v>311</v>
      </c>
      <c r="O313">
        <v>21000</v>
      </c>
      <c r="P313" t="s">
        <v>46</v>
      </c>
      <c r="Q313" t="s">
        <v>47</v>
      </c>
      <c r="R313" t="s">
        <v>48</v>
      </c>
      <c r="T313" t="s">
        <v>36</v>
      </c>
      <c r="U313" t="s">
        <v>36</v>
      </c>
      <c r="V313" t="s">
        <v>36</v>
      </c>
      <c r="W313">
        <v>4000</v>
      </c>
      <c r="X313" t="s">
        <v>49</v>
      </c>
      <c r="Y313" t="s">
        <v>50</v>
      </c>
      <c r="Z313" t="s">
        <v>51</v>
      </c>
      <c r="AA313" t="s">
        <v>37</v>
      </c>
      <c r="AB313" t="s">
        <v>52</v>
      </c>
      <c r="AC313" t="s">
        <v>53</v>
      </c>
      <c r="AD313" t="s">
        <v>54</v>
      </c>
      <c r="AE313">
        <v>23.181983373600001</v>
      </c>
      <c r="AF313">
        <v>2271</v>
      </c>
      <c r="AG313">
        <v>2271.0076668500001</v>
      </c>
      <c r="AH313">
        <v>231823.56047</v>
      </c>
      <c r="AI313">
        <v>55</v>
      </c>
      <c r="AJ313">
        <v>49555.7377406624</v>
      </c>
      <c r="AK313" s="1">
        <f>intersection_ss_Lden___surface[[#This Row],[surf m2 bout ss]]/intersection_ss_Lden___surface[[#This Row],[Shape_Area]]</f>
        <v>0.21376488929853765</v>
      </c>
      <c r="AL313">
        <v>2020</v>
      </c>
      <c r="AM313">
        <f>intersection_ss_Lden___surface[[#This Row],[Population totale 2024 ss]]*intersection_ss_Lden___surface[[#This Row],[Part de la surface du qs dans le noise contour]]</f>
        <v>431.80507638304607</v>
      </c>
    </row>
    <row r="314" spans="1:39" x14ac:dyDescent="0.3">
      <c r="A314">
        <v>344</v>
      </c>
      <c r="B314" t="s">
        <v>542</v>
      </c>
      <c r="C314" t="s">
        <v>543</v>
      </c>
      <c r="D314" t="s">
        <v>544</v>
      </c>
      <c r="E314" t="s">
        <v>544</v>
      </c>
      <c r="F314" t="s">
        <v>541</v>
      </c>
      <c r="G314" t="s">
        <v>526</v>
      </c>
      <c r="H314" t="s">
        <v>527</v>
      </c>
      <c r="I314" t="s">
        <v>528</v>
      </c>
      <c r="J314" t="s">
        <v>36</v>
      </c>
      <c r="K314">
        <v>21004</v>
      </c>
      <c r="L314" t="s">
        <v>309</v>
      </c>
      <c r="M314" t="s">
        <v>310</v>
      </c>
      <c r="N314" t="s">
        <v>311</v>
      </c>
      <c r="O314">
        <v>21000</v>
      </c>
      <c r="P314" t="s">
        <v>46</v>
      </c>
      <c r="Q314" t="s">
        <v>47</v>
      </c>
      <c r="R314" t="s">
        <v>48</v>
      </c>
      <c r="T314" t="s">
        <v>36</v>
      </c>
      <c r="U314" t="s">
        <v>36</v>
      </c>
      <c r="V314" t="s">
        <v>36</v>
      </c>
      <c r="W314">
        <v>4000</v>
      </c>
      <c r="X314" t="s">
        <v>49</v>
      </c>
      <c r="Y314" t="s">
        <v>50</v>
      </c>
      <c r="Z314" t="s">
        <v>51</v>
      </c>
      <c r="AA314" t="s">
        <v>37</v>
      </c>
      <c r="AB314" t="s">
        <v>52</v>
      </c>
      <c r="AC314" t="s">
        <v>53</v>
      </c>
      <c r="AD314" t="s">
        <v>54</v>
      </c>
      <c r="AE314">
        <v>27.3658016143</v>
      </c>
      <c r="AF314">
        <v>3339</v>
      </c>
      <c r="AG314">
        <v>3339.1430262200001</v>
      </c>
      <c r="AH314">
        <v>273662.42432699999</v>
      </c>
      <c r="AI314">
        <v>53</v>
      </c>
      <c r="AJ314">
        <v>110831.014411314</v>
      </c>
      <c r="AK314" s="1">
        <f>intersection_ss_Lden___surface[[#This Row],[surf m2 bout ss]]/intersection_ss_Lden___surface[[#This Row],[Shape_Area]]</f>
        <v>0.40499171445942361</v>
      </c>
      <c r="AL314">
        <v>2889</v>
      </c>
      <c r="AM314">
        <f>intersection_ss_Lden___surface[[#This Row],[Population totale 2024 ss]]*intersection_ss_Lden___surface[[#This Row],[Part de la surface du qs dans le noise contour]]</f>
        <v>1170.0210630732747</v>
      </c>
    </row>
    <row r="315" spans="1:39" x14ac:dyDescent="0.3">
      <c r="A315">
        <v>345</v>
      </c>
      <c r="B315" t="s">
        <v>542</v>
      </c>
      <c r="C315" t="s">
        <v>543</v>
      </c>
      <c r="D315" t="s">
        <v>544</v>
      </c>
      <c r="E315" t="s">
        <v>544</v>
      </c>
      <c r="F315" t="s">
        <v>541</v>
      </c>
      <c r="G315" t="s">
        <v>526</v>
      </c>
      <c r="H315" t="s">
        <v>527</v>
      </c>
      <c r="I315" t="s">
        <v>528</v>
      </c>
      <c r="J315" t="s">
        <v>36</v>
      </c>
      <c r="K315">
        <v>21004</v>
      </c>
      <c r="L315" t="s">
        <v>309</v>
      </c>
      <c r="M315" t="s">
        <v>310</v>
      </c>
      <c r="N315" t="s">
        <v>311</v>
      </c>
      <c r="O315">
        <v>21000</v>
      </c>
      <c r="P315" t="s">
        <v>46</v>
      </c>
      <c r="Q315" t="s">
        <v>47</v>
      </c>
      <c r="R315" t="s">
        <v>48</v>
      </c>
      <c r="T315" t="s">
        <v>36</v>
      </c>
      <c r="U315" t="s">
        <v>36</v>
      </c>
      <c r="V315" t="s">
        <v>36</v>
      </c>
      <c r="W315">
        <v>4000</v>
      </c>
      <c r="X315" t="s">
        <v>49</v>
      </c>
      <c r="Y315" t="s">
        <v>50</v>
      </c>
      <c r="Z315" t="s">
        <v>51</v>
      </c>
      <c r="AA315" t="s">
        <v>37</v>
      </c>
      <c r="AB315" t="s">
        <v>52</v>
      </c>
      <c r="AC315" t="s">
        <v>53</v>
      </c>
      <c r="AD315" t="s">
        <v>54</v>
      </c>
      <c r="AE315">
        <v>27.3658016143</v>
      </c>
      <c r="AF315">
        <v>3339</v>
      </c>
      <c r="AG315">
        <v>3339.1430262200001</v>
      </c>
      <c r="AH315">
        <v>273662.42432699999</v>
      </c>
      <c r="AI315">
        <v>54</v>
      </c>
      <c r="AJ315">
        <v>120859.029248545</v>
      </c>
      <c r="AK315" s="1">
        <f>intersection_ss_Lden___surface[[#This Row],[surf m2 bout ss]]/intersection_ss_Lden___surface[[#This Row],[Shape_Area]]</f>
        <v>0.4416354548702317</v>
      </c>
      <c r="AL315">
        <v>2889</v>
      </c>
      <c r="AM315">
        <f>intersection_ss_Lden___surface[[#This Row],[Population totale 2024 ss]]*intersection_ss_Lden___surface[[#This Row],[Part de la surface du qs dans le noise contour]]</f>
        <v>1275.8848291200993</v>
      </c>
    </row>
    <row r="316" spans="1:39" x14ac:dyDescent="0.3">
      <c r="A316">
        <v>346</v>
      </c>
      <c r="B316" t="s">
        <v>542</v>
      </c>
      <c r="C316" t="s">
        <v>543</v>
      </c>
      <c r="D316" t="s">
        <v>544</v>
      </c>
      <c r="E316" t="s">
        <v>544</v>
      </c>
      <c r="F316" t="s">
        <v>541</v>
      </c>
      <c r="G316" t="s">
        <v>526</v>
      </c>
      <c r="H316" t="s">
        <v>527</v>
      </c>
      <c r="I316" t="s">
        <v>528</v>
      </c>
      <c r="J316" t="s">
        <v>36</v>
      </c>
      <c r="K316">
        <v>21004</v>
      </c>
      <c r="L316" t="s">
        <v>309</v>
      </c>
      <c r="M316" t="s">
        <v>310</v>
      </c>
      <c r="N316" t="s">
        <v>311</v>
      </c>
      <c r="O316">
        <v>21000</v>
      </c>
      <c r="P316" t="s">
        <v>46</v>
      </c>
      <c r="Q316" t="s">
        <v>47</v>
      </c>
      <c r="R316" t="s">
        <v>48</v>
      </c>
      <c r="T316" t="s">
        <v>36</v>
      </c>
      <c r="U316" t="s">
        <v>36</v>
      </c>
      <c r="V316" t="s">
        <v>36</v>
      </c>
      <c r="W316">
        <v>4000</v>
      </c>
      <c r="X316" t="s">
        <v>49</v>
      </c>
      <c r="Y316" t="s">
        <v>50</v>
      </c>
      <c r="Z316" t="s">
        <v>51</v>
      </c>
      <c r="AA316" t="s">
        <v>37</v>
      </c>
      <c r="AB316" t="s">
        <v>52</v>
      </c>
      <c r="AC316" t="s">
        <v>53</v>
      </c>
      <c r="AD316" t="s">
        <v>54</v>
      </c>
      <c r="AE316">
        <v>27.3658016143</v>
      </c>
      <c r="AF316">
        <v>3339</v>
      </c>
      <c r="AG316">
        <v>3339.1430262200001</v>
      </c>
      <c r="AH316">
        <v>273662.42432699999</v>
      </c>
      <c r="AI316">
        <v>55</v>
      </c>
      <c r="AJ316">
        <v>41996.561524976903</v>
      </c>
      <c r="AK316" s="1">
        <f>intersection_ss_Lden___surface[[#This Row],[surf m2 bout ss]]/intersection_ss_Lden___surface[[#This Row],[Shape_Area]]</f>
        <v>0.15346119083851678</v>
      </c>
      <c r="AL316">
        <v>2889</v>
      </c>
      <c r="AM316">
        <f>intersection_ss_Lden___surface[[#This Row],[Population totale 2024 ss]]*intersection_ss_Lden___surface[[#This Row],[Part de la surface du qs dans le noise contour]]</f>
        <v>443.34938033247499</v>
      </c>
    </row>
    <row r="317" spans="1:39" x14ac:dyDescent="0.3">
      <c r="A317">
        <v>347</v>
      </c>
      <c r="B317" t="s">
        <v>545</v>
      </c>
      <c r="C317" t="s">
        <v>546</v>
      </c>
      <c r="D317" t="s">
        <v>547</v>
      </c>
      <c r="E317" t="s">
        <v>547</v>
      </c>
      <c r="F317" t="s">
        <v>541</v>
      </c>
      <c r="G317" t="s">
        <v>526</v>
      </c>
      <c r="H317" t="s">
        <v>527</v>
      </c>
      <c r="I317" t="s">
        <v>528</v>
      </c>
      <c r="J317" t="s">
        <v>36</v>
      </c>
      <c r="K317">
        <v>21004</v>
      </c>
      <c r="L317" t="s">
        <v>309</v>
      </c>
      <c r="M317" t="s">
        <v>310</v>
      </c>
      <c r="N317" t="s">
        <v>311</v>
      </c>
      <c r="O317">
        <v>21000</v>
      </c>
      <c r="P317" t="s">
        <v>46</v>
      </c>
      <c r="Q317" t="s">
        <v>47</v>
      </c>
      <c r="R317" t="s">
        <v>48</v>
      </c>
      <c r="T317" t="s">
        <v>36</v>
      </c>
      <c r="U317" t="s">
        <v>36</v>
      </c>
      <c r="V317" t="s">
        <v>36</v>
      </c>
      <c r="W317">
        <v>4000</v>
      </c>
      <c r="X317" t="s">
        <v>49</v>
      </c>
      <c r="Y317" t="s">
        <v>50</v>
      </c>
      <c r="Z317" t="s">
        <v>51</v>
      </c>
      <c r="AA317" t="s">
        <v>37</v>
      </c>
      <c r="AB317" t="s">
        <v>52</v>
      </c>
      <c r="AC317" t="s">
        <v>53</v>
      </c>
      <c r="AD317" t="s">
        <v>54</v>
      </c>
      <c r="AE317">
        <v>32.753964714799999</v>
      </c>
      <c r="AF317">
        <v>2571</v>
      </c>
      <c r="AG317">
        <v>2571.1325381000001</v>
      </c>
      <c r="AH317">
        <v>327544.93398999999</v>
      </c>
      <c r="AI317">
        <v>52</v>
      </c>
      <c r="AJ317">
        <v>86181.538276788793</v>
      </c>
      <c r="AK317" s="1">
        <f>intersection_ss_Lden___surface[[#This Row],[surf m2 bout ss]]/intersection_ss_Lden___surface[[#This Row],[Shape_Area]]</f>
        <v>0.26311363521018444</v>
      </c>
      <c r="AL317">
        <v>3217</v>
      </c>
      <c r="AM317">
        <f>intersection_ss_Lden___surface[[#This Row],[Population totale 2024 ss]]*intersection_ss_Lden___surface[[#This Row],[Part de la surface du qs dans le noise contour]]</f>
        <v>846.43656447116336</v>
      </c>
    </row>
    <row r="318" spans="1:39" x14ac:dyDescent="0.3">
      <c r="A318">
        <v>348</v>
      </c>
      <c r="B318" t="s">
        <v>545</v>
      </c>
      <c r="C318" t="s">
        <v>546</v>
      </c>
      <c r="D318" t="s">
        <v>547</v>
      </c>
      <c r="E318" t="s">
        <v>547</v>
      </c>
      <c r="F318" t="s">
        <v>541</v>
      </c>
      <c r="G318" t="s">
        <v>526</v>
      </c>
      <c r="H318" t="s">
        <v>527</v>
      </c>
      <c r="I318" t="s">
        <v>528</v>
      </c>
      <c r="J318" t="s">
        <v>36</v>
      </c>
      <c r="K318">
        <v>21004</v>
      </c>
      <c r="L318" t="s">
        <v>309</v>
      </c>
      <c r="M318" t="s">
        <v>310</v>
      </c>
      <c r="N318" t="s">
        <v>311</v>
      </c>
      <c r="O318">
        <v>21000</v>
      </c>
      <c r="P318" t="s">
        <v>46</v>
      </c>
      <c r="Q318" t="s">
        <v>47</v>
      </c>
      <c r="R318" t="s">
        <v>48</v>
      </c>
      <c r="T318" t="s">
        <v>36</v>
      </c>
      <c r="U318" t="s">
        <v>36</v>
      </c>
      <c r="V318" t="s">
        <v>36</v>
      </c>
      <c r="W318">
        <v>4000</v>
      </c>
      <c r="X318" t="s">
        <v>49</v>
      </c>
      <c r="Y318" t="s">
        <v>50</v>
      </c>
      <c r="Z318" t="s">
        <v>51</v>
      </c>
      <c r="AA318" t="s">
        <v>37</v>
      </c>
      <c r="AB318" t="s">
        <v>52</v>
      </c>
      <c r="AC318" t="s">
        <v>53</v>
      </c>
      <c r="AD318" t="s">
        <v>54</v>
      </c>
      <c r="AE318">
        <v>32.753964714799999</v>
      </c>
      <c r="AF318">
        <v>2571</v>
      </c>
      <c r="AG318">
        <v>2571.1325381000001</v>
      </c>
      <c r="AH318">
        <v>327544.93398999999</v>
      </c>
      <c r="AI318">
        <v>53</v>
      </c>
      <c r="AJ318">
        <v>241392.259193153</v>
      </c>
      <c r="AK318" s="1">
        <f>intersection_ss_Lden___surface[[#This Row],[surf m2 bout ss]]/intersection_ss_Lden___surface[[#This Row],[Shape_Area]]</f>
        <v>0.73697448546257394</v>
      </c>
      <c r="AL318">
        <v>3217</v>
      </c>
      <c r="AM318">
        <f>intersection_ss_Lden___surface[[#This Row],[Population totale 2024 ss]]*intersection_ss_Lden___surface[[#This Row],[Part de la surface du qs dans le noise contour]]</f>
        <v>2370.8469197331005</v>
      </c>
    </row>
    <row r="319" spans="1:39" x14ac:dyDescent="0.3">
      <c r="A319">
        <v>349</v>
      </c>
      <c r="B319" t="s">
        <v>548</v>
      </c>
      <c r="C319" t="s">
        <v>549</v>
      </c>
      <c r="D319" t="s">
        <v>550</v>
      </c>
      <c r="E319" t="s">
        <v>550</v>
      </c>
      <c r="F319" t="s">
        <v>541</v>
      </c>
      <c r="G319" t="s">
        <v>526</v>
      </c>
      <c r="H319" t="s">
        <v>527</v>
      </c>
      <c r="I319" t="s">
        <v>528</v>
      </c>
      <c r="J319" t="s">
        <v>36</v>
      </c>
      <c r="K319">
        <v>21004</v>
      </c>
      <c r="L319" t="s">
        <v>309</v>
      </c>
      <c r="M319" t="s">
        <v>310</v>
      </c>
      <c r="N319" t="s">
        <v>311</v>
      </c>
      <c r="O319">
        <v>21000</v>
      </c>
      <c r="P319" t="s">
        <v>46</v>
      </c>
      <c r="Q319" t="s">
        <v>47</v>
      </c>
      <c r="R319" t="s">
        <v>48</v>
      </c>
      <c r="T319" t="s">
        <v>36</v>
      </c>
      <c r="U319" t="s">
        <v>36</v>
      </c>
      <c r="V319" t="s">
        <v>36</v>
      </c>
      <c r="W319">
        <v>4000</v>
      </c>
      <c r="X319" t="s">
        <v>49</v>
      </c>
      <c r="Y319" t="s">
        <v>50</v>
      </c>
      <c r="Z319" t="s">
        <v>51</v>
      </c>
      <c r="AA319" t="s">
        <v>37</v>
      </c>
      <c r="AB319" t="s">
        <v>52</v>
      </c>
      <c r="AC319" t="s">
        <v>53</v>
      </c>
      <c r="AD319" t="s">
        <v>54</v>
      </c>
      <c r="AE319">
        <v>9.3196796301300004</v>
      </c>
      <c r="AF319">
        <v>1251</v>
      </c>
      <c r="AG319">
        <v>1251.0944707900001</v>
      </c>
      <c r="AH319">
        <v>93198.291695699998</v>
      </c>
      <c r="AI319">
        <v>52</v>
      </c>
      <c r="AJ319">
        <v>20123.182718003602</v>
      </c>
      <c r="AK319" s="1">
        <f>intersection_ss_Lden___surface[[#This Row],[surf m2 bout ss]]/intersection_ss_Lden___surface[[#This Row],[Shape_Area]]</f>
        <v>0.21591793531696299</v>
      </c>
      <c r="AL319">
        <v>1929</v>
      </c>
      <c r="AM319">
        <f>intersection_ss_Lden___surface[[#This Row],[Population totale 2024 ss]]*intersection_ss_Lden___surface[[#This Row],[Part de la surface du qs dans le noise contour]]</f>
        <v>416.5056972264216</v>
      </c>
    </row>
    <row r="320" spans="1:39" x14ac:dyDescent="0.3">
      <c r="A320">
        <v>350</v>
      </c>
      <c r="B320" t="s">
        <v>548</v>
      </c>
      <c r="C320" t="s">
        <v>549</v>
      </c>
      <c r="D320" t="s">
        <v>550</v>
      </c>
      <c r="E320" t="s">
        <v>550</v>
      </c>
      <c r="F320" t="s">
        <v>541</v>
      </c>
      <c r="G320" t="s">
        <v>526</v>
      </c>
      <c r="H320" t="s">
        <v>527</v>
      </c>
      <c r="I320" t="s">
        <v>528</v>
      </c>
      <c r="J320" t="s">
        <v>36</v>
      </c>
      <c r="K320">
        <v>21004</v>
      </c>
      <c r="L320" t="s">
        <v>309</v>
      </c>
      <c r="M320" t="s">
        <v>310</v>
      </c>
      <c r="N320" t="s">
        <v>311</v>
      </c>
      <c r="O320">
        <v>21000</v>
      </c>
      <c r="P320" t="s">
        <v>46</v>
      </c>
      <c r="Q320" t="s">
        <v>47</v>
      </c>
      <c r="R320" t="s">
        <v>48</v>
      </c>
      <c r="T320" t="s">
        <v>36</v>
      </c>
      <c r="U320" t="s">
        <v>36</v>
      </c>
      <c r="V320" t="s">
        <v>36</v>
      </c>
      <c r="W320">
        <v>4000</v>
      </c>
      <c r="X320" t="s">
        <v>49</v>
      </c>
      <c r="Y320" t="s">
        <v>50</v>
      </c>
      <c r="Z320" t="s">
        <v>51</v>
      </c>
      <c r="AA320" t="s">
        <v>37</v>
      </c>
      <c r="AB320" t="s">
        <v>52</v>
      </c>
      <c r="AC320" t="s">
        <v>53</v>
      </c>
      <c r="AD320" t="s">
        <v>54</v>
      </c>
      <c r="AE320">
        <v>9.3196796301300004</v>
      </c>
      <c r="AF320">
        <v>1251</v>
      </c>
      <c r="AG320">
        <v>1251.0944707900001</v>
      </c>
      <c r="AH320">
        <v>93198.291695699998</v>
      </c>
      <c r="AI320">
        <v>53</v>
      </c>
      <c r="AJ320">
        <v>73083.248450015206</v>
      </c>
      <c r="AK320" s="1">
        <f>intersection_ss_Lden___surface[[#This Row],[surf m2 bout ss]]/intersection_ss_Lden___surface[[#This Row],[Shape_Area]]</f>
        <v>0.78416939967781762</v>
      </c>
      <c r="AL320">
        <v>1929</v>
      </c>
      <c r="AM320">
        <f>intersection_ss_Lden___surface[[#This Row],[Population totale 2024 ss]]*intersection_ss_Lden___surface[[#This Row],[Part de la surface du qs dans le noise contour]]</f>
        <v>1512.6627719785101</v>
      </c>
    </row>
    <row r="321" spans="1:39" x14ac:dyDescent="0.3">
      <c r="A321">
        <v>351</v>
      </c>
      <c r="B321" t="s">
        <v>551</v>
      </c>
      <c r="C321" t="s">
        <v>552</v>
      </c>
      <c r="D321" t="s">
        <v>553</v>
      </c>
      <c r="E321" t="s">
        <v>553</v>
      </c>
      <c r="F321" t="s">
        <v>541</v>
      </c>
      <c r="G321" t="s">
        <v>526</v>
      </c>
      <c r="H321" t="s">
        <v>527</v>
      </c>
      <c r="I321" t="s">
        <v>528</v>
      </c>
      <c r="J321" t="s">
        <v>36</v>
      </c>
      <c r="K321">
        <v>21004</v>
      </c>
      <c r="L321" t="s">
        <v>309</v>
      </c>
      <c r="M321" t="s">
        <v>310</v>
      </c>
      <c r="N321" t="s">
        <v>311</v>
      </c>
      <c r="O321">
        <v>21000</v>
      </c>
      <c r="P321" t="s">
        <v>46</v>
      </c>
      <c r="Q321" t="s">
        <v>47</v>
      </c>
      <c r="R321" t="s">
        <v>48</v>
      </c>
      <c r="T321" t="s">
        <v>36</v>
      </c>
      <c r="U321" t="s">
        <v>36</v>
      </c>
      <c r="V321" t="s">
        <v>36</v>
      </c>
      <c r="W321">
        <v>4000</v>
      </c>
      <c r="X321" t="s">
        <v>49</v>
      </c>
      <c r="Y321" t="s">
        <v>50</v>
      </c>
      <c r="Z321" t="s">
        <v>51</v>
      </c>
      <c r="AA321" t="s">
        <v>37</v>
      </c>
      <c r="AB321" t="s">
        <v>52</v>
      </c>
      <c r="AC321" t="s">
        <v>53</v>
      </c>
      <c r="AD321" t="s">
        <v>54</v>
      </c>
      <c r="AE321">
        <v>19.444461178899999</v>
      </c>
      <c r="AF321">
        <v>2502</v>
      </c>
      <c r="AG321">
        <v>2501.9184823000001</v>
      </c>
      <c r="AH321">
        <v>194447.75521500001</v>
      </c>
      <c r="AI321">
        <v>53</v>
      </c>
      <c r="AJ321">
        <v>14142.7549633812</v>
      </c>
      <c r="AK321" s="1">
        <f>intersection_ss_Lden___surface[[#This Row],[surf m2 bout ss]]/intersection_ss_Lden___surface[[#This Row],[Shape_Area]]</f>
        <v>7.2732929972596588E-2</v>
      </c>
      <c r="AL321">
        <v>785</v>
      </c>
      <c r="AM321">
        <f>intersection_ss_Lden___surface[[#This Row],[Population totale 2024 ss]]*intersection_ss_Lden___surface[[#This Row],[Part de la surface du qs dans le noise contour]]</f>
        <v>57.095350028488319</v>
      </c>
    </row>
    <row r="322" spans="1:39" x14ac:dyDescent="0.3">
      <c r="A322">
        <v>352</v>
      </c>
      <c r="B322" t="s">
        <v>551</v>
      </c>
      <c r="C322" t="s">
        <v>552</v>
      </c>
      <c r="D322" t="s">
        <v>553</v>
      </c>
      <c r="E322" t="s">
        <v>553</v>
      </c>
      <c r="F322" t="s">
        <v>541</v>
      </c>
      <c r="G322" t="s">
        <v>526</v>
      </c>
      <c r="H322" t="s">
        <v>527</v>
      </c>
      <c r="I322" t="s">
        <v>528</v>
      </c>
      <c r="J322" t="s">
        <v>36</v>
      </c>
      <c r="K322">
        <v>21004</v>
      </c>
      <c r="L322" t="s">
        <v>309</v>
      </c>
      <c r="M322" t="s">
        <v>310</v>
      </c>
      <c r="N322" t="s">
        <v>311</v>
      </c>
      <c r="O322">
        <v>21000</v>
      </c>
      <c r="P322" t="s">
        <v>46</v>
      </c>
      <c r="Q322" t="s">
        <v>47</v>
      </c>
      <c r="R322" t="s">
        <v>48</v>
      </c>
      <c r="T322" t="s">
        <v>36</v>
      </c>
      <c r="U322" t="s">
        <v>36</v>
      </c>
      <c r="V322" t="s">
        <v>36</v>
      </c>
      <c r="W322">
        <v>4000</v>
      </c>
      <c r="X322" t="s">
        <v>49</v>
      </c>
      <c r="Y322" t="s">
        <v>50</v>
      </c>
      <c r="Z322" t="s">
        <v>51</v>
      </c>
      <c r="AA322" t="s">
        <v>37</v>
      </c>
      <c r="AB322" t="s">
        <v>52</v>
      </c>
      <c r="AC322" t="s">
        <v>53</v>
      </c>
      <c r="AD322" t="s">
        <v>54</v>
      </c>
      <c r="AE322">
        <v>19.444461178899999</v>
      </c>
      <c r="AF322">
        <v>2502</v>
      </c>
      <c r="AG322">
        <v>2501.9184823000001</v>
      </c>
      <c r="AH322">
        <v>194447.75521500001</v>
      </c>
      <c r="AI322">
        <v>54</v>
      </c>
      <c r="AJ322">
        <v>83087.780514140206</v>
      </c>
      <c r="AK322" s="1">
        <f>intersection_ss_Lden___surface[[#This Row],[surf m2 bout ss]]/intersection_ss_Lden___surface[[#This Row],[Shape_Area]]</f>
        <v>0.42730130991880272</v>
      </c>
      <c r="AL322">
        <v>785</v>
      </c>
      <c r="AM322">
        <f>intersection_ss_Lden___surface[[#This Row],[Population totale 2024 ss]]*intersection_ss_Lden___surface[[#This Row],[Part de la surface du qs dans le noise contour]]</f>
        <v>335.43152828626012</v>
      </c>
    </row>
    <row r="323" spans="1:39" x14ac:dyDescent="0.3">
      <c r="A323">
        <v>353</v>
      </c>
      <c r="B323" t="s">
        <v>551</v>
      </c>
      <c r="C323" t="s">
        <v>552</v>
      </c>
      <c r="D323" t="s">
        <v>553</v>
      </c>
      <c r="E323" t="s">
        <v>553</v>
      </c>
      <c r="F323" t="s">
        <v>541</v>
      </c>
      <c r="G323" t="s">
        <v>526</v>
      </c>
      <c r="H323" t="s">
        <v>527</v>
      </c>
      <c r="I323" t="s">
        <v>528</v>
      </c>
      <c r="J323" t="s">
        <v>36</v>
      </c>
      <c r="K323">
        <v>21004</v>
      </c>
      <c r="L323" t="s">
        <v>309</v>
      </c>
      <c r="M323" t="s">
        <v>310</v>
      </c>
      <c r="N323" t="s">
        <v>311</v>
      </c>
      <c r="O323">
        <v>21000</v>
      </c>
      <c r="P323" t="s">
        <v>46</v>
      </c>
      <c r="Q323" t="s">
        <v>47</v>
      </c>
      <c r="R323" t="s">
        <v>48</v>
      </c>
      <c r="T323" t="s">
        <v>36</v>
      </c>
      <c r="U323" t="s">
        <v>36</v>
      </c>
      <c r="V323" t="s">
        <v>36</v>
      </c>
      <c r="W323">
        <v>4000</v>
      </c>
      <c r="X323" t="s">
        <v>49</v>
      </c>
      <c r="Y323" t="s">
        <v>50</v>
      </c>
      <c r="Z323" t="s">
        <v>51</v>
      </c>
      <c r="AA323" t="s">
        <v>37</v>
      </c>
      <c r="AB323" t="s">
        <v>52</v>
      </c>
      <c r="AC323" t="s">
        <v>53</v>
      </c>
      <c r="AD323" t="s">
        <v>54</v>
      </c>
      <c r="AE323">
        <v>19.444461178899999</v>
      </c>
      <c r="AF323">
        <v>2502</v>
      </c>
      <c r="AG323">
        <v>2501.9184823000001</v>
      </c>
      <c r="AH323">
        <v>194447.75521500001</v>
      </c>
      <c r="AI323">
        <v>55</v>
      </c>
      <c r="AJ323">
        <v>71951.380802219297</v>
      </c>
      <c r="AK323" s="1">
        <f>intersection_ss_Lden___surface[[#This Row],[surf m2 bout ss]]/intersection_ss_Lden___surface[[#This Row],[Shape_Area]]</f>
        <v>0.37002937227361138</v>
      </c>
      <c r="AL323">
        <v>785</v>
      </c>
      <c r="AM323">
        <f>intersection_ss_Lden___surface[[#This Row],[Population totale 2024 ss]]*intersection_ss_Lden___surface[[#This Row],[Part de la surface du qs dans le noise contour]]</f>
        <v>290.47305723478496</v>
      </c>
    </row>
    <row r="324" spans="1:39" x14ac:dyDescent="0.3">
      <c r="A324">
        <v>354</v>
      </c>
      <c r="B324" t="s">
        <v>551</v>
      </c>
      <c r="C324" t="s">
        <v>552</v>
      </c>
      <c r="D324" t="s">
        <v>553</v>
      </c>
      <c r="E324" t="s">
        <v>553</v>
      </c>
      <c r="F324" t="s">
        <v>541</v>
      </c>
      <c r="G324" t="s">
        <v>526</v>
      </c>
      <c r="H324" t="s">
        <v>527</v>
      </c>
      <c r="I324" t="s">
        <v>528</v>
      </c>
      <c r="J324" t="s">
        <v>36</v>
      </c>
      <c r="K324">
        <v>21004</v>
      </c>
      <c r="L324" t="s">
        <v>309</v>
      </c>
      <c r="M324" t="s">
        <v>310</v>
      </c>
      <c r="N324" t="s">
        <v>311</v>
      </c>
      <c r="O324">
        <v>21000</v>
      </c>
      <c r="P324" t="s">
        <v>46</v>
      </c>
      <c r="Q324" t="s">
        <v>47</v>
      </c>
      <c r="R324" t="s">
        <v>48</v>
      </c>
      <c r="T324" t="s">
        <v>36</v>
      </c>
      <c r="U324" t="s">
        <v>36</v>
      </c>
      <c r="V324" t="s">
        <v>36</v>
      </c>
      <c r="W324">
        <v>4000</v>
      </c>
      <c r="X324" t="s">
        <v>49</v>
      </c>
      <c r="Y324" t="s">
        <v>50</v>
      </c>
      <c r="Z324" t="s">
        <v>51</v>
      </c>
      <c r="AA324" t="s">
        <v>37</v>
      </c>
      <c r="AB324" t="s">
        <v>52</v>
      </c>
      <c r="AC324" t="s">
        <v>53</v>
      </c>
      <c r="AD324" t="s">
        <v>54</v>
      </c>
      <c r="AE324">
        <v>19.444461178899999</v>
      </c>
      <c r="AF324">
        <v>2502</v>
      </c>
      <c r="AG324">
        <v>2501.9184823000001</v>
      </c>
      <c r="AH324">
        <v>194447.75521500001</v>
      </c>
      <c r="AI324">
        <v>56</v>
      </c>
      <c r="AJ324">
        <v>25282.6591603421</v>
      </c>
      <c r="AK324" s="1">
        <f>intersection_ss_Lden___surface[[#This Row],[surf m2 bout ss]]/intersection_ss_Lden___surface[[#This Row],[Shape_Area]]</f>
        <v>0.13002289037683762</v>
      </c>
      <c r="AL324">
        <v>785</v>
      </c>
      <c r="AM324">
        <f>intersection_ss_Lden___surface[[#This Row],[Population totale 2024 ss]]*intersection_ss_Lden___surface[[#This Row],[Part de la surface du qs dans le noise contour]]</f>
        <v>102.06796894581753</v>
      </c>
    </row>
    <row r="325" spans="1:39" x14ac:dyDescent="0.3">
      <c r="A325">
        <v>355</v>
      </c>
      <c r="B325" t="s">
        <v>554</v>
      </c>
      <c r="C325" t="s">
        <v>555</v>
      </c>
      <c r="D325" t="s">
        <v>556</v>
      </c>
      <c r="E325" t="s">
        <v>556</v>
      </c>
      <c r="F325" t="s">
        <v>541</v>
      </c>
      <c r="G325" t="s">
        <v>526</v>
      </c>
      <c r="H325" t="s">
        <v>527</v>
      </c>
      <c r="I325" t="s">
        <v>528</v>
      </c>
      <c r="J325" t="s">
        <v>36</v>
      </c>
      <c r="K325">
        <v>21004</v>
      </c>
      <c r="L325" t="s">
        <v>309</v>
      </c>
      <c r="M325" t="s">
        <v>310</v>
      </c>
      <c r="N325" t="s">
        <v>311</v>
      </c>
      <c r="O325">
        <v>21000</v>
      </c>
      <c r="P325" t="s">
        <v>46</v>
      </c>
      <c r="Q325" t="s">
        <v>47</v>
      </c>
      <c r="R325" t="s">
        <v>48</v>
      </c>
      <c r="T325" t="s">
        <v>36</v>
      </c>
      <c r="U325" t="s">
        <v>36</v>
      </c>
      <c r="V325" t="s">
        <v>36</v>
      </c>
      <c r="W325">
        <v>4000</v>
      </c>
      <c r="X325" t="s">
        <v>49</v>
      </c>
      <c r="Y325" t="s">
        <v>50</v>
      </c>
      <c r="Z325" t="s">
        <v>51</v>
      </c>
      <c r="AA325" t="s">
        <v>37</v>
      </c>
      <c r="AB325" t="s">
        <v>52</v>
      </c>
      <c r="AC325" t="s">
        <v>53</v>
      </c>
      <c r="AD325" t="s">
        <v>54</v>
      </c>
      <c r="AE325">
        <v>29.942173837599999</v>
      </c>
      <c r="AF325">
        <v>3214</v>
      </c>
      <c r="AG325">
        <v>3213.57327485</v>
      </c>
      <c r="AH325">
        <v>299426.524003</v>
      </c>
      <c r="AI325">
        <v>55</v>
      </c>
      <c r="AJ325">
        <v>142758.69094047099</v>
      </c>
      <c r="AK325" s="1">
        <f>intersection_ss_Lden___surface[[#This Row],[surf m2 bout ss]]/intersection_ss_Lden___surface[[#This Row],[Shape_Area]]</f>
        <v>0.47677369737305125</v>
      </c>
      <c r="AL325">
        <v>2198</v>
      </c>
      <c r="AM325">
        <f>intersection_ss_Lden___surface[[#This Row],[Population totale 2024 ss]]*intersection_ss_Lden___surface[[#This Row],[Part de la surface du qs dans le noise contour]]</f>
        <v>1047.9485868259667</v>
      </c>
    </row>
    <row r="326" spans="1:39" x14ac:dyDescent="0.3">
      <c r="A326">
        <v>356</v>
      </c>
      <c r="B326" t="s">
        <v>554</v>
      </c>
      <c r="C326" t="s">
        <v>555</v>
      </c>
      <c r="D326" t="s">
        <v>556</v>
      </c>
      <c r="E326" t="s">
        <v>556</v>
      </c>
      <c r="F326" t="s">
        <v>541</v>
      </c>
      <c r="G326" t="s">
        <v>526</v>
      </c>
      <c r="H326" t="s">
        <v>527</v>
      </c>
      <c r="I326" t="s">
        <v>528</v>
      </c>
      <c r="J326" t="s">
        <v>36</v>
      </c>
      <c r="K326">
        <v>21004</v>
      </c>
      <c r="L326" t="s">
        <v>309</v>
      </c>
      <c r="M326" t="s">
        <v>310</v>
      </c>
      <c r="N326" t="s">
        <v>311</v>
      </c>
      <c r="O326">
        <v>21000</v>
      </c>
      <c r="P326" t="s">
        <v>46</v>
      </c>
      <c r="Q326" t="s">
        <v>47</v>
      </c>
      <c r="R326" t="s">
        <v>48</v>
      </c>
      <c r="T326" t="s">
        <v>36</v>
      </c>
      <c r="U326" t="s">
        <v>36</v>
      </c>
      <c r="V326" t="s">
        <v>36</v>
      </c>
      <c r="W326">
        <v>4000</v>
      </c>
      <c r="X326" t="s">
        <v>49</v>
      </c>
      <c r="Y326" t="s">
        <v>50</v>
      </c>
      <c r="Z326" t="s">
        <v>51</v>
      </c>
      <c r="AA326" t="s">
        <v>37</v>
      </c>
      <c r="AB326" t="s">
        <v>52</v>
      </c>
      <c r="AC326" t="s">
        <v>53</v>
      </c>
      <c r="AD326" t="s">
        <v>54</v>
      </c>
      <c r="AE326">
        <v>29.942173837599999</v>
      </c>
      <c r="AF326">
        <v>3214</v>
      </c>
      <c r="AG326">
        <v>3213.57327485</v>
      </c>
      <c r="AH326">
        <v>299426.524003</v>
      </c>
      <c r="AI326">
        <v>56</v>
      </c>
      <c r="AJ326">
        <v>139315.84621334699</v>
      </c>
      <c r="AK326" s="1">
        <f>intersection_ss_Lden___surface[[#This Row],[surf m2 bout ss]]/intersection_ss_Lden___surface[[#This Row],[Shape_Area]]</f>
        <v>0.4652755686131238</v>
      </c>
      <c r="AL326">
        <v>2198</v>
      </c>
      <c r="AM326">
        <f>intersection_ss_Lden___surface[[#This Row],[Population totale 2024 ss]]*intersection_ss_Lden___surface[[#This Row],[Part de la surface du qs dans le noise contour]]</f>
        <v>1022.6756998116462</v>
      </c>
    </row>
    <row r="327" spans="1:39" x14ac:dyDescent="0.3">
      <c r="A327">
        <v>357</v>
      </c>
      <c r="B327" t="s">
        <v>554</v>
      </c>
      <c r="C327" t="s">
        <v>555</v>
      </c>
      <c r="D327" t="s">
        <v>556</v>
      </c>
      <c r="E327" t="s">
        <v>556</v>
      </c>
      <c r="F327" t="s">
        <v>541</v>
      </c>
      <c r="G327" t="s">
        <v>526</v>
      </c>
      <c r="H327" t="s">
        <v>527</v>
      </c>
      <c r="I327" t="s">
        <v>528</v>
      </c>
      <c r="J327" t="s">
        <v>36</v>
      </c>
      <c r="K327">
        <v>21004</v>
      </c>
      <c r="L327" t="s">
        <v>309</v>
      </c>
      <c r="M327" t="s">
        <v>310</v>
      </c>
      <c r="N327" t="s">
        <v>311</v>
      </c>
      <c r="O327">
        <v>21000</v>
      </c>
      <c r="P327" t="s">
        <v>46</v>
      </c>
      <c r="Q327" t="s">
        <v>47</v>
      </c>
      <c r="R327" t="s">
        <v>48</v>
      </c>
      <c r="T327" t="s">
        <v>36</v>
      </c>
      <c r="U327" t="s">
        <v>36</v>
      </c>
      <c r="V327" t="s">
        <v>36</v>
      </c>
      <c r="W327">
        <v>4000</v>
      </c>
      <c r="X327" t="s">
        <v>49</v>
      </c>
      <c r="Y327" t="s">
        <v>50</v>
      </c>
      <c r="Z327" t="s">
        <v>51</v>
      </c>
      <c r="AA327" t="s">
        <v>37</v>
      </c>
      <c r="AB327" t="s">
        <v>52</v>
      </c>
      <c r="AC327" t="s">
        <v>53</v>
      </c>
      <c r="AD327" t="s">
        <v>54</v>
      </c>
      <c r="AE327">
        <v>29.942173837599999</v>
      </c>
      <c r="AF327">
        <v>3214</v>
      </c>
      <c r="AG327">
        <v>3213.57327485</v>
      </c>
      <c r="AH327">
        <v>299426.524003</v>
      </c>
      <c r="AI327">
        <v>57</v>
      </c>
      <c r="AJ327">
        <v>17378.061382297401</v>
      </c>
      <c r="AK327" s="1">
        <f>intersection_ss_Lden___surface[[#This Row],[surf m2 bout ss]]/intersection_ss_Lden___surface[[#This Row],[Shape_Area]]</f>
        <v>5.8037815588185125E-2</v>
      </c>
      <c r="AL327">
        <v>2198</v>
      </c>
      <c r="AM327">
        <f>intersection_ss_Lden___surface[[#This Row],[Population totale 2024 ss]]*intersection_ss_Lden___surface[[#This Row],[Part de la surface du qs dans le noise contour]]</f>
        <v>127.56711866283091</v>
      </c>
    </row>
    <row r="328" spans="1:39" x14ac:dyDescent="0.3">
      <c r="A328">
        <v>358</v>
      </c>
      <c r="B328" t="s">
        <v>557</v>
      </c>
      <c r="C328" t="s">
        <v>558</v>
      </c>
      <c r="D328" t="s">
        <v>559</v>
      </c>
      <c r="E328" t="s">
        <v>559</v>
      </c>
      <c r="F328" t="s">
        <v>541</v>
      </c>
      <c r="G328" t="s">
        <v>526</v>
      </c>
      <c r="H328" t="s">
        <v>527</v>
      </c>
      <c r="I328" t="s">
        <v>528</v>
      </c>
      <c r="J328" t="s">
        <v>36</v>
      </c>
      <c r="K328">
        <v>21004</v>
      </c>
      <c r="L328" t="s">
        <v>309</v>
      </c>
      <c r="M328" t="s">
        <v>310</v>
      </c>
      <c r="N328" t="s">
        <v>311</v>
      </c>
      <c r="O328">
        <v>21000</v>
      </c>
      <c r="P328" t="s">
        <v>46</v>
      </c>
      <c r="Q328" t="s">
        <v>47</v>
      </c>
      <c r="R328" t="s">
        <v>48</v>
      </c>
      <c r="T328" t="s">
        <v>36</v>
      </c>
      <c r="U328" t="s">
        <v>36</v>
      </c>
      <c r="V328" t="s">
        <v>36</v>
      </c>
      <c r="W328">
        <v>4000</v>
      </c>
      <c r="X328" t="s">
        <v>49</v>
      </c>
      <c r="Y328" t="s">
        <v>50</v>
      </c>
      <c r="Z328" t="s">
        <v>51</v>
      </c>
      <c r="AA328" t="s">
        <v>37</v>
      </c>
      <c r="AB328" t="s">
        <v>52</v>
      </c>
      <c r="AC328" t="s">
        <v>53</v>
      </c>
      <c r="AD328" t="s">
        <v>54</v>
      </c>
      <c r="AE328">
        <v>91.218254985900003</v>
      </c>
      <c r="AF328">
        <v>5273</v>
      </c>
      <c r="AG328">
        <v>5272.7864458399999</v>
      </c>
      <c r="AH328">
        <v>912197.23089100001</v>
      </c>
      <c r="AI328">
        <v>56</v>
      </c>
      <c r="AJ328">
        <v>49913.204042957797</v>
      </c>
      <c r="AK328" s="1">
        <f>intersection_ss_Lden___surface[[#This Row],[surf m2 bout ss]]/intersection_ss_Lden___surface[[#This Row],[Shape_Area]]</f>
        <v>5.4717557072832212E-2</v>
      </c>
      <c r="AL328">
        <v>210</v>
      </c>
      <c r="AM328">
        <f>intersection_ss_Lden___surface[[#This Row],[Population totale 2024 ss]]*intersection_ss_Lden___surface[[#This Row],[Part de la surface du qs dans le noise contour]]</f>
        <v>11.490686985294765</v>
      </c>
    </row>
    <row r="329" spans="1:39" x14ac:dyDescent="0.3">
      <c r="A329">
        <v>359</v>
      </c>
      <c r="B329" t="s">
        <v>557</v>
      </c>
      <c r="C329" t="s">
        <v>558</v>
      </c>
      <c r="D329" t="s">
        <v>559</v>
      </c>
      <c r="E329" t="s">
        <v>559</v>
      </c>
      <c r="F329" t="s">
        <v>541</v>
      </c>
      <c r="G329" t="s">
        <v>526</v>
      </c>
      <c r="H329" t="s">
        <v>527</v>
      </c>
      <c r="I329" t="s">
        <v>528</v>
      </c>
      <c r="J329" t="s">
        <v>36</v>
      </c>
      <c r="K329">
        <v>21004</v>
      </c>
      <c r="L329" t="s">
        <v>309</v>
      </c>
      <c r="M329" t="s">
        <v>310</v>
      </c>
      <c r="N329" t="s">
        <v>311</v>
      </c>
      <c r="O329">
        <v>21000</v>
      </c>
      <c r="P329" t="s">
        <v>46</v>
      </c>
      <c r="Q329" t="s">
        <v>47</v>
      </c>
      <c r="R329" t="s">
        <v>48</v>
      </c>
      <c r="T329" t="s">
        <v>36</v>
      </c>
      <c r="U329" t="s">
        <v>36</v>
      </c>
      <c r="V329" t="s">
        <v>36</v>
      </c>
      <c r="W329">
        <v>4000</v>
      </c>
      <c r="X329" t="s">
        <v>49</v>
      </c>
      <c r="Y329" t="s">
        <v>50</v>
      </c>
      <c r="Z329" t="s">
        <v>51</v>
      </c>
      <c r="AA329" t="s">
        <v>37</v>
      </c>
      <c r="AB329" t="s">
        <v>52</v>
      </c>
      <c r="AC329" t="s">
        <v>53</v>
      </c>
      <c r="AD329" t="s">
        <v>54</v>
      </c>
      <c r="AE329">
        <v>91.218254985900003</v>
      </c>
      <c r="AF329">
        <v>5273</v>
      </c>
      <c r="AG329">
        <v>5272.7864458399999</v>
      </c>
      <c r="AH329">
        <v>912197.23089100001</v>
      </c>
      <c r="AI329">
        <v>57</v>
      </c>
      <c r="AJ329">
        <v>293533.84395507001</v>
      </c>
      <c r="AK329" s="1">
        <f>intersection_ss_Lden___surface[[#This Row],[surf m2 bout ss]]/intersection_ss_Lden___surface[[#This Row],[Shape_Area]]</f>
        <v>0.32178769460674328</v>
      </c>
      <c r="AL329">
        <v>210</v>
      </c>
      <c r="AM329">
        <f>intersection_ss_Lden___surface[[#This Row],[Population totale 2024 ss]]*intersection_ss_Lden___surface[[#This Row],[Part de la surface du qs dans le noise contour]]</f>
        <v>67.575415867416083</v>
      </c>
    </row>
    <row r="330" spans="1:39" x14ac:dyDescent="0.3">
      <c r="A330">
        <v>360</v>
      </c>
      <c r="B330" t="s">
        <v>557</v>
      </c>
      <c r="C330" t="s">
        <v>558</v>
      </c>
      <c r="D330" t="s">
        <v>559</v>
      </c>
      <c r="E330" t="s">
        <v>559</v>
      </c>
      <c r="F330" t="s">
        <v>541</v>
      </c>
      <c r="G330" t="s">
        <v>526</v>
      </c>
      <c r="H330" t="s">
        <v>527</v>
      </c>
      <c r="I330" t="s">
        <v>528</v>
      </c>
      <c r="J330" t="s">
        <v>36</v>
      </c>
      <c r="K330">
        <v>21004</v>
      </c>
      <c r="L330" t="s">
        <v>309</v>
      </c>
      <c r="M330" t="s">
        <v>310</v>
      </c>
      <c r="N330" t="s">
        <v>311</v>
      </c>
      <c r="O330">
        <v>21000</v>
      </c>
      <c r="P330" t="s">
        <v>46</v>
      </c>
      <c r="Q330" t="s">
        <v>47</v>
      </c>
      <c r="R330" t="s">
        <v>48</v>
      </c>
      <c r="T330" t="s">
        <v>36</v>
      </c>
      <c r="U330" t="s">
        <v>36</v>
      </c>
      <c r="V330" t="s">
        <v>36</v>
      </c>
      <c r="W330">
        <v>4000</v>
      </c>
      <c r="X330" t="s">
        <v>49</v>
      </c>
      <c r="Y330" t="s">
        <v>50</v>
      </c>
      <c r="Z330" t="s">
        <v>51</v>
      </c>
      <c r="AA330" t="s">
        <v>37</v>
      </c>
      <c r="AB330" t="s">
        <v>52</v>
      </c>
      <c r="AC330" t="s">
        <v>53</v>
      </c>
      <c r="AD330" t="s">
        <v>54</v>
      </c>
      <c r="AE330">
        <v>91.218254985900003</v>
      </c>
      <c r="AF330">
        <v>5273</v>
      </c>
      <c r="AG330">
        <v>5272.7864458399999</v>
      </c>
      <c r="AH330">
        <v>912197.23089100001</v>
      </c>
      <c r="AI330">
        <v>58</v>
      </c>
      <c r="AJ330">
        <v>567317.70071769797</v>
      </c>
      <c r="AK330" s="1">
        <f>intersection_ss_Lden___surface[[#This Row],[surf m2 bout ss]]/intersection_ss_Lden___surface[[#This Row],[Shape_Area]]</f>
        <v>0.62192438379095205</v>
      </c>
      <c r="AL330">
        <v>210</v>
      </c>
      <c r="AM330">
        <f>intersection_ss_Lden___surface[[#This Row],[Population totale 2024 ss]]*intersection_ss_Lden___surface[[#This Row],[Part de la surface du qs dans le noise contour]]</f>
        <v>130.60412059609993</v>
      </c>
    </row>
    <row r="331" spans="1:39" x14ac:dyDescent="0.3">
      <c r="A331">
        <v>361</v>
      </c>
      <c r="B331" t="s">
        <v>557</v>
      </c>
      <c r="C331" t="s">
        <v>558</v>
      </c>
      <c r="D331" t="s">
        <v>559</v>
      </c>
      <c r="E331" t="s">
        <v>559</v>
      </c>
      <c r="F331" t="s">
        <v>541</v>
      </c>
      <c r="G331" t="s">
        <v>526</v>
      </c>
      <c r="H331" t="s">
        <v>527</v>
      </c>
      <c r="I331" t="s">
        <v>528</v>
      </c>
      <c r="J331" t="s">
        <v>36</v>
      </c>
      <c r="K331">
        <v>21004</v>
      </c>
      <c r="L331" t="s">
        <v>309</v>
      </c>
      <c r="M331" t="s">
        <v>310</v>
      </c>
      <c r="N331" t="s">
        <v>311</v>
      </c>
      <c r="O331">
        <v>21000</v>
      </c>
      <c r="P331" t="s">
        <v>46</v>
      </c>
      <c r="Q331" t="s">
        <v>47</v>
      </c>
      <c r="R331" t="s">
        <v>48</v>
      </c>
      <c r="T331" t="s">
        <v>36</v>
      </c>
      <c r="U331" t="s">
        <v>36</v>
      </c>
      <c r="V331" t="s">
        <v>36</v>
      </c>
      <c r="W331">
        <v>4000</v>
      </c>
      <c r="X331" t="s">
        <v>49</v>
      </c>
      <c r="Y331" t="s">
        <v>50</v>
      </c>
      <c r="Z331" t="s">
        <v>51</v>
      </c>
      <c r="AA331" t="s">
        <v>37</v>
      </c>
      <c r="AB331" t="s">
        <v>52</v>
      </c>
      <c r="AC331" t="s">
        <v>53</v>
      </c>
      <c r="AD331" t="s">
        <v>54</v>
      </c>
      <c r="AE331">
        <v>91.218254985900003</v>
      </c>
      <c r="AF331">
        <v>5273</v>
      </c>
      <c r="AG331">
        <v>5272.7864458399999</v>
      </c>
      <c r="AH331">
        <v>912197.23089100001</v>
      </c>
      <c r="AI331">
        <v>59</v>
      </c>
      <c r="AJ331">
        <v>1510.2748647364799</v>
      </c>
      <c r="AK331" s="1">
        <f>intersection_ss_Lden___surface[[#This Row],[surf m2 bout ss]]/intersection_ss_Lden___surface[[#This Row],[Shape_Area]]</f>
        <v>1.6556450881365866E-3</v>
      </c>
      <c r="AL331">
        <v>210</v>
      </c>
      <c r="AM331">
        <f>intersection_ss_Lden___surface[[#This Row],[Population totale 2024 ss]]*intersection_ss_Lden___surface[[#This Row],[Part de la surface du qs dans le noise contour]]</f>
        <v>0.3476854685086832</v>
      </c>
    </row>
    <row r="332" spans="1:39" x14ac:dyDescent="0.3">
      <c r="A332">
        <v>362</v>
      </c>
      <c r="B332" t="s">
        <v>560</v>
      </c>
      <c r="C332" t="s">
        <v>561</v>
      </c>
      <c r="D332" t="s">
        <v>561</v>
      </c>
      <c r="E332" t="s">
        <v>561</v>
      </c>
      <c r="F332" t="s">
        <v>541</v>
      </c>
      <c r="G332" t="s">
        <v>526</v>
      </c>
      <c r="H332" t="s">
        <v>527</v>
      </c>
      <c r="I332" t="s">
        <v>528</v>
      </c>
      <c r="J332" t="s">
        <v>36</v>
      </c>
      <c r="K332">
        <v>21004</v>
      </c>
      <c r="L332" t="s">
        <v>309</v>
      </c>
      <c r="M332" t="s">
        <v>310</v>
      </c>
      <c r="N332" t="s">
        <v>311</v>
      </c>
      <c r="O332">
        <v>21000</v>
      </c>
      <c r="P332" t="s">
        <v>46</v>
      </c>
      <c r="Q332" t="s">
        <v>47</v>
      </c>
      <c r="R332" t="s">
        <v>48</v>
      </c>
      <c r="T332" t="s">
        <v>36</v>
      </c>
      <c r="U332" t="s">
        <v>36</v>
      </c>
      <c r="V332" t="s">
        <v>36</v>
      </c>
      <c r="W332">
        <v>4000</v>
      </c>
      <c r="X332" t="s">
        <v>49</v>
      </c>
      <c r="Y332" t="s">
        <v>50</v>
      </c>
      <c r="Z332" t="s">
        <v>51</v>
      </c>
      <c r="AA332" t="s">
        <v>37</v>
      </c>
      <c r="AB332" t="s">
        <v>52</v>
      </c>
      <c r="AC332" t="s">
        <v>53</v>
      </c>
      <c r="AD332" t="s">
        <v>54</v>
      </c>
      <c r="AE332">
        <v>31.677810205299998</v>
      </c>
      <c r="AF332">
        <v>2688</v>
      </c>
      <c r="AG332">
        <v>2687.9312363200002</v>
      </c>
      <c r="AH332">
        <v>316783.22590100003</v>
      </c>
      <c r="AI332">
        <v>55</v>
      </c>
      <c r="AJ332">
        <v>41891.8396428954</v>
      </c>
      <c r="AK332" s="1">
        <f>intersection_ss_Lden___surface[[#This Row],[surf m2 bout ss]]/intersection_ss_Lden___surface[[#This Row],[Shape_Area]]</f>
        <v>0.13224134429386514</v>
      </c>
      <c r="AL332">
        <v>99</v>
      </c>
      <c r="AM332">
        <f>intersection_ss_Lden___surface[[#This Row],[Population totale 2024 ss]]*intersection_ss_Lden___surface[[#This Row],[Part de la surface du qs dans le noise contour]]</f>
        <v>13.091893085092648</v>
      </c>
    </row>
    <row r="333" spans="1:39" x14ac:dyDescent="0.3">
      <c r="A333">
        <v>363</v>
      </c>
      <c r="B333" t="s">
        <v>560</v>
      </c>
      <c r="C333" t="s">
        <v>561</v>
      </c>
      <c r="D333" t="s">
        <v>561</v>
      </c>
      <c r="E333" t="s">
        <v>561</v>
      </c>
      <c r="F333" t="s">
        <v>541</v>
      </c>
      <c r="G333" t="s">
        <v>526</v>
      </c>
      <c r="H333" t="s">
        <v>527</v>
      </c>
      <c r="I333" t="s">
        <v>528</v>
      </c>
      <c r="J333" t="s">
        <v>36</v>
      </c>
      <c r="K333">
        <v>21004</v>
      </c>
      <c r="L333" t="s">
        <v>309</v>
      </c>
      <c r="M333" t="s">
        <v>310</v>
      </c>
      <c r="N333" t="s">
        <v>311</v>
      </c>
      <c r="O333">
        <v>21000</v>
      </c>
      <c r="P333" t="s">
        <v>46</v>
      </c>
      <c r="Q333" t="s">
        <v>47</v>
      </c>
      <c r="R333" t="s">
        <v>48</v>
      </c>
      <c r="T333" t="s">
        <v>36</v>
      </c>
      <c r="U333" t="s">
        <v>36</v>
      </c>
      <c r="V333" t="s">
        <v>36</v>
      </c>
      <c r="W333">
        <v>4000</v>
      </c>
      <c r="X333" t="s">
        <v>49</v>
      </c>
      <c r="Y333" t="s">
        <v>50</v>
      </c>
      <c r="Z333" t="s">
        <v>51</v>
      </c>
      <c r="AA333" t="s">
        <v>37</v>
      </c>
      <c r="AB333" t="s">
        <v>52</v>
      </c>
      <c r="AC333" t="s">
        <v>53</v>
      </c>
      <c r="AD333" t="s">
        <v>54</v>
      </c>
      <c r="AE333">
        <v>31.677810205299998</v>
      </c>
      <c r="AF333">
        <v>2688</v>
      </c>
      <c r="AG333">
        <v>2687.9312363200002</v>
      </c>
      <c r="AH333">
        <v>316783.22590100003</v>
      </c>
      <c r="AI333">
        <v>56</v>
      </c>
      <c r="AJ333">
        <v>204317.21689787399</v>
      </c>
      <c r="AK333" s="1">
        <f>intersection_ss_Lden___surface[[#This Row],[surf m2 bout ss]]/intersection_ss_Lden___surface[[#This Row],[Shape_Area]]</f>
        <v>0.64497486038521024</v>
      </c>
      <c r="AL333">
        <v>99</v>
      </c>
      <c r="AM333">
        <f>intersection_ss_Lden___surface[[#This Row],[Population totale 2024 ss]]*intersection_ss_Lden___surface[[#This Row],[Part de la surface du qs dans le noise contour]]</f>
        <v>63.852511178135813</v>
      </c>
    </row>
    <row r="334" spans="1:39" x14ac:dyDescent="0.3">
      <c r="A334">
        <v>364</v>
      </c>
      <c r="B334" t="s">
        <v>560</v>
      </c>
      <c r="C334" t="s">
        <v>561</v>
      </c>
      <c r="D334" t="s">
        <v>561</v>
      </c>
      <c r="E334" t="s">
        <v>561</v>
      </c>
      <c r="F334" t="s">
        <v>541</v>
      </c>
      <c r="G334" t="s">
        <v>526</v>
      </c>
      <c r="H334" t="s">
        <v>527</v>
      </c>
      <c r="I334" t="s">
        <v>528</v>
      </c>
      <c r="J334" t="s">
        <v>36</v>
      </c>
      <c r="K334">
        <v>21004</v>
      </c>
      <c r="L334" t="s">
        <v>309</v>
      </c>
      <c r="M334" t="s">
        <v>310</v>
      </c>
      <c r="N334" t="s">
        <v>311</v>
      </c>
      <c r="O334">
        <v>21000</v>
      </c>
      <c r="P334" t="s">
        <v>46</v>
      </c>
      <c r="Q334" t="s">
        <v>47</v>
      </c>
      <c r="R334" t="s">
        <v>48</v>
      </c>
      <c r="T334" t="s">
        <v>36</v>
      </c>
      <c r="U334" t="s">
        <v>36</v>
      </c>
      <c r="V334" t="s">
        <v>36</v>
      </c>
      <c r="W334">
        <v>4000</v>
      </c>
      <c r="X334" t="s">
        <v>49</v>
      </c>
      <c r="Y334" t="s">
        <v>50</v>
      </c>
      <c r="Z334" t="s">
        <v>51</v>
      </c>
      <c r="AA334" t="s">
        <v>37</v>
      </c>
      <c r="AB334" t="s">
        <v>52</v>
      </c>
      <c r="AC334" t="s">
        <v>53</v>
      </c>
      <c r="AD334" t="s">
        <v>54</v>
      </c>
      <c r="AE334">
        <v>31.677810205299998</v>
      </c>
      <c r="AF334">
        <v>2688</v>
      </c>
      <c r="AG334">
        <v>2687.9312363200002</v>
      </c>
      <c r="AH334">
        <v>316783.22590100003</v>
      </c>
      <c r="AI334">
        <v>57</v>
      </c>
      <c r="AJ334">
        <v>70601.515836060804</v>
      </c>
      <c r="AK334" s="1">
        <f>intersection_ss_Lden___surface[[#This Row],[surf m2 bout ss]]/intersection_ss_Lden___surface[[#This Row],[Shape_Area]]</f>
        <v>0.22287012083816882</v>
      </c>
      <c r="AL334">
        <v>99</v>
      </c>
      <c r="AM334">
        <f>intersection_ss_Lden___surface[[#This Row],[Population totale 2024 ss]]*intersection_ss_Lden___surface[[#This Row],[Part de la surface du qs dans le noise contour]]</f>
        <v>22.064141962978713</v>
      </c>
    </row>
    <row r="335" spans="1:39" x14ac:dyDescent="0.3">
      <c r="A335">
        <v>365</v>
      </c>
      <c r="B335" t="s">
        <v>562</v>
      </c>
      <c r="C335" t="s">
        <v>563</v>
      </c>
      <c r="D335" t="s">
        <v>564</v>
      </c>
      <c r="E335" t="s">
        <v>564</v>
      </c>
      <c r="F335" t="s">
        <v>541</v>
      </c>
      <c r="G335" t="s">
        <v>526</v>
      </c>
      <c r="H335" t="s">
        <v>527</v>
      </c>
      <c r="I335" t="s">
        <v>528</v>
      </c>
      <c r="J335" t="s">
        <v>36</v>
      </c>
      <c r="K335">
        <v>21004</v>
      </c>
      <c r="L335" t="s">
        <v>309</v>
      </c>
      <c r="M335" t="s">
        <v>310</v>
      </c>
      <c r="N335" t="s">
        <v>311</v>
      </c>
      <c r="O335">
        <v>21000</v>
      </c>
      <c r="P335" t="s">
        <v>46</v>
      </c>
      <c r="Q335" t="s">
        <v>47</v>
      </c>
      <c r="R335" t="s">
        <v>48</v>
      </c>
      <c r="T335" t="s">
        <v>36</v>
      </c>
      <c r="U335" t="s">
        <v>36</v>
      </c>
      <c r="V335" t="s">
        <v>36</v>
      </c>
      <c r="W335">
        <v>4000</v>
      </c>
      <c r="X335" t="s">
        <v>49</v>
      </c>
      <c r="Y335" t="s">
        <v>50</v>
      </c>
      <c r="Z335" t="s">
        <v>51</v>
      </c>
      <c r="AA335" t="s">
        <v>37</v>
      </c>
      <c r="AB335" t="s">
        <v>52</v>
      </c>
      <c r="AC335" t="s">
        <v>53</v>
      </c>
      <c r="AD335" t="s">
        <v>54</v>
      </c>
      <c r="AE335">
        <v>114.291058253</v>
      </c>
      <c r="AF335">
        <v>5281</v>
      </c>
      <c r="AG335">
        <v>5280.6047503099999</v>
      </c>
      <c r="AH335">
        <v>1142929.00015</v>
      </c>
      <c r="AI335">
        <v>56</v>
      </c>
      <c r="AJ335">
        <v>177905.59732768999</v>
      </c>
      <c r="AK335" s="1">
        <f>intersection_ss_Lden___surface[[#This Row],[surf m2 bout ss]]/intersection_ss_Lden___surface[[#This Row],[Shape_Area]]</f>
        <v>0.15565761066902786</v>
      </c>
      <c r="AL335">
        <v>1491</v>
      </c>
      <c r="AM335">
        <f>intersection_ss_Lden___surface[[#This Row],[Population totale 2024 ss]]*intersection_ss_Lden___surface[[#This Row],[Part de la surface du qs dans le noise contour]]</f>
        <v>232.08549750752056</v>
      </c>
    </row>
    <row r="336" spans="1:39" x14ac:dyDescent="0.3">
      <c r="A336">
        <v>366</v>
      </c>
      <c r="B336" t="s">
        <v>562</v>
      </c>
      <c r="C336" t="s">
        <v>563</v>
      </c>
      <c r="D336" t="s">
        <v>564</v>
      </c>
      <c r="E336" t="s">
        <v>564</v>
      </c>
      <c r="F336" t="s">
        <v>541</v>
      </c>
      <c r="G336" t="s">
        <v>526</v>
      </c>
      <c r="H336" t="s">
        <v>527</v>
      </c>
      <c r="I336" t="s">
        <v>528</v>
      </c>
      <c r="J336" t="s">
        <v>36</v>
      </c>
      <c r="K336">
        <v>21004</v>
      </c>
      <c r="L336" t="s">
        <v>309</v>
      </c>
      <c r="M336" t="s">
        <v>310</v>
      </c>
      <c r="N336" t="s">
        <v>311</v>
      </c>
      <c r="O336">
        <v>21000</v>
      </c>
      <c r="P336" t="s">
        <v>46</v>
      </c>
      <c r="Q336" t="s">
        <v>47</v>
      </c>
      <c r="R336" t="s">
        <v>48</v>
      </c>
      <c r="T336" t="s">
        <v>36</v>
      </c>
      <c r="U336" t="s">
        <v>36</v>
      </c>
      <c r="V336" t="s">
        <v>36</v>
      </c>
      <c r="W336">
        <v>4000</v>
      </c>
      <c r="X336" t="s">
        <v>49</v>
      </c>
      <c r="Y336" t="s">
        <v>50</v>
      </c>
      <c r="Z336" t="s">
        <v>51</v>
      </c>
      <c r="AA336" t="s">
        <v>37</v>
      </c>
      <c r="AB336" t="s">
        <v>52</v>
      </c>
      <c r="AC336" t="s">
        <v>53</v>
      </c>
      <c r="AD336" t="s">
        <v>54</v>
      </c>
      <c r="AE336">
        <v>114.291058253</v>
      </c>
      <c r="AF336">
        <v>5281</v>
      </c>
      <c r="AG336">
        <v>5280.6047503099999</v>
      </c>
      <c r="AH336">
        <v>1142929.00015</v>
      </c>
      <c r="AI336">
        <v>57</v>
      </c>
      <c r="AJ336">
        <v>845968.25671311305</v>
      </c>
      <c r="AK336" s="1">
        <f>intersection_ss_Lden___surface[[#This Row],[surf m2 bout ss]]/intersection_ss_Lden___surface[[#This Row],[Shape_Area]]</f>
        <v>0.74017568598056982</v>
      </c>
      <c r="AL336">
        <v>1491</v>
      </c>
      <c r="AM336">
        <f>intersection_ss_Lden___surface[[#This Row],[Population totale 2024 ss]]*intersection_ss_Lden___surface[[#This Row],[Part de la surface du qs dans le noise contour]]</f>
        <v>1103.6019477970297</v>
      </c>
    </row>
    <row r="337" spans="1:39" x14ac:dyDescent="0.3">
      <c r="A337">
        <v>367</v>
      </c>
      <c r="B337" t="s">
        <v>562</v>
      </c>
      <c r="C337" t="s">
        <v>563</v>
      </c>
      <c r="D337" t="s">
        <v>564</v>
      </c>
      <c r="E337" t="s">
        <v>564</v>
      </c>
      <c r="F337" t="s">
        <v>541</v>
      </c>
      <c r="G337" t="s">
        <v>526</v>
      </c>
      <c r="H337" t="s">
        <v>527</v>
      </c>
      <c r="I337" t="s">
        <v>528</v>
      </c>
      <c r="J337" t="s">
        <v>36</v>
      </c>
      <c r="K337">
        <v>21004</v>
      </c>
      <c r="L337" t="s">
        <v>309</v>
      </c>
      <c r="M337" t="s">
        <v>310</v>
      </c>
      <c r="N337" t="s">
        <v>311</v>
      </c>
      <c r="O337">
        <v>21000</v>
      </c>
      <c r="P337" t="s">
        <v>46</v>
      </c>
      <c r="Q337" t="s">
        <v>47</v>
      </c>
      <c r="R337" t="s">
        <v>48</v>
      </c>
      <c r="T337" t="s">
        <v>36</v>
      </c>
      <c r="U337" t="s">
        <v>36</v>
      </c>
      <c r="V337" t="s">
        <v>36</v>
      </c>
      <c r="W337">
        <v>4000</v>
      </c>
      <c r="X337" t="s">
        <v>49</v>
      </c>
      <c r="Y337" t="s">
        <v>50</v>
      </c>
      <c r="Z337" t="s">
        <v>51</v>
      </c>
      <c r="AA337" t="s">
        <v>37</v>
      </c>
      <c r="AB337" t="s">
        <v>52</v>
      </c>
      <c r="AC337" t="s">
        <v>53</v>
      </c>
      <c r="AD337" t="s">
        <v>54</v>
      </c>
      <c r="AE337">
        <v>114.291058253</v>
      </c>
      <c r="AF337">
        <v>5281</v>
      </c>
      <c r="AG337">
        <v>5280.6047503099999</v>
      </c>
      <c r="AH337">
        <v>1142929.00015</v>
      </c>
      <c r="AI337">
        <v>58</v>
      </c>
      <c r="AJ337">
        <v>119152.12210469</v>
      </c>
      <c r="AK337" s="1">
        <f>intersection_ss_Lden___surface[[#This Row],[surf m2 bout ss]]/intersection_ss_Lden___surface[[#This Row],[Shape_Area]]</f>
        <v>0.10425155201158801</v>
      </c>
      <c r="AL337">
        <v>1491</v>
      </c>
      <c r="AM337">
        <f>intersection_ss_Lden___surface[[#This Row],[Population totale 2024 ss]]*intersection_ss_Lden___surface[[#This Row],[Part de la surface du qs dans le noise contour]]</f>
        <v>155.4390640492777</v>
      </c>
    </row>
    <row r="338" spans="1:39" x14ac:dyDescent="0.3">
      <c r="A338">
        <v>368</v>
      </c>
      <c r="B338" t="s">
        <v>565</v>
      </c>
      <c r="C338" t="s">
        <v>566</v>
      </c>
      <c r="D338" t="s">
        <v>567</v>
      </c>
      <c r="E338" t="s">
        <v>567</v>
      </c>
      <c r="F338" t="s">
        <v>568</v>
      </c>
      <c r="G338" t="s">
        <v>569</v>
      </c>
      <c r="H338" t="s">
        <v>570</v>
      </c>
      <c r="I338" t="s">
        <v>571</v>
      </c>
      <c r="J338" t="s">
        <v>36</v>
      </c>
      <c r="K338">
        <v>21004</v>
      </c>
      <c r="L338" t="s">
        <v>309</v>
      </c>
      <c r="M338" t="s">
        <v>310</v>
      </c>
      <c r="N338" t="s">
        <v>311</v>
      </c>
      <c r="O338">
        <v>21000</v>
      </c>
      <c r="P338" t="s">
        <v>46</v>
      </c>
      <c r="Q338" t="s">
        <v>47</v>
      </c>
      <c r="R338" t="s">
        <v>48</v>
      </c>
      <c r="T338" t="s">
        <v>36</v>
      </c>
      <c r="U338" t="s">
        <v>36</v>
      </c>
      <c r="V338" t="s">
        <v>36</v>
      </c>
      <c r="W338">
        <v>4000</v>
      </c>
      <c r="X338" t="s">
        <v>49</v>
      </c>
      <c r="Y338" t="s">
        <v>50</v>
      </c>
      <c r="Z338" t="s">
        <v>51</v>
      </c>
      <c r="AA338" t="s">
        <v>37</v>
      </c>
      <c r="AB338" t="s">
        <v>52</v>
      </c>
      <c r="AC338" t="s">
        <v>53</v>
      </c>
      <c r="AD338" t="s">
        <v>54</v>
      </c>
      <c r="AE338">
        <v>67.546800820200005</v>
      </c>
      <c r="AF338">
        <v>3945</v>
      </c>
      <c r="AG338">
        <v>3944.9428010699999</v>
      </c>
      <c r="AH338">
        <v>675478.89300299995</v>
      </c>
      <c r="AI338">
        <v>59</v>
      </c>
      <c r="AJ338">
        <v>81706.917803773104</v>
      </c>
      <c r="AK338" s="1">
        <f>intersection_ss_Lden___surface[[#This Row],[surf m2 bout ss]]/intersection_ss_Lden___surface[[#This Row],[Shape_Area]]</f>
        <v>0.12096146696831019</v>
      </c>
      <c r="AL338">
        <v>3787</v>
      </c>
      <c r="AM338">
        <f>intersection_ss_Lden___surface[[#This Row],[Population totale 2024 ss]]*intersection_ss_Lden___surface[[#This Row],[Part de la surface du qs dans le noise contour]]</f>
        <v>458.08107540899067</v>
      </c>
    </row>
    <row r="339" spans="1:39" x14ac:dyDescent="0.3">
      <c r="A339">
        <v>369</v>
      </c>
      <c r="B339" t="s">
        <v>565</v>
      </c>
      <c r="C339" t="s">
        <v>566</v>
      </c>
      <c r="D339" t="s">
        <v>567</v>
      </c>
      <c r="E339" t="s">
        <v>567</v>
      </c>
      <c r="F339" t="s">
        <v>568</v>
      </c>
      <c r="G339" t="s">
        <v>569</v>
      </c>
      <c r="H339" t="s">
        <v>570</v>
      </c>
      <c r="I339" t="s">
        <v>571</v>
      </c>
      <c r="J339" t="s">
        <v>36</v>
      </c>
      <c r="K339">
        <v>21004</v>
      </c>
      <c r="L339" t="s">
        <v>309</v>
      </c>
      <c r="M339" t="s">
        <v>310</v>
      </c>
      <c r="N339" t="s">
        <v>311</v>
      </c>
      <c r="O339">
        <v>21000</v>
      </c>
      <c r="P339" t="s">
        <v>46</v>
      </c>
      <c r="Q339" t="s">
        <v>47</v>
      </c>
      <c r="R339" t="s">
        <v>48</v>
      </c>
      <c r="T339" t="s">
        <v>36</v>
      </c>
      <c r="U339" t="s">
        <v>36</v>
      </c>
      <c r="V339" t="s">
        <v>36</v>
      </c>
      <c r="W339">
        <v>4000</v>
      </c>
      <c r="X339" t="s">
        <v>49</v>
      </c>
      <c r="Y339" t="s">
        <v>50</v>
      </c>
      <c r="Z339" t="s">
        <v>51</v>
      </c>
      <c r="AA339" t="s">
        <v>37</v>
      </c>
      <c r="AB339" t="s">
        <v>52</v>
      </c>
      <c r="AC339" t="s">
        <v>53</v>
      </c>
      <c r="AD339" t="s">
        <v>54</v>
      </c>
      <c r="AE339">
        <v>67.546800820200005</v>
      </c>
      <c r="AF339">
        <v>3945</v>
      </c>
      <c r="AG339">
        <v>3944.9428010699999</v>
      </c>
      <c r="AH339">
        <v>675478.89300299995</v>
      </c>
      <c r="AI339">
        <v>60</v>
      </c>
      <c r="AJ339">
        <v>256155.182379779</v>
      </c>
      <c r="AK339" s="1">
        <f>intersection_ss_Lden___surface[[#This Row],[surf m2 bout ss]]/intersection_ss_Lden___surface[[#This Row],[Shape_Area]]</f>
        <v>0.37922011336428446</v>
      </c>
      <c r="AL339">
        <v>3787</v>
      </c>
      <c r="AM339">
        <f>intersection_ss_Lden___surface[[#This Row],[Population totale 2024 ss]]*intersection_ss_Lden___surface[[#This Row],[Part de la surface du qs dans le noise contour]]</f>
        <v>1436.1065693105452</v>
      </c>
    </row>
    <row r="340" spans="1:39" x14ac:dyDescent="0.3">
      <c r="A340">
        <v>370</v>
      </c>
      <c r="B340" t="s">
        <v>565</v>
      </c>
      <c r="C340" t="s">
        <v>566</v>
      </c>
      <c r="D340" t="s">
        <v>567</v>
      </c>
      <c r="E340" t="s">
        <v>567</v>
      </c>
      <c r="F340" t="s">
        <v>568</v>
      </c>
      <c r="G340" t="s">
        <v>569</v>
      </c>
      <c r="H340" t="s">
        <v>570</v>
      </c>
      <c r="I340" t="s">
        <v>571</v>
      </c>
      <c r="J340" t="s">
        <v>36</v>
      </c>
      <c r="K340">
        <v>21004</v>
      </c>
      <c r="L340" t="s">
        <v>309</v>
      </c>
      <c r="M340" t="s">
        <v>310</v>
      </c>
      <c r="N340" t="s">
        <v>311</v>
      </c>
      <c r="O340">
        <v>21000</v>
      </c>
      <c r="P340" t="s">
        <v>46</v>
      </c>
      <c r="Q340" t="s">
        <v>47</v>
      </c>
      <c r="R340" t="s">
        <v>48</v>
      </c>
      <c r="T340" t="s">
        <v>36</v>
      </c>
      <c r="U340" t="s">
        <v>36</v>
      </c>
      <c r="V340" t="s">
        <v>36</v>
      </c>
      <c r="W340">
        <v>4000</v>
      </c>
      <c r="X340" t="s">
        <v>49</v>
      </c>
      <c r="Y340" t="s">
        <v>50</v>
      </c>
      <c r="Z340" t="s">
        <v>51</v>
      </c>
      <c r="AA340" t="s">
        <v>37</v>
      </c>
      <c r="AB340" t="s">
        <v>52</v>
      </c>
      <c r="AC340" t="s">
        <v>53</v>
      </c>
      <c r="AD340" t="s">
        <v>54</v>
      </c>
      <c r="AE340">
        <v>67.546800820200005</v>
      </c>
      <c r="AF340">
        <v>3945</v>
      </c>
      <c r="AG340">
        <v>3944.9428010699999</v>
      </c>
      <c r="AH340">
        <v>675478.89300299995</v>
      </c>
      <c r="AI340">
        <v>61</v>
      </c>
      <c r="AJ340">
        <v>307843.26891596301</v>
      </c>
      <c r="AK340" s="1">
        <f>intersection_ss_Lden___surface[[#This Row],[surf m2 bout ss]]/intersection_ss_Lden___surface[[#This Row],[Shape_Area]]</f>
        <v>0.45574076718722256</v>
      </c>
      <c r="AL340">
        <v>3787</v>
      </c>
      <c r="AM340">
        <f>intersection_ss_Lden___surface[[#This Row],[Population totale 2024 ss]]*intersection_ss_Lden___surface[[#This Row],[Part de la surface du qs dans le noise contour]]</f>
        <v>1725.8902853380118</v>
      </c>
    </row>
    <row r="341" spans="1:39" x14ac:dyDescent="0.3">
      <c r="A341">
        <v>371</v>
      </c>
      <c r="B341" t="s">
        <v>565</v>
      </c>
      <c r="C341" t="s">
        <v>566</v>
      </c>
      <c r="D341" t="s">
        <v>567</v>
      </c>
      <c r="E341" t="s">
        <v>567</v>
      </c>
      <c r="F341" t="s">
        <v>568</v>
      </c>
      <c r="G341" t="s">
        <v>569</v>
      </c>
      <c r="H341" t="s">
        <v>570</v>
      </c>
      <c r="I341" t="s">
        <v>571</v>
      </c>
      <c r="J341" t="s">
        <v>36</v>
      </c>
      <c r="K341">
        <v>21004</v>
      </c>
      <c r="L341" t="s">
        <v>309</v>
      </c>
      <c r="M341" t="s">
        <v>310</v>
      </c>
      <c r="N341" t="s">
        <v>311</v>
      </c>
      <c r="O341">
        <v>21000</v>
      </c>
      <c r="P341" t="s">
        <v>46</v>
      </c>
      <c r="Q341" t="s">
        <v>47</v>
      </c>
      <c r="R341" t="s">
        <v>48</v>
      </c>
      <c r="T341" t="s">
        <v>36</v>
      </c>
      <c r="U341" t="s">
        <v>36</v>
      </c>
      <c r="V341" t="s">
        <v>36</v>
      </c>
      <c r="W341">
        <v>4000</v>
      </c>
      <c r="X341" t="s">
        <v>49</v>
      </c>
      <c r="Y341" t="s">
        <v>50</v>
      </c>
      <c r="Z341" t="s">
        <v>51</v>
      </c>
      <c r="AA341" t="s">
        <v>37</v>
      </c>
      <c r="AB341" t="s">
        <v>52</v>
      </c>
      <c r="AC341" t="s">
        <v>53</v>
      </c>
      <c r="AD341" t="s">
        <v>54</v>
      </c>
      <c r="AE341">
        <v>67.546800820200005</v>
      </c>
      <c r="AF341">
        <v>3945</v>
      </c>
      <c r="AG341">
        <v>3944.9428010699999</v>
      </c>
      <c r="AH341">
        <v>675478.89300299995</v>
      </c>
      <c r="AI341">
        <v>62</v>
      </c>
      <c r="AJ341">
        <v>29832.936182067398</v>
      </c>
      <c r="AK341" s="1">
        <f>intersection_ss_Lden___surface[[#This Row],[surf m2 bout ss]]/intersection_ss_Lden___surface[[#This Row],[Shape_Area]]</f>
        <v>4.4165608268584206E-2</v>
      </c>
      <c r="AL341">
        <v>3787</v>
      </c>
      <c r="AM341">
        <f>intersection_ss_Lden___surface[[#This Row],[Population totale 2024 ss]]*intersection_ss_Lden___surface[[#This Row],[Part de la surface du qs dans le noise contour]]</f>
        <v>167.25515851312838</v>
      </c>
    </row>
    <row r="342" spans="1:39" x14ac:dyDescent="0.3">
      <c r="A342">
        <v>372</v>
      </c>
      <c r="B342" t="s">
        <v>572</v>
      </c>
      <c r="C342" t="s">
        <v>573</v>
      </c>
      <c r="D342" t="s">
        <v>574</v>
      </c>
      <c r="E342" t="s">
        <v>574</v>
      </c>
      <c r="F342" t="s">
        <v>568</v>
      </c>
      <c r="G342" t="s">
        <v>569</v>
      </c>
      <c r="H342" t="s">
        <v>570</v>
      </c>
      <c r="I342" t="s">
        <v>571</v>
      </c>
      <c r="J342" t="s">
        <v>36</v>
      </c>
      <c r="K342">
        <v>21004</v>
      </c>
      <c r="L342" t="s">
        <v>309</v>
      </c>
      <c r="M342" t="s">
        <v>310</v>
      </c>
      <c r="N342" t="s">
        <v>311</v>
      </c>
      <c r="O342">
        <v>21000</v>
      </c>
      <c r="P342" t="s">
        <v>46</v>
      </c>
      <c r="Q342" t="s">
        <v>47</v>
      </c>
      <c r="R342" t="s">
        <v>48</v>
      </c>
      <c r="T342" t="s">
        <v>36</v>
      </c>
      <c r="U342" t="s">
        <v>36</v>
      </c>
      <c r="V342" t="s">
        <v>36</v>
      </c>
      <c r="W342">
        <v>4000</v>
      </c>
      <c r="X342" t="s">
        <v>49</v>
      </c>
      <c r="Y342" t="s">
        <v>50</v>
      </c>
      <c r="Z342" t="s">
        <v>51</v>
      </c>
      <c r="AA342" t="s">
        <v>37</v>
      </c>
      <c r="AB342" t="s">
        <v>52</v>
      </c>
      <c r="AC342" t="s">
        <v>53</v>
      </c>
      <c r="AD342" t="s">
        <v>54</v>
      </c>
      <c r="AE342">
        <v>30.772616756600002</v>
      </c>
      <c r="AF342">
        <v>3864</v>
      </c>
      <c r="AG342">
        <v>3864.1931476700001</v>
      </c>
      <c r="AH342">
        <v>307731.104689</v>
      </c>
      <c r="AI342">
        <v>57</v>
      </c>
      <c r="AJ342">
        <v>36306.689005024797</v>
      </c>
      <c r="AK342" s="1">
        <f>intersection_ss_Lden___surface[[#This Row],[surf m2 bout ss]]/intersection_ss_Lden___surface[[#This Row],[Shape_Area]]</f>
        <v>0.11798186290500974</v>
      </c>
      <c r="AL342">
        <v>1272</v>
      </c>
      <c r="AM342">
        <f>intersection_ss_Lden___surface[[#This Row],[Population totale 2024 ss]]*intersection_ss_Lden___surface[[#This Row],[Part de la surface du qs dans le noise contour]]</f>
        <v>150.0729296151724</v>
      </c>
    </row>
    <row r="343" spans="1:39" x14ac:dyDescent="0.3">
      <c r="A343">
        <v>373</v>
      </c>
      <c r="B343" t="s">
        <v>572</v>
      </c>
      <c r="C343" t="s">
        <v>573</v>
      </c>
      <c r="D343" t="s">
        <v>574</v>
      </c>
      <c r="E343" t="s">
        <v>574</v>
      </c>
      <c r="F343" t="s">
        <v>568</v>
      </c>
      <c r="G343" t="s">
        <v>569</v>
      </c>
      <c r="H343" t="s">
        <v>570</v>
      </c>
      <c r="I343" t="s">
        <v>571</v>
      </c>
      <c r="J343" t="s">
        <v>36</v>
      </c>
      <c r="K343">
        <v>21004</v>
      </c>
      <c r="L343" t="s">
        <v>309</v>
      </c>
      <c r="M343" t="s">
        <v>310</v>
      </c>
      <c r="N343" t="s">
        <v>311</v>
      </c>
      <c r="O343">
        <v>21000</v>
      </c>
      <c r="P343" t="s">
        <v>46</v>
      </c>
      <c r="Q343" t="s">
        <v>47</v>
      </c>
      <c r="R343" t="s">
        <v>48</v>
      </c>
      <c r="T343" t="s">
        <v>36</v>
      </c>
      <c r="U343" t="s">
        <v>36</v>
      </c>
      <c r="V343" t="s">
        <v>36</v>
      </c>
      <c r="W343">
        <v>4000</v>
      </c>
      <c r="X343" t="s">
        <v>49</v>
      </c>
      <c r="Y343" t="s">
        <v>50</v>
      </c>
      <c r="Z343" t="s">
        <v>51</v>
      </c>
      <c r="AA343" t="s">
        <v>37</v>
      </c>
      <c r="AB343" t="s">
        <v>52</v>
      </c>
      <c r="AC343" t="s">
        <v>53</v>
      </c>
      <c r="AD343" t="s">
        <v>54</v>
      </c>
      <c r="AE343">
        <v>30.772616756600002</v>
      </c>
      <c r="AF343">
        <v>3864</v>
      </c>
      <c r="AG343">
        <v>3864.1931476700001</v>
      </c>
      <c r="AH343">
        <v>307731.104689</v>
      </c>
      <c r="AI343">
        <v>58</v>
      </c>
      <c r="AJ343">
        <v>101782.976786689</v>
      </c>
      <c r="AK343" s="1">
        <f>intersection_ss_Lden___surface[[#This Row],[surf m2 bout ss]]/intersection_ss_Lden___surface[[#This Row],[Shape_Area]]</f>
        <v>0.33075296983564006</v>
      </c>
      <c r="AL343">
        <v>1272</v>
      </c>
      <c r="AM343">
        <f>intersection_ss_Lden___surface[[#This Row],[Population totale 2024 ss]]*intersection_ss_Lden___surface[[#This Row],[Part de la surface du qs dans le noise contour]]</f>
        <v>420.71777763093417</v>
      </c>
    </row>
    <row r="344" spans="1:39" x14ac:dyDescent="0.3">
      <c r="A344">
        <v>374</v>
      </c>
      <c r="B344" t="s">
        <v>572</v>
      </c>
      <c r="C344" t="s">
        <v>573</v>
      </c>
      <c r="D344" t="s">
        <v>574</v>
      </c>
      <c r="E344" t="s">
        <v>574</v>
      </c>
      <c r="F344" t="s">
        <v>568</v>
      </c>
      <c r="G344" t="s">
        <v>569</v>
      </c>
      <c r="H344" t="s">
        <v>570</v>
      </c>
      <c r="I344" t="s">
        <v>571</v>
      </c>
      <c r="J344" t="s">
        <v>36</v>
      </c>
      <c r="K344">
        <v>21004</v>
      </c>
      <c r="L344" t="s">
        <v>309</v>
      </c>
      <c r="M344" t="s">
        <v>310</v>
      </c>
      <c r="N344" t="s">
        <v>311</v>
      </c>
      <c r="O344">
        <v>21000</v>
      </c>
      <c r="P344" t="s">
        <v>46</v>
      </c>
      <c r="Q344" t="s">
        <v>47</v>
      </c>
      <c r="R344" t="s">
        <v>48</v>
      </c>
      <c r="T344" t="s">
        <v>36</v>
      </c>
      <c r="U344" t="s">
        <v>36</v>
      </c>
      <c r="V344" t="s">
        <v>36</v>
      </c>
      <c r="W344">
        <v>4000</v>
      </c>
      <c r="X344" t="s">
        <v>49</v>
      </c>
      <c r="Y344" t="s">
        <v>50</v>
      </c>
      <c r="Z344" t="s">
        <v>51</v>
      </c>
      <c r="AA344" t="s">
        <v>37</v>
      </c>
      <c r="AB344" t="s">
        <v>52</v>
      </c>
      <c r="AC344" t="s">
        <v>53</v>
      </c>
      <c r="AD344" t="s">
        <v>54</v>
      </c>
      <c r="AE344">
        <v>30.772616756600002</v>
      </c>
      <c r="AF344">
        <v>3864</v>
      </c>
      <c r="AG344">
        <v>3864.1931476700001</v>
      </c>
      <c r="AH344">
        <v>307731.104689</v>
      </c>
      <c r="AI344">
        <v>59</v>
      </c>
      <c r="AJ344">
        <v>68191.144013930098</v>
      </c>
      <c r="AK344" s="1">
        <f>intersection_ss_Lden___surface[[#This Row],[surf m2 bout ss]]/intersection_ss_Lden___surface[[#This Row],[Shape_Area]]</f>
        <v>0.22159327729592238</v>
      </c>
      <c r="AL344">
        <v>1272</v>
      </c>
      <c r="AM344">
        <f>intersection_ss_Lden___surface[[#This Row],[Population totale 2024 ss]]*intersection_ss_Lden___surface[[#This Row],[Part de la surface du qs dans le noise contour]]</f>
        <v>281.86664872041325</v>
      </c>
    </row>
    <row r="345" spans="1:39" x14ac:dyDescent="0.3">
      <c r="A345">
        <v>375</v>
      </c>
      <c r="B345" t="s">
        <v>572</v>
      </c>
      <c r="C345" t="s">
        <v>573</v>
      </c>
      <c r="D345" t="s">
        <v>574</v>
      </c>
      <c r="E345" t="s">
        <v>574</v>
      </c>
      <c r="F345" t="s">
        <v>568</v>
      </c>
      <c r="G345" t="s">
        <v>569</v>
      </c>
      <c r="H345" t="s">
        <v>570</v>
      </c>
      <c r="I345" t="s">
        <v>571</v>
      </c>
      <c r="J345" t="s">
        <v>36</v>
      </c>
      <c r="K345">
        <v>21004</v>
      </c>
      <c r="L345" t="s">
        <v>309</v>
      </c>
      <c r="M345" t="s">
        <v>310</v>
      </c>
      <c r="N345" t="s">
        <v>311</v>
      </c>
      <c r="O345">
        <v>21000</v>
      </c>
      <c r="P345" t="s">
        <v>46</v>
      </c>
      <c r="Q345" t="s">
        <v>47</v>
      </c>
      <c r="R345" t="s">
        <v>48</v>
      </c>
      <c r="T345" t="s">
        <v>36</v>
      </c>
      <c r="U345" t="s">
        <v>36</v>
      </c>
      <c r="V345" t="s">
        <v>36</v>
      </c>
      <c r="W345">
        <v>4000</v>
      </c>
      <c r="X345" t="s">
        <v>49</v>
      </c>
      <c r="Y345" t="s">
        <v>50</v>
      </c>
      <c r="Z345" t="s">
        <v>51</v>
      </c>
      <c r="AA345" t="s">
        <v>37</v>
      </c>
      <c r="AB345" t="s">
        <v>52</v>
      </c>
      <c r="AC345" t="s">
        <v>53</v>
      </c>
      <c r="AD345" t="s">
        <v>54</v>
      </c>
      <c r="AE345">
        <v>30.772616756600002</v>
      </c>
      <c r="AF345">
        <v>3864</v>
      </c>
      <c r="AG345">
        <v>3864.1931476700001</v>
      </c>
      <c r="AH345">
        <v>307731.104689</v>
      </c>
      <c r="AI345">
        <v>60</v>
      </c>
      <c r="AJ345">
        <v>35890.8377612248</v>
      </c>
      <c r="AK345" s="1">
        <f>intersection_ss_Lden___surface[[#This Row],[surf m2 bout ss]]/intersection_ss_Lden___surface[[#This Row],[Shape_Area]]</f>
        <v>0.1166305167542192</v>
      </c>
      <c r="AL345">
        <v>1272</v>
      </c>
      <c r="AM345">
        <f>intersection_ss_Lden___surface[[#This Row],[Population totale 2024 ss]]*intersection_ss_Lden___surface[[#This Row],[Part de la surface du qs dans le noise contour]]</f>
        <v>148.35401731136682</v>
      </c>
    </row>
    <row r="346" spans="1:39" x14ac:dyDescent="0.3">
      <c r="A346">
        <v>376</v>
      </c>
      <c r="B346" t="s">
        <v>572</v>
      </c>
      <c r="C346" t="s">
        <v>573</v>
      </c>
      <c r="D346" t="s">
        <v>574</v>
      </c>
      <c r="E346" t="s">
        <v>574</v>
      </c>
      <c r="F346" t="s">
        <v>568</v>
      </c>
      <c r="G346" t="s">
        <v>569</v>
      </c>
      <c r="H346" t="s">
        <v>570</v>
      </c>
      <c r="I346" t="s">
        <v>571</v>
      </c>
      <c r="J346" t="s">
        <v>36</v>
      </c>
      <c r="K346">
        <v>21004</v>
      </c>
      <c r="L346" t="s">
        <v>309</v>
      </c>
      <c r="M346" t="s">
        <v>310</v>
      </c>
      <c r="N346" t="s">
        <v>311</v>
      </c>
      <c r="O346">
        <v>21000</v>
      </c>
      <c r="P346" t="s">
        <v>46</v>
      </c>
      <c r="Q346" t="s">
        <v>47</v>
      </c>
      <c r="R346" t="s">
        <v>48</v>
      </c>
      <c r="T346" t="s">
        <v>36</v>
      </c>
      <c r="U346" t="s">
        <v>36</v>
      </c>
      <c r="V346" t="s">
        <v>36</v>
      </c>
      <c r="W346">
        <v>4000</v>
      </c>
      <c r="X346" t="s">
        <v>49</v>
      </c>
      <c r="Y346" t="s">
        <v>50</v>
      </c>
      <c r="Z346" t="s">
        <v>51</v>
      </c>
      <c r="AA346" t="s">
        <v>37</v>
      </c>
      <c r="AB346" t="s">
        <v>52</v>
      </c>
      <c r="AC346" t="s">
        <v>53</v>
      </c>
      <c r="AD346" t="s">
        <v>54</v>
      </c>
      <c r="AE346">
        <v>30.772616756600002</v>
      </c>
      <c r="AF346">
        <v>3864</v>
      </c>
      <c r="AG346">
        <v>3864.1931476700001</v>
      </c>
      <c r="AH346">
        <v>307731.104689</v>
      </c>
      <c r="AI346">
        <v>61</v>
      </c>
      <c r="AJ346">
        <v>63444.721095229499</v>
      </c>
      <c r="AK346" s="1">
        <f>intersection_ss_Lden___surface[[#This Row],[surf m2 bout ss]]/intersection_ss_Lden___surface[[#This Row],[Shape_Area]]</f>
        <v>0.20616934761712882</v>
      </c>
      <c r="AL346">
        <v>1272</v>
      </c>
      <c r="AM346">
        <f>intersection_ss_Lden___surface[[#This Row],[Population totale 2024 ss]]*intersection_ss_Lden___surface[[#This Row],[Part de la surface du qs dans le noise contour]]</f>
        <v>262.24741016898787</v>
      </c>
    </row>
    <row r="347" spans="1:39" x14ac:dyDescent="0.3">
      <c r="A347">
        <v>377</v>
      </c>
      <c r="B347" t="s">
        <v>572</v>
      </c>
      <c r="C347" t="s">
        <v>573</v>
      </c>
      <c r="D347" t="s">
        <v>574</v>
      </c>
      <c r="E347" t="s">
        <v>574</v>
      </c>
      <c r="F347" t="s">
        <v>568</v>
      </c>
      <c r="G347" t="s">
        <v>569</v>
      </c>
      <c r="H347" t="s">
        <v>570</v>
      </c>
      <c r="I347" t="s">
        <v>571</v>
      </c>
      <c r="J347" t="s">
        <v>36</v>
      </c>
      <c r="K347">
        <v>21004</v>
      </c>
      <c r="L347" t="s">
        <v>309</v>
      </c>
      <c r="M347" t="s">
        <v>310</v>
      </c>
      <c r="N347" t="s">
        <v>311</v>
      </c>
      <c r="O347">
        <v>21000</v>
      </c>
      <c r="P347" t="s">
        <v>46</v>
      </c>
      <c r="Q347" t="s">
        <v>47</v>
      </c>
      <c r="R347" t="s">
        <v>48</v>
      </c>
      <c r="T347" t="s">
        <v>36</v>
      </c>
      <c r="U347" t="s">
        <v>36</v>
      </c>
      <c r="V347" t="s">
        <v>36</v>
      </c>
      <c r="W347">
        <v>4000</v>
      </c>
      <c r="X347" t="s">
        <v>49</v>
      </c>
      <c r="Y347" t="s">
        <v>50</v>
      </c>
      <c r="Z347" t="s">
        <v>51</v>
      </c>
      <c r="AA347" t="s">
        <v>37</v>
      </c>
      <c r="AB347" t="s">
        <v>52</v>
      </c>
      <c r="AC347" t="s">
        <v>53</v>
      </c>
      <c r="AD347" t="s">
        <v>54</v>
      </c>
      <c r="AE347">
        <v>30.772616756600002</v>
      </c>
      <c r="AF347">
        <v>3864</v>
      </c>
      <c r="AG347">
        <v>3864.1931476700001</v>
      </c>
      <c r="AH347">
        <v>307731.104689</v>
      </c>
      <c r="AI347">
        <v>62</v>
      </c>
      <c r="AJ347">
        <v>2142.3594876756001</v>
      </c>
      <c r="AK347" s="1">
        <f>intersection_ss_Lden___surface[[#This Row],[surf m2 bout ss]]/intersection_ss_Lden___surface[[#This Row],[Shape_Area]]</f>
        <v>6.9617905211132852E-3</v>
      </c>
      <c r="AL347">
        <v>1272</v>
      </c>
      <c r="AM347">
        <f>intersection_ss_Lden___surface[[#This Row],[Population totale 2024 ss]]*intersection_ss_Lden___surface[[#This Row],[Part de la surface du qs dans le noise contour]]</f>
        <v>8.8553975428560996</v>
      </c>
    </row>
    <row r="348" spans="1:39" x14ac:dyDescent="0.3">
      <c r="A348">
        <v>378</v>
      </c>
      <c r="B348" t="s">
        <v>575</v>
      </c>
      <c r="C348" t="s">
        <v>576</v>
      </c>
      <c r="D348" t="s">
        <v>577</v>
      </c>
      <c r="E348" t="s">
        <v>577</v>
      </c>
      <c r="F348" t="s">
        <v>568</v>
      </c>
      <c r="G348" t="s">
        <v>569</v>
      </c>
      <c r="H348" t="s">
        <v>570</v>
      </c>
      <c r="I348" t="s">
        <v>571</v>
      </c>
      <c r="J348" t="s">
        <v>36</v>
      </c>
      <c r="K348">
        <v>21004</v>
      </c>
      <c r="L348" t="s">
        <v>309</v>
      </c>
      <c r="M348" t="s">
        <v>310</v>
      </c>
      <c r="N348" t="s">
        <v>311</v>
      </c>
      <c r="O348">
        <v>21000</v>
      </c>
      <c r="P348" t="s">
        <v>46</v>
      </c>
      <c r="Q348" t="s">
        <v>47</v>
      </c>
      <c r="R348" t="s">
        <v>48</v>
      </c>
      <c r="T348" t="s">
        <v>36</v>
      </c>
      <c r="U348" t="s">
        <v>36</v>
      </c>
      <c r="V348" t="s">
        <v>36</v>
      </c>
      <c r="W348">
        <v>4000</v>
      </c>
      <c r="X348" t="s">
        <v>49</v>
      </c>
      <c r="Y348" t="s">
        <v>50</v>
      </c>
      <c r="Z348" t="s">
        <v>51</v>
      </c>
      <c r="AA348" t="s">
        <v>37</v>
      </c>
      <c r="AB348" t="s">
        <v>52</v>
      </c>
      <c r="AC348" t="s">
        <v>53</v>
      </c>
      <c r="AD348" t="s">
        <v>54</v>
      </c>
      <c r="AE348">
        <v>29.513869611400001</v>
      </c>
      <c r="AF348">
        <v>2353</v>
      </c>
      <c r="AG348">
        <v>2353.4976280800001</v>
      </c>
      <c r="AH348">
        <v>295143.44907700003</v>
      </c>
      <c r="AI348">
        <v>60</v>
      </c>
      <c r="AJ348">
        <v>684.55887859873496</v>
      </c>
      <c r="AK348" s="1">
        <f>intersection_ss_Lden___surface[[#This Row],[surf m2 bout ss]]/intersection_ss_Lden___surface[[#This Row],[Shape_Area]]</f>
        <v>2.3194107161773401E-3</v>
      </c>
      <c r="AL348">
        <v>1202</v>
      </c>
      <c r="AM348">
        <f>intersection_ss_Lden___surface[[#This Row],[Population totale 2024 ss]]*intersection_ss_Lden___surface[[#This Row],[Part de la surface du qs dans le noise contour]]</f>
        <v>2.7879316808451629</v>
      </c>
    </row>
    <row r="349" spans="1:39" x14ac:dyDescent="0.3">
      <c r="A349">
        <v>379</v>
      </c>
      <c r="B349" t="s">
        <v>575</v>
      </c>
      <c r="C349" t="s">
        <v>576</v>
      </c>
      <c r="D349" t="s">
        <v>577</v>
      </c>
      <c r="E349" t="s">
        <v>577</v>
      </c>
      <c r="F349" t="s">
        <v>568</v>
      </c>
      <c r="G349" t="s">
        <v>569</v>
      </c>
      <c r="H349" t="s">
        <v>570</v>
      </c>
      <c r="I349" t="s">
        <v>571</v>
      </c>
      <c r="J349" t="s">
        <v>36</v>
      </c>
      <c r="K349">
        <v>21004</v>
      </c>
      <c r="L349" t="s">
        <v>309</v>
      </c>
      <c r="M349" t="s">
        <v>310</v>
      </c>
      <c r="N349" t="s">
        <v>311</v>
      </c>
      <c r="O349">
        <v>21000</v>
      </c>
      <c r="P349" t="s">
        <v>46</v>
      </c>
      <c r="Q349" t="s">
        <v>47</v>
      </c>
      <c r="R349" t="s">
        <v>48</v>
      </c>
      <c r="T349" t="s">
        <v>36</v>
      </c>
      <c r="U349" t="s">
        <v>36</v>
      </c>
      <c r="V349" t="s">
        <v>36</v>
      </c>
      <c r="W349">
        <v>4000</v>
      </c>
      <c r="X349" t="s">
        <v>49</v>
      </c>
      <c r="Y349" t="s">
        <v>50</v>
      </c>
      <c r="Z349" t="s">
        <v>51</v>
      </c>
      <c r="AA349" t="s">
        <v>37</v>
      </c>
      <c r="AB349" t="s">
        <v>52</v>
      </c>
      <c r="AC349" t="s">
        <v>53</v>
      </c>
      <c r="AD349" t="s">
        <v>54</v>
      </c>
      <c r="AE349">
        <v>29.513869611400001</v>
      </c>
      <c r="AF349">
        <v>2353</v>
      </c>
      <c r="AG349">
        <v>2353.4976280800001</v>
      </c>
      <c r="AH349">
        <v>295143.44907700003</v>
      </c>
      <c r="AI349">
        <v>61</v>
      </c>
      <c r="AJ349">
        <v>136447.10716745601</v>
      </c>
      <c r="AK349" s="1">
        <f>intersection_ss_Lden___surface[[#This Row],[surf m2 bout ss]]/intersection_ss_Lden___surface[[#This Row],[Shape_Area]]</f>
        <v>0.46230776117229117</v>
      </c>
      <c r="AL349">
        <v>1202</v>
      </c>
      <c r="AM349">
        <f>intersection_ss_Lden___surface[[#This Row],[Population totale 2024 ss]]*intersection_ss_Lden___surface[[#This Row],[Part de la surface du qs dans le noise contour]]</f>
        <v>555.693928929094</v>
      </c>
    </row>
    <row r="350" spans="1:39" x14ac:dyDescent="0.3">
      <c r="A350">
        <v>380</v>
      </c>
      <c r="B350" t="s">
        <v>575</v>
      </c>
      <c r="C350" t="s">
        <v>576</v>
      </c>
      <c r="D350" t="s">
        <v>577</v>
      </c>
      <c r="E350" t="s">
        <v>577</v>
      </c>
      <c r="F350" t="s">
        <v>568</v>
      </c>
      <c r="G350" t="s">
        <v>569</v>
      </c>
      <c r="H350" t="s">
        <v>570</v>
      </c>
      <c r="I350" t="s">
        <v>571</v>
      </c>
      <c r="J350" t="s">
        <v>36</v>
      </c>
      <c r="K350">
        <v>21004</v>
      </c>
      <c r="L350" t="s">
        <v>309</v>
      </c>
      <c r="M350" t="s">
        <v>310</v>
      </c>
      <c r="N350" t="s">
        <v>311</v>
      </c>
      <c r="O350">
        <v>21000</v>
      </c>
      <c r="P350" t="s">
        <v>46</v>
      </c>
      <c r="Q350" t="s">
        <v>47</v>
      </c>
      <c r="R350" t="s">
        <v>48</v>
      </c>
      <c r="T350" t="s">
        <v>36</v>
      </c>
      <c r="U350" t="s">
        <v>36</v>
      </c>
      <c r="V350" t="s">
        <v>36</v>
      </c>
      <c r="W350">
        <v>4000</v>
      </c>
      <c r="X350" t="s">
        <v>49</v>
      </c>
      <c r="Y350" t="s">
        <v>50</v>
      </c>
      <c r="Z350" t="s">
        <v>51</v>
      </c>
      <c r="AA350" t="s">
        <v>37</v>
      </c>
      <c r="AB350" t="s">
        <v>52</v>
      </c>
      <c r="AC350" t="s">
        <v>53</v>
      </c>
      <c r="AD350" t="s">
        <v>54</v>
      </c>
      <c r="AE350">
        <v>29.513869611400001</v>
      </c>
      <c r="AF350">
        <v>2353</v>
      </c>
      <c r="AG350">
        <v>2353.4976280800001</v>
      </c>
      <c r="AH350">
        <v>295143.44907700003</v>
      </c>
      <c r="AI350">
        <v>62</v>
      </c>
      <c r="AJ350">
        <v>146011.68425970399</v>
      </c>
      <c r="AK350" s="1">
        <f>intersection_ss_Lden___surface[[#This Row],[surf m2 bout ss]]/intersection_ss_Lden___surface[[#This Row],[Shape_Area]]</f>
        <v>0.49471429813646645</v>
      </c>
      <c r="AL350">
        <v>1202</v>
      </c>
      <c r="AM350">
        <f>intersection_ss_Lden___surface[[#This Row],[Population totale 2024 ss]]*intersection_ss_Lden___surface[[#This Row],[Part de la surface du qs dans le noise contour]]</f>
        <v>594.64658636003264</v>
      </c>
    </row>
    <row r="351" spans="1:39" x14ac:dyDescent="0.3">
      <c r="A351">
        <v>381</v>
      </c>
      <c r="B351" t="s">
        <v>575</v>
      </c>
      <c r="C351" t="s">
        <v>576</v>
      </c>
      <c r="D351" t="s">
        <v>577</v>
      </c>
      <c r="E351" t="s">
        <v>577</v>
      </c>
      <c r="F351" t="s">
        <v>568</v>
      </c>
      <c r="G351" t="s">
        <v>569</v>
      </c>
      <c r="H351" t="s">
        <v>570</v>
      </c>
      <c r="I351" t="s">
        <v>571</v>
      </c>
      <c r="J351" t="s">
        <v>36</v>
      </c>
      <c r="K351">
        <v>21004</v>
      </c>
      <c r="L351" t="s">
        <v>309</v>
      </c>
      <c r="M351" t="s">
        <v>310</v>
      </c>
      <c r="N351" t="s">
        <v>311</v>
      </c>
      <c r="O351">
        <v>21000</v>
      </c>
      <c r="P351" t="s">
        <v>46</v>
      </c>
      <c r="Q351" t="s">
        <v>47</v>
      </c>
      <c r="R351" t="s">
        <v>48</v>
      </c>
      <c r="T351" t="s">
        <v>36</v>
      </c>
      <c r="U351" t="s">
        <v>36</v>
      </c>
      <c r="V351" t="s">
        <v>36</v>
      </c>
      <c r="W351">
        <v>4000</v>
      </c>
      <c r="X351" t="s">
        <v>49</v>
      </c>
      <c r="Y351" t="s">
        <v>50</v>
      </c>
      <c r="Z351" t="s">
        <v>51</v>
      </c>
      <c r="AA351" t="s">
        <v>37</v>
      </c>
      <c r="AB351" t="s">
        <v>52</v>
      </c>
      <c r="AC351" t="s">
        <v>53</v>
      </c>
      <c r="AD351" t="s">
        <v>54</v>
      </c>
      <c r="AE351">
        <v>29.513869611400001</v>
      </c>
      <c r="AF351">
        <v>2353</v>
      </c>
      <c r="AG351">
        <v>2353.4976280800001</v>
      </c>
      <c r="AH351">
        <v>295143.44907700003</v>
      </c>
      <c r="AI351">
        <v>63</v>
      </c>
      <c r="AJ351">
        <v>12026.4411051278</v>
      </c>
      <c r="AK351" s="1">
        <f>intersection_ss_Lden___surface[[#This Row],[surf m2 bout ss]]/intersection_ss_Lden___surface[[#This Row],[Shape_Area]]</f>
        <v>4.0747782621426983E-2</v>
      </c>
      <c r="AL351">
        <v>1202</v>
      </c>
      <c r="AM351">
        <f>intersection_ss_Lden___surface[[#This Row],[Population totale 2024 ss]]*intersection_ss_Lden___surface[[#This Row],[Part de la surface du qs dans le noise contour]]</f>
        <v>48.978834710955233</v>
      </c>
    </row>
    <row r="352" spans="1:39" x14ac:dyDescent="0.3">
      <c r="A352">
        <v>382</v>
      </c>
      <c r="B352" t="s">
        <v>578</v>
      </c>
      <c r="C352" t="s">
        <v>579</v>
      </c>
      <c r="D352" t="s">
        <v>580</v>
      </c>
      <c r="E352" t="s">
        <v>580</v>
      </c>
      <c r="F352" t="s">
        <v>568</v>
      </c>
      <c r="G352" t="s">
        <v>569</v>
      </c>
      <c r="H352" t="s">
        <v>570</v>
      </c>
      <c r="I352" t="s">
        <v>571</v>
      </c>
      <c r="J352" t="s">
        <v>36</v>
      </c>
      <c r="K352">
        <v>21004</v>
      </c>
      <c r="L352" t="s">
        <v>309</v>
      </c>
      <c r="M352" t="s">
        <v>310</v>
      </c>
      <c r="N352" t="s">
        <v>311</v>
      </c>
      <c r="O352">
        <v>21000</v>
      </c>
      <c r="P352" t="s">
        <v>46</v>
      </c>
      <c r="Q352" t="s">
        <v>47</v>
      </c>
      <c r="R352" t="s">
        <v>48</v>
      </c>
      <c r="T352" t="s">
        <v>36</v>
      </c>
      <c r="U352" t="s">
        <v>36</v>
      </c>
      <c r="V352" t="s">
        <v>36</v>
      </c>
      <c r="W352">
        <v>4000</v>
      </c>
      <c r="X352" t="s">
        <v>49</v>
      </c>
      <c r="Y352" t="s">
        <v>50</v>
      </c>
      <c r="Z352" t="s">
        <v>51</v>
      </c>
      <c r="AA352" t="s">
        <v>37</v>
      </c>
      <c r="AB352" t="s">
        <v>52</v>
      </c>
      <c r="AC352" t="s">
        <v>53</v>
      </c>
      <c r="AD352" t="s">
        <v>54</v>
      </c>
      <c r="AE352">
        <v>207.85620567399999</v>
      </c>
      <c r="AF352">
        <v>8011</v>
      </c>
      <c r="AG352">
        <v>8011.3012413799997</v>
      </c>
      <c r="AH352">
        <v>2078595.5321599999</v>
      </c>
      <c r="AI352">
        <v>56</v>
      </c>
      <c r="AJ352">
        <v>119850.71815469999</v>
      </c>
      <c r="AK352" s="1">
        <f>intersection_ss_Lden___surface[[#This Row],[surf m2 bout ss]]/intersection_ss_Lden___surface[[#This Row],[Shape_Area]]</f>
        <v>5.765947068603363E-2</v>
      </c>
      <c r="AL352">
        <v>1</v>
      </c>
      <c r="AM352">
        <f>intersection_ss_Lden___surface[[#This Row],[Population totale 2024 ss]]*intersection_ss_Lden___surface[[#This Row],[Part de la surface du qs dans le noise contour]]</f>
        <v>5.765947068603363E-2</v>
      </c>
    </row>
    <row r="353" spans="1:39" x14ac:dyDescent="0.3">
      <c r="A353">
        <v>383</v>
      </c>
      <c r="B353" t="s">
        <v>578</v>
      </c>
      <c r="C353" t="s">
        <v>579</v>
      </c>
      <c r="D353" t="s">
        <v>580</v>
      </c>
      <c r="E353" t="s">
        <v>580</v>
      </c>
      <c r="F353" t="s">
        <v>568</v>
      </c>
      <c r="G353" t="s">
        <v>569</v>
      </c>
      <c r="H353" t="s">
        <v>570</v>
      </c>
      <c r="I353" t="s">
        <v>571</v>
      </c>
      <c r="J353" t="s">
        <v>36</v>
      </c>
      <c r="K353">
        <v>21004</v>
      </c>
      <c r="L353" t="s">
        <v>309</v>
      </c>
      <c r="M353" t="s">
        <v>310</v>
      </c>
      <c r="N353" t="s">
        <v>311</v>
      </c>
      <c r="O353">
        <v>21000</v>
      </c>
      <c r="P353" t="s">
        <v>46</v>
      </c>
      <c r="Q353" t="s">
        <v>47</v>
      </c>
      <c r="R353" t="s">
        <v>48</v>
      </c>
      <c r="T353" t="s">
        <v>36</v>
      </c>
      <c r="U353" t="s">
        <v>36</v>
      </c>
      <c r="V353" t="s">
        <v>36</v>
      </c>
      <c r="W353">
        <v>4000</v>
      </c>
      <c r="X353" t="s">
        <v>49</v>
      </c>
      <c r="Y353" t="s">
        <v>50</v>
      </c>
      <c r="Z353" t="s">
        <v>51</v>
      </c>
      <c r="AA353" t="s">
        <v>37</v>
      </c>
      <c r="AB353" t="s">
        <v>52</v>
      </c>
      <c r="AC353" t="s">
        <v>53</v>
      </c>
      <c r="AD353" t="s">
        <v>54</v>
      </c>
      <c r="AE353">
        <v>207.85620567399999</v>
      </c>
      <c r="AF353">
        <v>8011</v>
      </c>
      <c r="AG353">
        <v>8011.3012413799997</v>
      </c>
      <c r="AH353">
        <v>2078595.5321599999</v>
      </c>
      <c r="AI353">
        <v>57</v>
      </c>
      <c r="AJ353">
        <v>383697.25204348098</v>
      </c>
      <c r="AK353" s="1">
        <f>intersection_ss_Lden___surface[[#This Row],[surf m2 bout ss]]/intersection_ss_Lden___surface[[#This Row],[Shape_Area]]</f>
        <v>0.18459447550373445</v>
      </c>
      <c r="AL353">
        <v>1</v>
      </c>
      <c r="AM353">
        <f>intersection_ss_Lden___surface[[#This Row],[Population totale 2024 ss]]*intersection_ss_Lden___surface[[#This Row],[Part de la surface du qs dans le noise contour]]</f>
        <v>0.18459447550373445</v>
      </c>
    </row>
    <row r="354" spans="1:39" x14ac:dyDescent="0.3">
      <c r="A354">
        <v>384</v>
      </c>
      <c r="B354" t="s">
        <v>578</v>
      </c>
      <c r="C354" t="s">
        <v>579</v>
      </c>
      <c r="D354" t="s">
        <v>580</v>
      </c>
      <c r="E354" t="s">
        <v>580</v>
      </c>
      <c r="F354" t="s">
        <v>568</v>
      </c>
      <c r="G354" t="s">
        <v>569</v>
      </c>
      <c r="H354" t="s">
        <v>570</v>
      </c>
      <c r="I354" t="s">
        <v>571</v>
      </c>
      <c r="J354" t="s">
        <v>36</v>
      </c>
      <c r="K354">
        <v>21004</v>
      </c>
      <c r="L354" t="s">
        <v>309</v>
      </c>
      <c r="M354" t="s">
        <v>310</v>
      </c>
      <c r="N354" t="s">
        <v>311</v>
      </c>
      <c r="O354">
        <v>21000</v>
      </c>
      <c r="P354" t="s">
        <v>46</v>
      </c>
      <c r="Q354" t="s">
        <v>47</v>
      </c>
      <c r="R354" t="s">
        <v>48</v>
      </c>
      <c r="T354" t="s">
        <v>36</v>
      </c>
      <c r="U354" t="s">
        <v>36</v>
      </c>
      <c r="V354" t="s">
        <v>36</v>
      </c>
      <c r="W354">
        <v>4000</v>
      </c>
      <c r="X354" t="s">
        <v>49</v>
      </c>
      <c r="Y354" t="s">
        <v>50</v>
      </c>
      <c r="Z354" t="s">
        <v>51</v>
      </c>
      <c r="AA354" t="s">
        <v>37</v>
      </c>
      <c r="AB354" t="s">
        <v>52</v>
      </c>
      <c r="AC354" t="s">
        <v>53</v>
      </c>
      <c r="AD354" t="s">
        <v>54</v>
      </c>
      <c r="AE354">
        <v>207.85620567399999</v>
      </c>
      <c r="AF354">
        <v>8011</v>
      </c>
      <c r="AG354">
        <v>8011.3012413799997</v>
      </c>
      <c r="AH354">
        <v>2078595.5321599999</v>
      </c>
      <c r="AI354">
        <v>58</v>
      </c>
      <c r="AJ354">
        <v>645218.554296916</v>
      </c>
      <c r="AK354" s="1">
        <f>intersection_ss_Lden___surface[[#This Row],[surf m2 bout ss]]/intersection_ss_Lden___surface[[#This Row],[Shape_Area]]</f>
        <v>0.31041082515289958</v>
      </c>
      <c r="AL354">
        <v>1</v>
      </c>
      <c r="AM354">
        <f>intersection_ss_Lden___surface[[#This Row],[Population totale 2024 ss]]*intersection_ss_Lden___surface[[#This Row],[Part de la surface du qs dans le noise contour]]</f>
        <v>0.31041082515289958</v>
      </c>
    </row>
    <row r="355" spans="1:39" x14ac:dyDescent="0.3">
      <c r="A355">
        <v>385</v>
      </c>
      <c r="B355" t="s">
        <v>578</v>
      </c>
      <c r="C355" t="s">
        <v>579</v>
      </c>
      <c r="D355" t="s">
        <v>580</v>
      </c>
      <c r="E355" t="s">
        <v>580</v>
      </c>
      <c r="F355" t="s">
        <v>568</v>
      </c>
      <c r="G355" t="s">
        <v>569</v>
      </c>
      <c r="H355" t="s">
        <v>570</v>
      </c>
      <c r="I355" t="s">
        <v>571</v>
      </c>
      <c r="J355" t="s">
        <v>36</v>
      </c>
      <c r="K355">
        <v>21004</v>
      </c>
      <c r="L355" t="s">
        <v>309</v>
      </c>
      <c r="M355" t="s">
        <v>310</v>
      </c>
      <c r="N355" t="s">
        <v>311</v>
      </c>
      <c r="O355">
        <v>21000</v>
      </c>
      <c r="P355" t="s">
        <v>46</v>
      </c>
      <c r="Q355" t="s">
        <v>47</v>
      </c>
      <c r="R355" t="s">
        <v>48</v>
      </c>
      <c r="T355" t="s">
        <v>36</v>
      </c>
      <c r="U355" t="s">
        <v>36</v>
      </c>
      <c r="V355" t="s">
        <v>36</v>
      </c>
      <c r="W355">
        <v>4000</v>
      </c>
      <c r="X355" t="s">
        <v>49</v>
      </c>
      <c r="Y355" t="s">
        <v>50</v>
      </c>
      <c r="Z355" t="s">
        <v>51</v>
      </c>
      <c r="AA355" t="s">
        <v>37</v>
      </c>
      <c r="AB355" t="s">
        <v>52</v>
      </c>
      <c r="AC355" t="s">
        <v>53</v>
      </c>
      <c r="AD355" t="s">
        <v>54</v>
      </c>
      <c r="AE355">
        <v>207.85620567399999</v>
      </c>
      <c r="AF355">
        <v>8011</v>
      </c>
      <c r="AG355">
        <v>8011.3012413799997</v>
      </c>
      <c r="AH355">
        <v>2078595.5321599999</v>
      </c>
      <c r="AI355">
        <v>59</v>
      </c>
      <c r="AJ355">
        <v>713863.68552938395</v>
      </c>
      <c r="AK355" s="1">
        <f>intersection_ss_Lden___surface[[#This Row],[surf m2 bout ss]]/intersection_ss_Lden___surface[[#This Row],[Shape_Area]]</f>
        <v>0.34343559123672468</v>
      </c>
      <c r="AL355">
        <v>1</v>
      </c>
      <c r="AM355">
        <f>intersection_ss_Lden___surface[[#This Row],[Population totale 2024 ss]]*intersection_ss_Lden___surface[[#This Row],[Part de la surface du qs dans le noise contour]]</f>
        <v>0.34343559123672468</v>
      </c>
    </row>
    <row r="356" spans="1:39" x14ac:dyDescent="0.3">
      <c r="A356">
        <v>386</v>
      </c>
      <c r="B356" t="s">
        <v>578</v>
      </c>
      <c r="C356" t="s">
        <v>579</v>
      </c>
      <c r="D356" t="s">
        <v>580</v>
      </c>
      <c r="E356" t="s">
        <v>580</v>
      </c>
      <c r="F356" t="s">
        <v>568</v>
      </c>
      <c r="G356" t="s">
        <v>569</v>
      </c>
      <c r="H356" t="s">
        <v>570</v>
      </c>
      <c r="I356" t="s">
        <v>571</v>
      </c>
      <c r="J356" t="s">
        <v>36</v>
      </c>
      <c r="K356">
        <v>21004</v>
      </c>
      <c r="L356" t="s">
        <v>309</v>
      </c>
      <c r="M356" t="s">
        <v>310</v>
      </c>
      <c r="N356" t="s">
        <v>311</v>
      </c>
      <c r="O356">
        <v>21000</v>
      </c>
      <c r="P356" t="s">
        <v>46</v>
      </c>
      <c r="Q356" t="s">
        <v>47</v>
      </c>
      <c r="R356" t="s">
        <v>48</v>
      </c>
      <c r="T356" t="s">
        <v>36</v>
      </c>
      <c r="U356" t="s">
        <v>36</v>
      </c>
      <c r="V356" t="s">
        <v>36</v>
      </c>
      <c r="W356">
        <v>4000</v>
      </c>
      <c r="X356" t="s">
        <v>49</v>
      </c>
      <c r="Y356" t="s">
        <v>50</v>
      </c>
      <c r="Z356" t="s">
        <v>51</v>
      </c>
      <c r="AA356" t="s">
        <v>37</v>
      </c>
      <c r="AB356" t="s">
        <v>52</v>
      </c>
      <c r="AC356" t="s">
        <v>53</v>
      </c>
      <c r="AD356" t="s">
        <v>54</v>
      </c>
      <c r="AE356">
        <v>207.85620567399999</v>
      </c>
      <c r="AF356">
        <v>8011</v>
      </c>
      <c r="AG356">
        <v>8011.3012413799997</v>
      </c>
      <c r="AH356">
        <v>2078595.5321599999</v>
      </c>
      <c r="AI356">
        <v>60</v>
      </c>
      <c r="AJ356">
        <v>216147.28137641199</v>
      </c>
      <c r="AK356" s="1">
        <f>intersection_ss_Lden___surface[[#This Row],[surf m2 bout ss]]/intersection_ss_Lden___surface[[#This Row],[Shape_Area]]</f>
        <v>0.10398717693374415</v>
      </c>
      <c r="AL356">
        <v>1</v>
      </c>
      <c r="AM356">
        <f>intersection_ss_Lden___surface[[#This Row],[Population totale 2024 ss]]*intersection_ss_Lden___surface[[#This Row],[Part de la surface du qs dans le noise contour]]</f>
        <v>0.10398717693374415</v>
      </c>
    </row>
    <row r="357" spans="1:39" x14ac:dyDescent="0.3">
      <c r="A357">
        <v>387</v>
      </c>
      <c r="B357" t="s">
        <v>581</v>
      </c>
      <c r="C357" t="s">
        <v>582</v>
      </c>
      <c r="D357" t="s">
        <v>582</v>
      </c>
      <c r="E357" t="s">
        <v>582</v>
      </c>
      <c r="F357" t="s">
        <v>568</v>
      </c>
      <c r="G357" t="s">
        <v>569</v>
      </c>
      <c r="H357" t="s">
        <v>570</v>
      </c>
      <c r="I357" t="s">
        <v>571</v>
      </c>
      <c r="J357" t="s">
        <v>36</v>
      </c>
      <c r="K357">
        <v>21004</v>
      </c>
      <c r="L357" t="s">
        <v>309</v>
      </c>
      <c r="M357" t="s">
        <v>310</v>
      </c>
      <c r="N357" t="s">
        <v>311</v>
      </c>
      <c r="O357">
        <v>21000</v>
      </c>
      <c r="P357" t="s">
        <v>46</v>
      </c>
      <c r="Q357" t="s">
        <v>47</v>
      </c>
      <c r="R357" t="s">
        <v>48</v>
      </c>
      <c r="T357" t="s">
        <v>36</v>
      </c>
      <c r="U357" t="s">
        <v>36</v>
      </c>
      <c r="V357" t="s">
        <v>36</v>
      </c>
      <c r="W357">
        <v>4000</v>
      </c>
      <c r="X357" t="s">
        <v>49</v>
      </c>
      <c r="Y357" t="s">
        <v>50</v>
      </c>
      <c r="Z357" t="s">
        <v>51</v>
      </c>
      <c r="AA357" t="s">
        <v>37</v>
      </c>
      <c r="AB357" t="s">
        <v>52</v>
      </c>
      <c r="AC357" t="s">
        <v>53</v>
      </c>
      <c r="AD357" t="s">
        <v>54</v>
      </c>
      <c r="AE357">
        <v>65.919799951200005</v>
      </c>
      <c r="AF357">
        <v>5423</v>
      </c>
      <c r="AG357">
        <v>5422.5991313699997</v>
      </c>
      <c r="AH357">
        <v>659208.63543999998</v>
      </c>
      <c r="AI357">
        <v>59</v>
      </c>
      <c r="AJ357">
        <v>74759.045029832996</v>
      </c>
      <c r="AK357" s="1">
        <f>intersection_ss_Lden___surface[[#This Row],[surf m2 bout ss]]/intersection_ss_Lden___surface[[#This Row],[Shape_Area]]</f>
        <v>0.11340725987294417</v>
      </c>
      <c r="AL357">
        <v>521</v>
      </c>
      <c r="AM357">
        <f>intersection_ss_Lden___surface[[#This Row],[Population totale 2024 ss]]*intersection_ss_Lden___surface[[#This Row],[Part de la surface du qs dans le noise contour]]</f>
        <v>59.085182393803912</v>
      </c>
    </row>
    <row r="358" spans="1:39" x14ac:dyDescent="0.3">
      <c r="A358">
        <v>388</v>
      </c>
      <c r="B358" t="s">
        <v>581</v>
      </c>
      <c r="C358" t="s">
        <v>582</v>
      </c>
      <c r="D358" t="s">
        <v>582</v>
      </c>
      <c r="E358" t="s">
        <v>582</v>
      </c>
      <c r="F358" t="s">
        <v>568</v>
      </c>
      <c r="G358" t="s">
        <v>569</v>
      </c>
      <c r="H358" t="s">
        <v>570</v>
      </c>
      <c r="I358" t="s">
        <v>571</v>
      </c>
      <c r="J358" t="s">
        <v>36</v>
      </c>
      <c r="K358">
        <v>21004</v>
      </c>
      <c r="L358" t="s">
        <v>309</v>
      </c>
      <c r="M358" t="s">
        <v>310</v>
      </c>
      <c r="N358" t="s">
        <v>311</v>
      </c>
      <c r="O358">
        <v>21000</v>
      </c>
      <c r="P358" t="s">
        <v>46</v>
      </c>
      <c r="Q358" t="s">
        <v>47</v>
      </c>
      <c r="R358" t="s">
        <v>48</v>
      </c>
      <c r="T358" t="s">
        <v>36</v>
      </c>
      <c r="U358" t="s">
        <v>36</v>
      </c>
      <c r="V358" t="s">
        <v>36</v>
      </c>
      <c r="W358">
        <v>4000</v>
      </c>
      <c r="X358" t="s">
        <v>49</v>
      </c>
      <c r="Y358" t="s">
        <v>50</v>
      </c>
      <c r="Z358" t="s">
        <v>51</v>
      </c>
      <c r="AA358" t="s">
        <v>37</v>
      </c>
      <c r="AB358" t="s">
        <v>52</v>
      </c>
      <c r="AC358" t="s">
        <v>53</v>
      </c>
      <c r="AD358" t="s">
        <v>54</v>
      </c>
      <c r="AE358">
        <v>65.919799951200005</v>
      </c>
      <c r="AF358">
        <v>5423</v>
      </c>
      <c r="AG358">
        <v>5422.5991313699997</v>
      </c>
      <c r="AH358">
        <v>659208.63543999998</v>
      </c>
      <c r="AI358">
        <v>60</v>
      </c>
      <c r="AJ358">
        <v>122124.68377639999</v>
      </c>
      <c r="AK358" s="1">
        <f>intersection_ss_Lden___surface[[#This Row],[surf m2 bout ss]]/intersection_ss_Lden___surface[[#This Row],[Shape_Area]]</f>
        <v>0.1852595327348614</v>
      </c>
      <c r="AL358">
        <v>521</v>
      </c>
      <c r="AM358">
        <f>intersection_ss_Lden___surface[[#This Row],[Population totale 2024 ss]]*intersection_ss_Lden___surface[[#This Row],[Part de la surface du qs dans le noise contour]]</f>
        <v>96.520216554862785</v>
      </c>
    </row>
    <row r="359" spans="1:39" x14ac:dyDescent="0.3">
      <c r="A359">
        <v>389</v>
      </c>
      <c r="B359" t="s">
        <v>581</v>
      </c>
      <c r="C359" t="s">
        <v>582</v>
      </c>
      <c r="D359" t="s">
        <v>582</v>
      </c>
      <c r="E359" t="s">
        <v>582</v>
      </c>
      <c r="F359" t="s">
        <v>568</v>
      </c>
      <c r="G359" t="s">
        <v>569</v>
      </c>
      <c r="H359" t="s">
        <v>570</v>
      </c>
      <c r="I359" t="s">
        <v>571</v>
      </c>
      <c r="J359" t="s">
        <v>36</v>
      </c>
      <c r="K359">
        <v>21004</v>
      </c>
      <c r="L359" t="s">
        <v>309</v>
      </c>
      <c r="M359" t="s">
        <v>310</v>
      </c>
      <c r="N359" t="s">
        <v>311</v>
      </c>
      <c r="O359">
        <v>21000</v>
      </c>
      <c r="P359" t="s">
        <v>46</v>
      </c>
      <c r="Q359" t="s">
        <v>47</v>
      </c>
      <c r="R359" t="s">
        <v>48</v>
      </c>
      <c r="T359" t="s">
        <v>36</v>
      </c>
      <c r="U359" t="s">
        <v>36</v>
      </c>
      <c r="V359" t="s">
        <v>36</v>
      </c>
      <c r="W359">
        <v>4000</v>
      </c>
      <c r="X359" t="s">
        <v>49</v>
      </c>
      <c r="Y359" t="s">
        <v>50</v>
      </c>
      <c r="Z359" t="s">
        <v>51</v>
      </c>
      <c r="AA359" t="s">
        <v>37</v>
      </c>
      <c r="AB359" t="s">
        <v>52</v>
      </c>
      <c r="AC359" t="s">
        <v>53</v>
      </c>
      <c r="AD359" t="s">
        <v>54</v>
      </c>
      <c r="AE359">
        <v>65.919799951200005</v>
      </c>
      <c r="AF359">
        <v>5423</v>
      </c>
      <c r="AG359">
        <v>5422.5991313699997</v>
      </c>
      <c r="AH359">
        <v>659208.63543999998</v>
      </c>
      <c r="AI359">
        <v>61</v>
      </c>
      <c r="AJ359">
        <v>123457.59908478599</v>
      </c>
      <c r="AK359" s="1">
        <f>intersection_ss_Lden___surface[[#This Row],[surf m2 bout ss]]/intersection_ss_Lden___surface[[#This Row],[Shape_Area]]</f>
        <v>0.18728152582889349</v>
      </c>
      <c r="AL359">
        <v>521</v>
      </c>
      <c r="AM359">
        <f>intersection_ss_Lden___surface[[#This Row],[Population totale 2024 ss]]*intersection_ss_Lden___surface[[#This Row],[Part de la surface du qs dans le noise contour]]</f>
        <v>97.573674956853509</v>
      </c>
    </row>
    <row r="360" spans="1:39" x14ac:dyDescent="0.3">
      <c r="A360">
        <v>390</v>
      </c>
      <c r="B360" t="s">
        <v>581</v>
      </c>
      <c r="C360" t="s">
        <v>582</v>
      </c>
      <c r="D360" t="s">
        <v>582</v>
      </c>
      <c r="E360" t="s">
        <v>582</v>
      </c>
      <c r="F360" t="s">
        <v>568</v>
      </c>
      <c r="G360" t="s">
        <v>569</v>
      </c>
      <c r="H360" t="s">
        <v>570</v>
      </c>
      <c r="I360" t="s">
        <v>571</v>
      </c>
      <c r="J360" t="s">
        <v>36</v>
      </c>
      <c r="K360">
        <v>21004</v>
      </c>
      <c r="L360" t="s">
        <v>309</v>
      </c>
      <c r="M360" t="s">
        <v>310</v>
      </c>
      <c r="N360" t="s">
        <v>311</v>
      </c>
      <c r="O360">
        <v>21000</v>
      </c>
      <c r="P360" t="s">
        <v>46</v>
      </c>
      <c r="Q360" t="s">
        <v>47</v>
      </c>
      <c r="R360" t="s">
        <v>48</v>
      </c>
      <c r="T360" t="s">
        <v>36</v>
      </c>
      <c r="U360" t="s">
        <v>36</v>
      </c>
      <c r="V360" t="s">
        <v>36</v>
      </c>
      <c r="W360">
        <v>4000</v>
      </c>
      <c r="X360" t="s">
        <v>49</v>
      </c>
      <c r="Y360" t="s">
        <v>50</v>
      </c>
      <c r="Z360" t="s">
        <v>51</v>
      </c>
      <c r="AA360" t="s">
        <v>37</v>
      </c>
      <c r="AB360" t="s">
        <v>52</v>
      </c>
      <c r="AC360" t="s">
        <v>53</v>
      </c>
      <c r="AD360" t="s">
        <v>54</v>
      </c>
      <c r="AE360">
        <v>65.919799951200005</v>
      </c>
      <c r="AF360">
        <v>5423</v>
      </c>
      <c r="AG360">
        <v>5422.5991313699997</v>
      </c>
      <c r="AH360">
        <v>659208.63543999998</v>
      </c>
      <c r="AI360">
        <v>62</v>
      </c>
      <c r="AJ360">
        <v>209836.84901075799</v>
      </c>
      <c r="AK360" s="1">
        <f>intersection_ss_Lden___surface[[#This Row],[surf m2 bout ss]]/intersection_ss_Lden___surface[[#This Row],[Shape_Area]]</f>
        <v>0.31831629279355361</v>
      </c>
      <c r="AL360">
        <v>521</v>
      </c>
      <c r="AM360">
        <f>intersection_ss_Lden___surface[[#This Row],[Population totale 2024 ss]]*intersection_ss_Lden___surface[[#This Row],[Part de la surface du qs dans le noise contour]]</f>
        <v>165.84278854544144</v>
      </c>
    </row>
    <row r="361" spans="1:39" x14ac:dyDescent="0.3">
      <c r="A361">
        <v>391</v>
      </c>
      <c r="B361" t="s">
        <v>581</v>
      </c>
      <c r="C361" t="s">
        <v>582</v>
      </c>
      <c r="D361" t="s">
        <v>582</v>
      </c>
      <c r="E361" t="s">
        <v>582</v>
      </c>
      <c r="F361" t="s">
        <v>568</v>
      </c>
      <c r="G361" t="s">
        <v>569</v>
      </c>
      <c r="H361" t="s">
        <v>570</v>
      </c>
      <c r="I361" t="s">
        <v>571</v>
      </c>
      <c r="J361" t="s">
        <v>36</v>
      </c>
      <c r="K361">
        <v>21004</v>
      </c>
      <c r="L361" t="s">
        <v>309</v>
      </c>
      <c r="M361" t="s">
        <v>310</v>
      </c>
      <c r="N361" t="s">
        <v>311</v>
      </c>
      <c r="O361">
        <v>21000</v>
      </c>
      <c r="P361" t="s">
        <v>46</v>
      </c>
      <c r="Q361" t="s">
        <v>47</v>
      </c>
      <c r="R361" t="s">
        <v>48</v>
      </c>
      <c r="T361" t="s">
        <v>36</v>
      </c>
      <c r="U361" t="s">
        <v>36</v>
      </c>
      <c r="V361" t="s">
        <v>36</v>
      </c>
      <c r="W361">
        <v>4000</v>
      </c>
      <c r="X361" t="s">
        <v>49</v>
      </c>
      <c r="Y361" t="s">
        <v>50</v>
      </c>
      <c r="Z361" t="s">
        <v>51</v>
      </c>
      <c r="AA361" t="s">
        <v>37</v>
      </c>
      <c r="AB361" t="s">
        <v>52</v>
      </c>
      <c r="AC361" t="s">
        <v>53</v>
      </c>
      <c r="AD361" t="s">
        <v>54</v>
      </c>
      <c r="AE361">
        <v>65.919799951200005</v>
      </c>
      <c r="AF361">
        <v>5423</v>
      </c>
      <c r="AG361">
        <v>5422.5991313699997</v>
      </c>
      <c r="AH361">
        <v>659208.63543999998</v>
      </c>
      <c r="AI361">
        <v>63</v>
      </c>
      <c r="AJ361">
        <v>121813.99599073701</v>
      </c>
      <c r="AK361" s="1">
        <f>intersection_ss_Lden___surface[[#This Row],[surf m2 bout ss]]/intersection_ss_Lden___surface[[#This Row],[Shape_Area]]</f>
        <v>0.18478822855442448</v>
      </c>
      <c r="AL361">
        <v>521</v>
      </c>
      <c r="AM361">
        <f>intersection_ss_Lden___surface[[#This Row],[Population totale 2024 ss]]*intersection_ss_Lden___surface[[#This Row],[Part de la surface du qs dans le noise contour]]</f>
        <v>96.274667076855152</v>
      </c>
    </row>
    <row r="362" spans="1:39" x14ac:dyDescent="0.3">
      <c r="A362">
        <v>392</v>
      </c>
      <c r="B362" t="s">
        <v>581</v>
      </c>
      <c r="C362" t="s">
        <v>582</v>
      </c>
      <c r="D362" t="s">
        <v>582</v>
      </c>
      <c r="E362" t="s">
        <v>582</v>
      </c>
      <c r="F362" t="s">
        <v>568</v>
      </c>
      <c r="G362" t="s">
        <v>569</v>
      </c>
      <c r="H362" t="s">
        <v>570</v>
      </c>
      <c r="I362" t="s">
        <v>571</v>
      </c>
      <c r="J362" t="s">
        <v>36</v>
      </c>
      <c r="K362">
        <v>21004</v>
      </c>
      <c r="L362" t="s">
        <v>309</v>
      </c>
      <c r="M362" t="s">
        <v>310</v>
      </c>
      <c r="N362" t="s">
        <v>311</v>
      </c>
      <c r="O362">
        <v>21000</v>
      </c>
      <c r="P362" t="s">
        <v>46</v>
      </c>
      <c r="Q362" t="s">
        <v>47</v>
      </c>
      <c r="R362" t="s">
        <v>48</v>
      </c>
      <c r="T362" t="s">
        <v>36</v>
      </c>
      <c r="U362" t="s">
        <v>36</v>
      </c>
      <c r="V362" t="s">
        <v>36</v>
      </c>
      <c r="W362">
        <v>4000</v>
      </c>
      <c r="X362" t="s">
        <v>49</v>
      </c>
      <c r="Y362" t="s">
        <v>50</v>
      </c>
      <c r="Z362" t="s">
        <v>51</v>
      </c>
      <c r="AA362" t="s">
        <v>37</v>
      </c>
      <c r="AB362" t="s">
        <v>52</v>
      </c>
      <c r="AC362" t="s">
        <v>53</v>
      </c>
      <c r="AD362" t="s">
        <v>54</v>
      </c>
      <c r="AE362">
        <v>65.919799951200005</v>
      </c>
      <c r="AF362">
        <v>5423</v>
      </c>
      <c r="AG362">
        <v>5422.5991313699997</v>
      </c>
      <c r="AH362">
        <v>659208.63543999998</v>
      </c>
      <c r="AI362">
        <v>64</v>
      </c>
      <c r="AJ362">
        <v>7273.7550930678799</v>
      </c>
      <c r="AK362" s="1">
        <f>intersection_ss_Lden___surface[[#This Row],[surf m2 bout ss]]/intersection_ss_Lden___surface[[#This Row],[Shape_Area]]</f>
        <v>1.1034071312207384E-2</v>
      </c>
      <c r="AL362">
        <v>521</v>
      </c>
      <c r="AM362">
        <f>intersection_ss_Lden___surface[[#This Row],[Population totale 2024 ss]]*intersection_ss_Lden___surface[[#This Row],[Part de la surface du qs dans le noise contour]]</f>
        <v>5.7487511536600469</v>
      </c>
    </row>
    <row r="363" spans="1:39" x14ac:dyDescent="0.3">
      <c r="A363">
        <v>393</v>
      </c>
      <c r="B363" t="s">
        <v>583</v>
      </c>
      <c r="C363" t="s">
        <v>584</v>
      </c>
      <c r="D363" t="s">
        <v>585</v>
      </c>
      <c r="E363" t="s">
        <v>585</v>
      </c>
      <c r="F363" t="s">
        <v>568</v>
      </c>
      <c r="G363" t="s">
        <v>569</v>
      </c>
      <c r="H363" t="s">
        <v>570</v>
      </c>
      <c r="I363" t="s">
        <v>571</v>
      </c>
      <c r="J363" t="s">
        <v>36</v>
      </c>
      <c r="K363">
        <v>21004</v>
      </c>
      <c r="L363" t="s">
        <v>309</v>
      </c>
      <c r="M363" t="s">
        <v>310</v>
      </c>
      <c r="N363" t="s">
        <v>311</v>
      </c>
      <c r="O363">
        <v>21000</v>
      </c>
      <c r="P363" t="s">
        <v>46</v>
      </c>
      <c r="Q363" t="s">
        <v>47</v>
      </c>
      <c r="R363" t="s">
        <v>48</v>
      </c>
      <c r="T363" t="s">
        <v>36</v>
      </c>
      <c r="U363" t="s">
        <v>36</v>
      </c>
      <c r="V363" t="s">
        <v>36</v>
      </c>
      <c r="W363">
        <v>4000</v>
      </c>
      <c r="X363" t="s">
        <v>49</v>
      </c>
      <c r="Y363" t="s">
        <v>50</v>
      </c>
      <c r="Z363" t="s">
        <v>51</v>
      </c>
      <c r="AA363" t="s">
        <v>37</v>
      </c>
      <c r="AB363" t="s">
        <v>52</v>
      </c>
      <c r="AC363" t="s">
        <v>53</v>
      </c>
      <c r="AD363" t="s">
        <v>54</v>
      </c>
      <c r="AE363">
        <v>210.60987001399999</v>
      </c>
      <c r="AF363">
        <v>6806</v>
      </c>
      <c r="AG363">
        <v>6806.0055636400002</v>
      </c>
      <c r="AH363">
        <v>2106132.5976800001</v>
      </c>
      <c r="AI363">
        <v>57</v>
      </c>
      <c r="AJ363">
        <v>183592.50383156701</v>
      </c>
      <c r="AK363" s="1">
        <f>intersection_ss_Lden___surface[[#This Row],[surf m2 bout ss]]/intersection_ss_Lden___surface[[#This Row],[Shape_Area]]</f>
        <v>8.7170439332168559E-2</v>
      </c>
      <c r="AL363">
        <v>838</v>
      </c>
      <c r="AM363">
        <f>intersection_ss_Lden___surface[[#This Row],[Population totale 2024 ss]]*intersection_ss_Lden___surface[[#This Row],[Part de la surface du qs dans le noise contour]]</f>
        <v>73.048828160357246</v>
      </c>
    </row>
    <row r="364" spans="1:39" x14ac:dyDescent="0.3">
      <c r="A364">
        <v>394</v>
      </c>
      <c r="B364" t="s">
        <v>583</v>
      </c>
      <c r="C364" t="s">
        <v>584</v>
      </c>
      <c r="D364" t="s">
        <v>585</v>
      </c>
      <c r="E364" t="s">
        <v>585</v>
      </c>
      <c r="F364" t="s">
        <v>568</v>
      </c>
      <c r="G364" t="s">
        <v>569</v>
      </c>
      <c r="H364" t="s">
        <v>570</v>
      </c>
      <c r="I364" t="s">
        <v>571</v>
      </c>
      <c r="J364" t="s">
        <v>36</v>
      </c>
      <c r="K364">
        <v>21004</v>
      </c>
      <c r="L364" t="s">
        <v>309</v>
      </c>
      <c r="M364" t="s">
        <v>310</v>
      </c>
      <c r="N364" t="s">
        <v>311</v>
      </c>
      <c r="O364">
        <v>21000</v>
      </c>
      <c r="P364" t="s">
        <v>46</v>
      </c>
      <c r="Q364" t="s">
        <v>47</v>
      </c>
      <c r="R364" t="s">
        <v>48</v>
      </c>
      <c r="T364" t="s">
        <v>36</v>
      </c>
      <c r="U364" t="s">
        <v>36</v>
      </c>
      <c r="V364" t="s">
        <v>36</v>
      </c>
      <c r="W364">
        <v>4000</v>
      </c>
      <c r="X364" t="s">
        <v>49</v>
      </c>
      <c r="Y364" t="s">
        <v>50</v>
      </c>
      <c r="Z364" t="s">
        <v>51</v>
      </c>
      <c r="AA364" t="s">
        <v>37</v>
      </c>
      <c r="AB364" t="s">
        <v>52</v>
      </c>
      <c r="AC364" t="s">
        <v>53</v>
      </c>
      <c r="AD364" t="s">
        <v>54</v>
      </c>
      <c r="AE364">
        <v>210.60987001399999</v>
      </c>
      <c r="AF364">
        <v>6806</v>
      </c>
      <c r="AG364">
        <v>6806.0055636400002</v>
      </c>
      <c r="AH364">
        <v>2106132.5976800001</v>
      </c>
      <c r="AI364">
        <v>58</v>
      </c>
      <c r="AJ364">
        <v>764771.17031301197</v>
      </c>
      <c r="AK364" s="1">
        <f>intersection_ss_Lden___surface[[#This Row],[surf m2 bout ss]]/intersection_ss_Lden___surface[[#This Row],[Shape_Area]]</f>
        <v>0.36311634469522092</v>
      </c>
      <c r="AL364">
        <v>838</v>
      </c>
      <c r="AM364">
        <f>intersection_ss_Lden___surface[[#This Row],[Population totale 2024 ss]]*intersection_ss_Lden___surface[[#This Row],[Part de la surface du qs dans le noise contour]]</f>
        <v>304.29149685459515</v>
      </c>
    </row>
    <row r="365" spans="1:39" x14ac:dyDescent="0.3">
      <c r="A365">
        <v>395</v>
      </c>
      <c r="B365" t="s">
        <v>583</v>
      </c>
      <c r="C365" t="s">
        <v>584</v>
      </c>
      <c r="D365" t="s">
        <v>585</v>
      </c>
      <c r="E365" t="s">
        <v>585</v>
      </c>
      <c r="F365" t="s">
        <v>568</v>
      </c>
      <c r="G365" t="s">
        <v>569</v>
      </c>
      <c r="H365" t="s">
        <v>570</v>
      </c>
      <c r="I365" t="s">
        <v>571</v>
      </c>
      <c r="J365" t="s">
        <v>36</v>
      </c>
      <c r="K365">
        <v>21004</v>
      </c>
      <c r="L365" t="s">
        <v>309</v>
      </c>
      <c r="M365" t="s">
        <v>310</v>
      </c>
      <c r="N365" t="s">
        <v>311</v>
      </c>
      <c r="O365">
        <v>21000</v>
      </c>
      <c r="P365" t="s">
        <v>46</v>
      </c>
      <c r="Q365" t="s">
        <v>47</v>
      </c>
      <c r="R365" t="s">
        <v>48</v>
      </c>
      <c r="T365" t="s">
        <v>36</v>
      </c>
      <c r="U365" t="s">
        <v>36</v>
      </c>
      <c r="V365" t="s">
        <v>36</v>
      </c>
      <c r="W365">
        <v>4000</v>
      </c>
      <c r="X365" t="s">
        <v>49</v>
      </c>
      <c r="Y365" t="s">
        <v>50</v>
      </c>
      <c r="Z365" t="s">
        <v>51</v>
      </c>
      <c r="AA365" t="s">
        <v>37</v>
      </c>
      <c r="AB365" t="s">
        <v>52</v>
      </c>
      <c r="AC365" t="s">
        <v>53</v>
      </c>
      <c r="AD365" t="s">
        <v>54</v>
      </c>
      <c r="AE365">
        <v>210.60987001399999</v>
      </c>
      <c r="AF365">
        <v>6806</v>
      </c>
      <c r="AG365">
        <v>6806.0055636400002</v>
      </c>
      <c r="AH365">
        <v>2106132.5976800001</v>
      </c>
      <c r="AI365">
        <v>59</v>
      </c>
      <c r="AJ365">
        <v>672657.39512174996</v>
      </c>
      <c r="AK365" s="1">
        <f>intersection_ss_Lden___surface[[#This Row],[surf m2 bout ss]]/intersection_ss_Lden___surface[[#This Row],[Shape_Area]]</f>
        <v>0.31938036373527118</v>
      </c>
      <c r="AL365">
        <v>838</v>
      </c>
      <c r="AM365">
        <f>intersection_ss_Lden___surface[[#This Row],[Population totale 2024 ss]]*intersection_ss_Lden___surface[[#This Row],[Part de la surface du qs dans le noise contour]]</f>
        <v>267.64074481015723</v>
      </c>
    </row>
    <row r="366" spans="1:39" x14ac:dyDescent="0.3">
      <c r="A366">
        <v>396</v>
      </c>
      <c r="B366" t="s">
        <v>583</v>
      </c>
      <c r="C366" t="s">
        <v>584</v>
      </c>
      <c r="D366" t="s">
        <v>585</v>
      </c>
      <c r="E366" t="s">
        <v>585</v>
      </c>
      <c r="F366" t="s">
        <v>568</v>
      </c>
      <c r="G366" t="s">
        <v>569</v>
      </c>
      <c r="H366" t="s">
        <v>570</v>
      </c>
      <c r="I366" t="s">
        <v>571</v>
      </c>
      <c r="J366" t="s">
        <v>36</v>
      </c>
      <c r="K366">
        <v>21004</v>
      </c>
      <c r="L366" t="s">
        <v>309</v>
      </c>
      <c r="M366" t="s">
        <v>310</v>
      </c>
      <c r="N366" t="s">
        <v>311</v>
      </c>
      <c r="O366">
        <v>21000</v>
      </c>
      <c r="P366" t="s">
        <v>46</v>
      </c>
      <c r="Q366" t="s">
        <v>47</v>
      </c>
      <c r="R366" t="s">
        <v>48</v>
      </c>
      <c r="T366" t="s">
        <v>36</v>
      </c>
      <c r="U366" t="s">
        <v>36</v>
      </c>
      <c r="V366" t="s">
        <v>36</v>
      </c>
      <c r="W366">
        <v>4000</v>
      </c>
      <c r="X366" t="s">
        <v>49</v>
      </c>
      <c r="Y366" t="s">
        <v>50</v>
      </c>
      <c r="Z366" t="s">
        <v>51</v>
      </c>
      <c r="AA366" t="s">
        <v>37</v>
      </c>
      <c r="AB366" t="s">
        <v>52</v>
      </c>
      <c r="AC366" t="s">
        <v>53</v>
      </c>
      <c r="AD366" t="s">
        <v>54</v>
      </c>
      <c r="AE366">
        <v>210.60987001399999</v>
      </c>
      <c r="AF366">
        <v>6806</v>
      </c>
      <c r="AG366">
        <v>6806.0055636400002</v>
      </c>
      <c r="AH366">
        <v>2106132.5976800001</v>
      </c>
      <c r="AI366">
        <v>60</v>
      </c>
      <c r="AJ366">
        <v>404953.17233167699</v>
      </c>
      <c r="AK366" s="1">
        <f>intersection_ss_Lden___surface[[#This Row],[surf m2 bout ss]]/intersection_ss_Lden___surface[[#This Row],[Shape_Area]]</f>
        <v>0.19227335105954446</v>
      </c>
      <c r="AL366">
        <v>838</v>
      </c>
      <c r="AM366">
        <f>intersection_ss_Lden___surface[[#This Row],[Population totale 2024 ss]]*intersection_ss_Lden___surface[[#This Row],[Part de la surface du qs dans le noise contour]]</f>
        <v>161.12506818789825</v>
      </c>
    </row>
    <row r="367" spans="1:39" x14ac:dyDescent="0.3">
      <c r="A367">
        <v>397</v>
      </c>
      <c r="B367" t="s">
        <v>583</v>
      </c>
      <c r="C367" t="s">
        <v>584</v>
      </c>
      <c r="D367" t="s">
        <v>585</v>
      </c>
      <c r="E367" t="s">
        <v>585</v>
      </c>
      <c r="F367" t="s">
        <v>568</v>
      </c>
      <c r="G367" t="s">
        <v>569</v>
      </c>
      <c r="H367" t="s">
        <v>570</v>
      </c>
      <c r="I367" t="s">
        <v>571</v>
      </c>
      <c r="J367" t="s">
        <v>36</v>
      </c>
      <c r="K367">
        <v>21004</v>
      </c>
      <c r="L367" t="s">
        <v>309</v>
      </c>
      <c r="M367" t="s">
        <v>310</v>
      </c>
      <c r="N367" t="s">
        <v>311</v>
      </c>
      <c r="O367">
        <v>21000</v>
      </c>
      <c r="P367" t="s">
        <v>46</v>
      </c>
      <c r="Q367" t="s">
        <v>47</v>
      </c>
      <c r="R367" t="s">
        <v>48</v>
      </c>
      <c r="T367" t="s">
        <v>36</v>
      </c>
      <c r="U367" t="s">
        <v>36</v>
      </c>
      <c r="V367" t="s">
        <v>36</v>
      </c>
      <c r="W367">
        <v>4000</v>
      </c>
      <c r="X367" t="s">
        <v>49</v>
      </c>
      <c r="Y367" t="s">
        <v>50</v>
      </c>
      <c r="Z367" t="s">
        <v>51</v>
      </c>
      <c r="AA367" t="s">
        <v>37</v>
      </c>
      <c r="AB367" t="s">
        <v>52</v>
      </c>
      <c r="AC367" t="s">
        <v>53</v>
      </c>
      <c r="AD367" t="s">
        <v>54</v>
      </c>
      <c r="AE367">
        <v>210.60987001399999</v>
      </c>
      <c r="AF367">
        <v>6806</v>
      </c>
      <c r="AG367">
        <v>6806.0055636400002</v>
      </c>
      <c r="AH367">
        <v>2106132.5976800001</v>
      </c>
      <c r="AI367">
        <v>61</v>
      </c>
      <c r="AJ367">
        <v>80349.989112978306</v>
      </c>
      <c r="AK367" s="1">
        <f>intersection_ss_Lden___surface[[#This Row],[surf m2 bout ss]]/intersection_ss_Lden___surface[[#This Row],[Shape_Area]]</f>
        <v>3.8150489290886734E-2</v>
      </c>
      <c r="AL367">
        <v>838</v>
      </c>
      <c r="AM367">
        <f>intersection_ss_Lden___surface[[#This Row],[Population totale 2024 ss]]*intersection_ss_Lden___surface[[#This Row],[Part de la surface du qs dans le noise contour]]</f>
        <v>31.970110025763084</v>
      </c>
    </row>
    <row r="368" spans="1:39" x14ac:dyDescent="0.3">
      <c r="A368">
        <v>398</v>
      </c>
      <c r="B368" t="s">
        <v>586</v>
      </c>
      <c r="C368" t="s">
        <v>587</v>
      </c>
      <c r="D368" t="s">
        <v>588</v>
      </c>
      <c r="E368" t="s">
        <v>588</v>
      </c>
      <c r="F368" t="s">
        <v>589</v>
      </c>
      <c r="G368" t="s">
        <v>590</v>
      </c>
      <c r="H368" t="s">
        <v>591</v>
      </c>
      <c r="I368" t="s">
        <v>591</v>
      </c>
      <c r="J368" t="s">
        <v>36</v>
      </c>
      <c r="K368">
        <v>21005</v>
      </c>
      <c r="L368" t="s">
        <v>592</v>
      </c>
      <c r="M368" t="s">
        <v>592</v>
      </c>
      <c r="N368" t="s">
        <v>592</v>
      </c>
      <c r="O368">
        <v>21000</v>
      </c>
      <c r="P368" t="s">
        <v>46</v>
      </c>
      <c r="Q368" t="s">
        <v>47</v>
      </c>
      <c r="R368" t="s">
        <v>48</v>
      </c>
      <c r="T368" t="s">
        <v>36</v>
      </c>
      <c r="U368" t="s">
        <v>36</v>
      </c>
      <c r="V368" t="s">
        <v>36</v>
      </c>
      <c r="W368">
        <v>4000</v>
      </c>
      <c r="X368" t="s">
        <v>49</v>
      </c>
      <c r="Y368" t="s">
        <v>50</v>
      </c>
      <c r="Z368" t="s">
        <v>51</v>
      </c>
      <c r="AA368" t="s">
        <v>37</v>
      </c>
      <c r="AB368" t="s">
        <v>52</v>
      </c>
      <c r="AC368" t="s">
        <v>53</v>
      </c>
      <c r="AD368" t="s">
        <v>54</v>
      </c>
      <c r="AE368">
        <v>19.657640455100001</v>
      </c>
      <c r="AF368">
        <v>2190</v>
      </c>
      <c r="AG368">
        <v>2190.5117504099999</v>
      </c>
      <c r="AH368">
        <v>196579.559278</v>
      </c>
      <c r="AI368">
        <v>45</v>
      </c>
      <c r="AJ368">
        <v>2365.4116408769</v>
      </c>
      <c r="AK368" s="1">
        <f>intersection_ss_Lden___surface[[#This Row],[surf m2 bout ss]]/intersection_ss_Lden___surface[[#This Row],[Shape_Area]]</f>
        <v>1.2032846393412495E-2</v>
      </c>
      <c r="AL368">
        <v>3557</v>
      </c>
      <c r="AM368">
        <f>intersection_ss_Lden___surface[[#This Row],[Population totale 2024 ss]]*intersection_ss_Lden___surface[[#This Row],[Part de la surface du qs dans le noise contour]]</f>
        <v>42.800834621368246</v>
      </c>
    </row>
    <row r="369" spans="1:39" x14ac:dyDescent="0.3">
      <c r="A369">
        <v>399</v>
      </c>
      <c r="B369" t="s">
        <v>593</v>
      </c>
      <c r="C369" t="s">
        <v>594</v>
      </c>
      <c r="D369" t="s">
        <v>594</v>
      </c>
      <c r="E369" t="s">
        <v>594</v>
      </c>
      <c r="F369" t="s">
        <v>589</v>
      </c>
      <c r="G369" t="s">
        <v>590</v>
      </c>
      <c r="H369" t="s">
        <v>591</v>
      </c>
      <c r="I369" t="s">
        <v>591</v>
      </c>
      <c r="J369" t="s">
        <v>36</v>
      </c>
      <c r="K369">
        <v>21005</v>
      </c>
      <c r="L369" t="s">
        <v>592</v>
      </c>
      <c r="M369" t="s">
        <v>592</v>
      </c>
      <c r="N369" t="s">
        <v>592</v>
      </c>
      <c r="O369">
        <v>21000</v>
      </c>
      <c r="P369" t="s">
        <v>46</v>
      </c>
      <c r="Q369" t="s">
        <v>47</v>
      </c>
      <c r="R369" t="s">
        <v>48</v>
      </c>
      <c r="T369" t="s">
        <v>36</v>
      </c>
      <c r="U369" t="s">
        <v>36</v>
      </c>
      <c r="V369" t="s">
        <v>36</v>
      </c>
      <c r="W369">
        <v>4000</v>
      </c>
      <c r="X369" t="s">
        <v>49</v>
      </c>
      <c r="Y369" t="s">
        <v>50</v>
      </c>
      <c r="Z369" t="s">
        <v>51</v>
      </c>
      <c r="AA369" t="s">
        <v>37</v>
      </c>
      <c r="AB369" t="s">
        <v>52</v>
      </c>
      <c r="AC369" t="s">
        <v>53</v>
      </c>
      <c r="AD369" t="s">
        <v>54</v>
      </c>
      <c r="AE369">
        <v>22.101678250399999</v>
      </c>
      <c r="AF369">
        <v>2601</v>
      </c>
      <c r="AG369">
        <v>2601.0023160400001</v>
      </c>
      <c r="AH369">
        <v>221020.33146700001</v>
      </c>
      <c r="AI369">
        <v>45</v>
      </c>
      <c r="AJ369">
        <v>28095.689873130999</v>
      </c>
      <c r="AK369" s="1">
        <f>intersection_ss_Lden___surface[[#This Row],[surf m2 bout ss]]/intersection_ss_Lden___surface[[#This Row],[Shape_Area]]</f>
        <v>0.12711812386964</v>
      </c>
      <c r="AL369">
        <v>4622</v>
      </c>
      <c r="AM369">
        <f>intersection_ss_Lden___surface[[#This Row],[Population totale 2024 ss]]*intersection_ss_Lden___surface[[#This Row],[Part de la surface du qs dans le noise contour]]</f>
        <v>587.53996852547607</v>
      </c>
    </row>
    <row r="370" spans="1:39" x14ac:dyDescent="0.3">
      <c r="A370">
        <v>400</v>
      </c>
      <c r="B370" t="s">
        <v>595</v>
      </c>
      <c r="C370" t="s">
        <v>596</v>
      </c>
      <c r="D370" t="s">
        <v>597</v>
      </c>
      <c r="E370" t="s">
        <v>597</v>
      </c>
      <c r="F370" t="s">
        <v>589</v>
      </c>
      <c r="G370" t="s">
        <v>590</v>
      </c>
      <c r="H370" t="s">
        <v>591</v>
      </c>
      <c r="I370" t="s">
        <v>591</v>
      </c>
      <c r="J370" t="s">
        <v>36</v>
      </c>
      <c r="K370">
        <v>21005</v>
      </c>
      <c r="L370" t="s">
        <v>592</v>
      </c>
      <c r="M370" t="s">
        <v>592</v>
      </c>
      <c r="N370" t="s">
        <v>592</v>
      </c>
      <c r="O370">
        <v>21000</v>
      </c>
      <c r="P370" t="s">
        <v>46</v>
      </c>
      <c r="Q370" t="s">
        <v>47</v>
      </c>
      <c r="R370" t="s">
        <v>48</v>
      </c>
      <c r="T370" t="s">
        <v>36</v>
      </c>
      <c r="U370" t="s">
        <v>36</v>
      </c>
      <c r="V370" t="s">
        <v>36</v>
      </c>
      <c r="W370">
        <v>4000</v>
      </c>
      <c r="X370" t="s">
        <v>49</v>
      </c>
      <c r="Y370" t="s">
        <v>50</v>
      </c>
      <c r="Z370" t="s">
        <v>51</v>
      </c>
      <c r="AA370" t="s">
        <v>37</v>
      </c>
      <c r="AB370" t="s">
        <v>52</v>
      </c>
      <c r="AC370" t="s">
        <v>53</v>
      </c>
      <c r="AD370" t="s">
        <v>54</v>
      </c>
      <c r="AE370">
        <v>7.6070986759799997</v>
      </c>
      <c r="AF370">
        <v>1314</v>
      </c>
      <c r="AG370">
        <v>1313.6602796300001</v>
      </c>
      <c r="AH370">
        <v>76072.217096599998</v>
      </c>
      <c r="AI370">
        <v>45</v>
      </c>
      <c r="AJ370">
        <v>9671.3840178884602</v>
      </c>
      <c r="AK370" s="1">
        <f>intersection_ss_Lden___surface[[#This Row],[surf m2 bout ss]]/intersection_ss_Lden___surface[[#This Row],[Shape_Area]]</f>
        <v>0.12713424673303911</v>
      </c>
      <c r="AL370">
        <v>297</v>
      </c>
      <c r="AM370">
        <f>intersection_ss_Lden___surface[[#This Row],[Population totale 2024 ss]]*intersection_ss_Lden___surface[[#This Row],[Part de la surface du qs dans le noise contour]]</f>
        <v>37.758871279712615</v>
      </c>
    </row>
    <row r="371" spans="1:39" x14ac:dyDescent="0.3">
      <c r="A371">
        <v>401</v>
      </c>
      <c r="B371" t="s">
        <v>598</v>
      </c>
      <c r="C371" t="s">
        <v>599</v>
      </c>
      <c r="D371" t="s">
        <v>600</v>
      </c>
      <c r="E371" t="s">
        <v>600</v>
      </c>
      <c r="F371" t="s">
        <v>601</v>
      </c>
      <c r="G371" t="s">
        <v>590</v>
      </c>
      <c r="H371" t="s">
        <v>591</v>
      </c>
      <c r="I371" t="s">
        <v>591</v>
      </c>
      <c r="J371" t="s">
        <v>36</v>
      </c>
      <c r="K371">
        <v>21005</v>
      </c>
      <c r="L371" t="s">
        <v>592</v>
      </c>
      <c r="M371" t="s">
        <v>592</v>
      </c>
      <c r="N371" t="s">
        <v>592</v>
      </c>
      <c r="O371">
        <v>21000</v>
      </c>
      <c r="P371" t="s">
        <v>46</v>
      </c>
      <c r="Q371" t="s">
        <v>47</v>
      </c>
      <c r="R371" t="s">
        <v>48</v>
      </c>
      <c r="T371" t="s">
        <v>36</v>
      </c>
      <c r="U371" t="s">
        <v>36</v>
      </c>
      <c r="V371" t="s">
        <v>36</v>
      </c>
      <c r="W371">
        <v>4000</v>
      </c>
      <c r="X371" t="s">
        <v>49</v>
      </c>
      <c r="Y371" t="s">
        <v>50</v>
      </c>
      <c r="Z371" t="s">
        <v>51</v>
      </c>
      <c r="AA371" t="s">
        <v>37</v>
      </c>
      <c r="AB371" t="s">
        <v>52</v>
      </c>
      <c r="AC371" t="s">
        <v>53</v>
      </c>
      <c r="AD371" t="s">
        <v>54</v>
      </c>
      <c r="AE371">
        <v>23.580677385000001</v>
      </c>
      <c r="AF371">
        <v>2430</v>
      </c>
      <c r="AG371">
        <v>2429.5897954500001</v>
      </c>
      <c r="AH371">
        <v>235810.56729800001</v>
      </c>
      <c r="AI371">
        <v>45</v>
      </c>
      <c r="AJ371">
        <v>145606.97910262601</v>
      </c>
      <c r="AK371" s="1">
        <f>intersection_ss_Lden___surface[[#This Row],[surf m2 bout ss]]/intersection_ss_Lden___surface[[#This Row],[Shape_Area]]</f>
        <v>0.61747435991118516</v>
      </c>
      <c r="AL371">
        <v>3390</v>
      </c>
      <c r="AM371">
        <f>intersection_ss_Lden___surface[[#This Row],[Population totale 2024 ss]]*intersection_ss_Lden___surface[[#This Row],[Part de la surface du qs dans le noise contour]]</f>
        <v>2093.2380800989176</v>
      </c>
    </row>
    <row r="372" spans="1:39" x14ac:dyDescent="0.3">
      <c r="A372">
        <v>402</v>
      </c>
      <c r="B372" t="s">
        <v>598</v>
      </c>
      <c r="C372" t="s">
        <v>599</v>
      </c>
      <c r="D372" t="s">
        <v>600</v>
      </c>
      <c r="E372" t="s">
        <v>600</v>
      </c>
      <c r="F372" t="s">
        <v>601</v>
      </c>
      <c r="G372" t="s">
        <v>590</v>
      </c>
      <c r="H372" t="s">
        <v>591</v>
      </c>
      <c r="I372" t="s">
        <v>591</v>
      </c>
      <c r="J372" t="s">
        <v>36</v>
      </c>
      <c r="K372">
        <v>21005</v>
      </c>
      <c r="L372" t="s">
        <v>592</v>
      </c>
      <c r="M372" t="s">
        <v>592</v>
      </c>
      <c r="N372" t="s">
        <v>592</v>
      </c>
      <c r="O372">
        <v>21000</v>
      </c>
      <c r="P372" t="s">
        <v>46</v>
      </c>
      <c r="Q372" t="s">
        <v>47</v>
      </c>
      <c r="R372" t="s">
        <v>48</v>
      </c>
      <c r="T372" t="s">
        <v>36</v>
      </c>
      <c r="U372" t="s">
        <v>36</v>
      </c>
      <c r="V372" t="s">
        <v>36</v>
      </c>
      <c r="W372">
        <v>4000</v>
      </c>
      <c r="X372" t="s">
        <v>49</v>
      </c>
      <c r="Y372" t="s">
        <v>50</v>
      </c>
      <c r="Z372" t="s">
        <v>51</v>
      </c>
      <c r="AA372" t="s">
        <v>37</v>
      </c>
      <c r="AB372" t="s">
        <v>52</v>
      </c>
      <c r="AC372" t="s">
        <v>53</v>
      </c>
      <c r="AD372" t="s">
        <v>54</v>
      </c>
      <c r="AE372">
        <v>23.580677385000001</v>
      </c>
      <c r="AF372">
        <v>2430</v>
      </c>
      <c r="AG372">
        <v>2429.5897954500001</v>
      </c>
      <c r="AH372">
        <v>235810.56729800001</v>
      </c>
      <c r="AI372">
        <v>46</v>
      </c>
      <c r="AJ372">
        <v>12934.2815868213</v>
      </c>
      <c r="AK372" s="1">
        <f>intersection_ss_Lden___surface[[#This Row],[surf m2 bout ss]]/intersection_ss_Lden___surface[[#This Row],[Shape_Area]]</f>
        <v>5.4850305204838037E-2</v>
      </c>
      <c r="AL372">
        <v>3390</v>
      </c>
      <c r="AM372">
        <f>intersection_ss_Lden___surface[[#This Row],[Population totale 2024 ss]]*intersection_ss_Lden___surface[[#This Row],[Part de la surface du qs dans le noise contour]]</f>
        <v>185.94253464440095</v>
      </c>
    </row>
    <row r="373" spans="1:39" x14ac:dyDescent="0.3">
      <c r="A373">
        <v>403</v>
      </c>
      <c r="B373" t="s">
        <v>602</v>
      </c>
      <c r="C373" t="s">
        <v>603</v>
      </c>
      <c r="D373" t="s">
        <v>604</v>
      </c>
      <c r="E373" t="s">
        <v>604</v>
      </c>
      <c r="F373" t="s">
        <v>601</v>
      </c>
      <c r="G373" t="s">
        <v>590</v>
      </c>
      <c r="H373" t="s">
        <v>591</v>
      </c>
      <c r="I373" t="s">
        <v>591</v>
      </c>
      <c r="J373" t="s">
        <v>36</v>
      </c>
      <c r="K373">
        <v>21005</v>
      </c>
      <c r="L373" t="s">
        <v>592</v>
      </c>
      <c r="M373" t="s">
        <v>592</v>
      </c>
      <c r="N373" t="s">
        <v>592</v>
      </c>
      <c r="O373">
        <v>21000</v>
      </c>
      <c r="P373" t="s">
        <v>46</v>
      </c>
      <c r="Q373" t="s">
        <v>47</v>
      </c>
      <c r="R373" t="s">
        <v>48</v>
      </c>
      <c r="T373" t="s">
        <v>36</v>
      </c>
      <c r="U373" t="s">
        <v>36</v>
      </c>
      <c r="V373" t="s">
        <v>36</v>
      </c>
      <c r="W373">
        <v>4000</v>
      </c>
      <c r="X373" t="s">
        <v>49</v>
      </c>
      <c r="Y373" t="s">
        <v>50</v>
      </c>
      <c r="Z373" t="s">
        <v>51</v>
      </c>
      <c r="AA373" t="s">
        <v>37</v>
      </c>
      <c r="AB373" t="s">
        <v>52</v>
      </c>
      <c r="AC373" t="s">
        <v>53</v>
      </c>
      <c r="AD373" t="s">
        <v>54</v>
      </c>
      <c r="AE373">
        <v>29.644179918700001</v>
      </c>
      <c r="AF373">
        <v>2552</v>
      </c>
      <c r="AG373">
        <v>2551.8778749899998</v>
      </c>
      <c r="AH373">
        <v>296446.57700699999</v>
      </c>
      <c r="AI373">
        <v>45</v>
      </c>
      <c r="AJ373">
        <v>87581.636766088894</v>
      </c>
      <c r="AK373" s="1">
        <f>intersection_ss_Lden___surface[[#This Row],[surf m2 bout ss]]/intersection_ss_Lden___surface[[#This Row],[Shape_Area]]</f>
        <v>0.29543817860990457</v>
      </c>
      <c r="AL373">
        <v>2069</v>
      </c>
      <c r="AM373">
        <f>intersection_ss_Lden___surface[[#This Row],[Population totale 2024 ss]]*intersection_ss_Lden___surface[[#This Row],[Part de la surface du qs dans le noise contour]]</f>
        <v>611.26159154389256</v>
      </c>
    </row>
    <row r="374" spans="1:39" x14ac:dyDescent="0.3">
      <c r="A374">
        <v>404</v>
      </c>
      <c r="B374" t="s">
        <v>605</v>
      </c>
      <c r="C374" t="s">
        <v>606</v>
      </c>
      <c r="D374" t="s">
        <v>607</v>
      </c>
      <c r="E374" t="s">
        <v>607</v>
      </c>
      <c r="F374" t="s">
        <v>608</v>
      </c>
      <c r="G374" t="s">
        <v>590</v>
      </c>
      <c r="H374" t="s">
        <v>591</v>
      </c>
      <c r="I374" t="s">
        <v>591</v>
      </c>
      <c r="J374" t="s">
        <v>36</v>
      </c>
      <c r="K374">
        <v>21005</v>
      </c>
      <c r="L374" t="s">
        <v>592</v>
      </c>
      <c r="M374" t="s">
        <v>592</v>
      </c>
      <c r="N374" t="s">
        <v>592</v>
      </c>
      <c r="O374">
        <v>21000</v>
      </c>
      <c r="P374" t="s">
        <v>46</v>
      </c>
      <c r="Q374" t="s">
        <v>47</v>
      </c>
      <c r="R374" t="s">
        <v>48</v>
      </c>
      <c r="T374" t="s">
        <v>36</v>
      </c>
      <c r="U374" t="s">
        <v>36</v>
      </c>
      <c r="V374" t="s">
        <v>36</v>
      </c>
      <c r="W374">
        <v>4000</v>
      </c>
      <c r="X374" t="s">
        <v>49</v>
      </c>
      <c r="Y374" t="s">
        <v>50</v>
      </c>
      <c r="Z374" t="s">
        <v>51</v>
      </c>
      <c r="AA374" t="s">
        <v>37</v>
      </c>
      <c r="AB374" t="s">
        <v>52</v>
      </c>
      <c r="AC374" t="s">
        <v>53</v>
      </c>
      <c r="AD374" t="s">
        <v>54</v>
      </c>
      <c r="AE374">
        <v>13.610237216</v>
      </c>
      <c r="AF374">
        <v>2056</v>
      </c>
      <c r="AG374">
        <v>2055.73264591</v>
      </c>
      <c r="AH374">
        <v>136104.562817</v>
      </c>
      <c r="AI374">
        <v>45</v>
      </c>
      <c r="AJ374">
        <v>77323.950834160001</v>
      </c>
      <c r="AK374" s="1">
        <f>intersection_ss_Lden___surface[[#This Row],[surf m2 bout ss]]/intersection_ss_Lden___surface[[#This Row],[Shape_Area]]</f>
        <v>0.56812166494466665</v>
      </c>
      <c r="AL374">
        <v>1994</v>
      </c>
      <c r="AM374">
        <f>intersection_ss_Lden___surface[[#This Row],[Population totale 2024 ss]]*intersection_ss_Lden___surface[[#This Row],[Part de la surface du qs dans le noise contour]]</f>
        <v>1132.8345998996654</v>
      </c>
    </row>
    <row r="375" spans="1:39" x14ac:dyDescent="0.3">
      <c r="A375">
        <v>405</v>
      </c>
      <c r="B375" t="s">
        <v>605</v>
      </c>
      <c r="C375" t="s">
        <v>606</v>
      </c>
      <c r="D375" t="s">
        <v>607</v>
      </c>
      <c r="E375" t="s">
        <v>607</v>
      </c>
      <c r="F375" t="s">
        <v>608</v>
      </c>
      <c r="G375" t="s">
        <v>590</v>
      </c>
      <c r="H375" t="s">
        <v>591</v>
      </c>
      <c r="I375" t="s">
        <v>591</v>
      </c>
      <c r="J375" t="s">
        <v>36</v>
      </c>
      <c r="K375">
        <v>21005</v>
      </c>
      <c r="L375" t="s">
        <v>592</v>
      </c>
      <c r="M375" t="s">
        <v>592</v>
      </c>
      <c r="N375" t="s">
        <v>592</v>
      </c>
      <c r="O375">
        <v>21000</v>
      </c>
      <c r="P375" t="s">
        <v>46</v>
      </c>
      <c r="Q375" t="s">
        <v>47</v>
      </c>
      <c r="R375" t="s">
        <v>48</v>
      </c>
      <c r="T375" t="s">
        <v>36</v>
      </c>
      <c r="U375" t="s">
        <v>36</v>
      </c>
      <c r="V375" t="s">
        <v>36</v>
      </c>
      <c r="W375">
        <v>4000</v>
      </c>
      <c r="X375" t="s">
        <v>49</v>
      </c>
      <c r="Y375" t="s">
        <v>50</v>
      </c>
      <c r="Z375" t="s">
        <v>51</v>
      </c>
      <c r="AA375" t="s">
        <v>37</v>
      </c>
      <c r="AB375" t="s">
        <v>52</v>
      </c>
      <c r="AC375" t="s">
        <v>53</v>
      </c>
      <c r="AD375" t="s">
        <v>54</v>
      </c>
      <c r="AE375">
        <v>13.610237216</v>
      </c>
      <c r="AF375">
        <v>2056</v>
      </c>
      <c r="AG375">
        <v>2055.73264591</v>
      </c>
      <c r="AH375">
        <v>136104.562817</v>
      </c>
      <c r="AI375">
        <v>46</v>
      </c>
      <c r="AJ375">
        <v>58538.124708796102</v>
      </c>
      <c r="AK375" s="1">
        <f>intersection_ss_Lden___surface[[#This Row],[surf m2 bout ss]]/intersection_ss_Lden___surface[[#This Row],[Shape_Area]]</f>
        <v>0.43009671018526985</v>
      </c>
      <c r="AL375">
        <v>1994</v>
      </c>
      <c r="AM375">
        <f>intersection_ss_Lden___surface[[#This Row],[Population totale 2024 ss]]*intersection_ss_Lden___surface[[#This Row],[Part de la surface du qs dans le noise contour]]</f>
        <v>857.61284010942802</v>
      </c>
    </row>
    <row r="376" spans="1:39" x14ac:dyDescent="0.3">
      <c r="A376">
        <v>406</v>
      </c>
      <c r="B376" t="s">
        <v>609</v>
      </c>
      <c r="C376" t="s">
        <v>610</v>
      </c>
      <c r="D376" t="s">
        <v>611</v>
      </c>
      <c r="E376" t="s">
        <v>611</v>
      </c>
      <c r="F376" t="s">
        <v>608</v>
      </c>
      <c r="G376" t="s">
        <v>590</v>
      </c>
      <c r="H376" t="s">
        <v>591</v>
      </c>
      <c r="I376" t="s">
        <v>591</v>
      </c>
      <c r="J376" t="s">
        <v>36</v>
      </c>
      <c r="K376">
        <v>21005</v>
      </c>
      <c r="L376" t="s">
        <v>592</v>
      </c>
      <c r="M376" t="s">
        <v>592</v>
      </c>
      <c r="N376" t="s">
        <v>592</v>
      </c>
      <c r="O376">
        <v>21000</v>
      </c>
      <c r="P376" t="s">
        <v>46</v>
      </c>
      <c r="Q376" t="s">
        <v>47</v>
      </c>
      <c r="R376" t="s">
        <v>48</v>
      </c>
      <c r="T376" t="s">
        <v>36</v>
      </c>
      <c r="U376" t="s">
        <v>36</v>
      </c>
      <c r="V376" t="s">
        <v>36</v>
      </c>
      <c r="W376">
        <v>4000</v>
      </c>
      <c r="X376" t="s">
        <v>49</v>
      </c>
      <c r="Y376" t="s">
        <v>50</v>
      </c>
      <c r="Z376" t="s">
        <v>51</v>
      </c>
      <c r="AA376" t="s">
        <v>37</v>
      </c>
      <c r="AB376" t="s">
        <v>52</v>
      </c>
      <c r="AC376" t="s">
        <v>53</v>
      </c>
      <c r="AD376" t="s">
        <v>54</v>
      </c>
      <c r="AE376">
        <v>5.6109710935699999</v>
      </c>
      <c r="AF376">
        <v>1167</v>
      </c>
      <c r="AG376">
        <v>1166.6940767900001</v>
      </c>
      <c r="AH376">
        <v>56110.624087600001</v>
      </c>
      <c r="AI376">
        <v>45</v>
      </c>
      <c r="AJ376">
        <v>1249.1987176137</v>
      </c>
      <c r="AK376" s="1">
        <f>intersection_ss_Lden___surface[[#This Row],[surf m2 bout ss]]/intersection_ss_Lden___surface[[#This Row],[Shape_Area]]</f>
        <v>2.226314067837579E-2</v>
      </c>
      <c r="AL376">
        <v>748</v>
      </c>
      <c r="AM376">
        <f>intersection_ss_Lden___surface[[#This Row],[Population totale 2024 ss]]*intersection_ss_Lden___surface[[#This Row],[Part de la surface du qs dans le noise contour]]</f>
        <v>16.652829227425091</v>
      </c>
    </row>
    <row r="377" spans="1:39" x14ac:dyDescent="0.3">
      <c r="A377">
        <v>407</v>
      </c>
      <c r="B377" t="s">
        <v>609</v>
      </c>
      <c r="C377" t="s">
        <v>610</v>
      </c>
      <c r="D377" t="s">
        <v>611</v>
      </c>
      <c r="E377" t="s">
        <v>611</v>
      </c>
      <c r="F377" t="s">
        <v>608</v>
      </c>
      <c r="G377" t="s">
        <v>590</v>
      </c>
      <c r="H377" t="s">
        <v>591</v>
      </c>
      <c r="I377" t="s">
        <v>591</v>
      </c>
      <c r="J377" t="s">
        <v>36</v>
      </c>
      <c r="K377">
        <v>21005</v>
      </c>
      <c r="L377" t="s">
        <v>592</v>
      </c>
      <c r="M377" t="s">
        <v>592</v>
      </c>
      <c r="N377" t="s">
        <v>592</v>
      </c>
      <c r="O377">
        <v>21000</v>
      </c>
      <c r="P377" t="s">
        <v>46</v>
      </c>
      <c r="Q377" t="s">
        <v>47</v>
      </c>
      <c r="R377" t="s">
        <v>48</v>
      </c>
      <c r="T377" t="s">
        <v>36</v>
      </c>
      <c r="U377" t="s">
        <v>36</v>
      </c>
      <c r="V377" t="s">
        <v>36</v>
      </c>
      <c r="W377">
        <v>4000</v>
      </c>
      <c r="X377" t="s">
        <v>49</v>
      </c>
      <c r="Y377" t="s">
        <v>50</v>
      </c>
      <c r="Z377" t="s">
        <v>51</v>
      </c>
      <c r="AA377" t="s">
        <v>37</v>
      </c>
      <c r="AB377" t="s">
        <v>52</v>
      </c>
      <c r="AC377" t="s">
        <v>53</v>
      </c>
      <c r="AD377" t="s">
        <v>54</v>
      </c>
      <c r="AE377">
        <v>5.6109710935699999</v>
      </c>
      <c r="AF377">
        <v>1167</v>
      </c>
      <c r="AG377">
        <v>1166.6940767900001</v>
      </c>
      <c r="AH377">
        <v>56110.624087600001</v>
      </c>
      <c r="AI377">
        <v>46</v>
      </c>
      <c r="AJ377">
        <v>54867.048904404</v>
      </c>
      <c r="AK377" s="1">
        <f>intersection_ss_Lden___surface[[#This Row],[surf m2 bout ss]]/intersection_ss_Lden___surface[[#This Row],[Shape_Area]]</f>
        <v>0.97783708159698013</v>
      </c>
      <c r="AL377">
        <v>748</v>
      </c>
      <c r="AM377">
        <f>intersection_ss_Lden___surface[[#This Row],[Population totale 2024 ss]]*intersection_ss_Lden___surface[[#This Row],[Part de la surface du qs dans le noise contour]]</f>
        <v>731.42213703454115</v>
      </c>
    </row>
    <row r="378" spans="1:39" x14ac:dyDescent="0.3">
      <c r="A378">
        <v>408</v>
      </c>
      <c r="B378" t="s">
        <v>612</v>
      </c>
      <c r="C378" t="s">
        <v>613</v>
      </c>
      <c r="D378" t="s">
        <v>614</v>
      </c>
      <c r="E378" t="s">
        <v>614</v>
      </c>
      <c r="F378" t="s">
        <v>608</v>
      </c>
      <c r="G378" t="s">
        <v>590</v>
      </c>
      <c r="H378" t="s">
        <v>591</v>
      </c>
      <c r="I378" t="s">
        <v>591</v>
      </c>
      <c r="J378" t="s">
        <v>36</v>
      </c>
      <c r="K378">
        <v>21005</v>
      </c>
      <c r="L378" t="s">
        <v>592</v>
      </c>
      <c r="M378" t="s">
        <v>592</v>
      </c>
      <c r="N378" t="s">
        <v>592</v>
      </c>
      <c r="O378">
        <v>21000</v>
      </c>
      <c r="P378" t="s">
        <v>46</v>
      </c>
      <c r="Q378" t="s">
        <v>47</v>
      </c>
      <c r="R378" t="s">
        <v>48</v>
      </c>
      <c r="T378" t="s">
        <v>36</v>
      </c>
      <c r="U378" t="s">
        <v>36</v>
      </c>
      <c r="V378" t="s">
        <v>36</v>
      </c>
      <c r="W378">
        <v>4000</v>
      </c>
      <c r="X378" t="s">
        <v>49</v>
      </c>
      <c r="Y378" t="s">
        <v>50</v>
      </c>
      <c r="Z378" t="s">
        <v>51</v>
      </c>
      <c r="AA378" t="s">
        <v>37</v>
      </c>
      <c r="AB378" t="s">
        <v>52</v>
      </c>
      <c r="AC378" t="s">
        <v>53</v>
      </c>
      <c r="AD378" t="s">
        <v>54</v>
      </c>
      <c r="AE378">
        <v>8.8216326979699993</v>
      </c>
      <c r="AF378">
        <v>1335</v>
      </c>
      <c r="AG378">
        <v>1335.28771323</v>
      </c>
      <c r="AH378">
        <v>88217.742532200005</v>
      </c>
      <c r="AI378">
        <v>45</v>
      </c>
      <c r="AJ378">
        <v>4934.0701369522103</v>
      </c>
      <c r="AK378" s="1">
        <f>intersection_ss_Lden___surface[[#This Row],[surf m2 bout ss]]/intersection_ss_Lden___surface[[#This Row],[Shape_Area]]</f>
        <v>5.5930587150892525E-2</v>
      </c>
      <c r="AL378">
        <v>1086</v>
      </c>
      <c r="AM378">
        <f>intersection_ss_Lden___surface[[#This Row],[Population totale 2024 ss]]*intersection_ss_Lden___surface[[#This Row],[Part de la surface du qs dans le noise contour]]</f>
        <v>60.740617645869278</v>
      </c>
    </row>
    <row r="379" spans="1:39" x14ac:dyDescent="0.3">
      <c r="A379">
        <v>409</v>
      </c>
      <c r="B379" t="s">
        <v>612</v>
      </c>
      <c r="C379" t="s">
        <v>613</v>
      </c>
      <c r="D379" t="s">
        <v>614</v>
      </c>
      <c r="E379" t="s">
        <v>614</v>
      </c>
      <c r="F379" t="s">
        <v>608</v>
      </c>
      <c r="G379" t="s">
        <v>590</v>
      </c>
      <c r="H379" t="s">
        <v>591</v>
      </c>
      <c r="I379" t="s">
        <v>591</v>
      </c>
      <c r="J379" t="s">
        <v>36</v>
      </c>
      <c r="K379">
        <v>21005</v>
      </c>
      <c r="L379" t="s">
        <v>592</v>
      </c>
      <c r="M379" t="s">
        <v>592</v>
      </c>
      <c r="N379" t="s">
        <v>592</v>
      </c>
      <c r="O379">
        <v>21000</v>
      </c>
      <c r="P379" t="s">
        <v>46</v>
      </c>
      <c r="Q379" t="s">
        <v>47</v>
      </c>
      <c r="R379" t="s">
        <v>48</v>
      </c>
      <c r="T379" t="s">
        <v>36</v>
      </c>
      <c r="U379" t="s">
        <v>36</v>
      </c>
      <c r="V379" t="s">
        <v>36</v>
      </c>
      <c r="W379">
        <v>4000</v>
      </c>
      <c r="X379" t="s">
        <v>49</v>
      </c>
      <c r="Y379" t="s">
        <v>50</v>
      </c>
      <c r="Z379" t="s">
        <v>51</v>
      </c>
      <c r="AA379" t="s">
        <v>37</v>
      </c>
      <c r="AB379" t="s">
        <v>52</v>
      </c>
      <c r="AC379" t="s">
        <v>53</v>
      </c>
      <c r="AD379" t="s">
        <v>54</v>
      </c>
      <c r="AE379">
        <v>8.8216326979699993</v>
      </c>
      <c r="AF379">
        <v>1335</v>
      </c>
      <c r="AG379">
        <v>1335.28771323</v>
      </c>
      <c r="AH379">
        <v>88217.742532200005</v>
      </c>
      <c r="AI379">
        <v>46</v>
      </c>
      <c r="AJ379">
        <v>76188.3762251351</v>
      </c>
      <c r="AK379" s="1">
        <f>intersection_ss_Lden___surface[[#This Row],[surf m2 bout ss]]/intersection_ss_Lden___surface[[#This Row],[Shape_Area]]</f>
        <v>0.86364005741051342</v>
      </c>
      <c r="AL379">
        <v>1086</v>
      </c>
      <c r="AM379">
        <f>intersection_ss_Lden___surface[[#This Row],[Population totale 2024 ss]]*intersection_ss_Lden___surface[[#This Row],[Part de la surface du qs dans le noise contour]]</f>
        <v>937.91310234781758</v>
      </c>
    </row>
    <row r="380" spans="1:39" x14ac:dyDescent="0.3">
      <c r="A380">
        <v>410</v>
      </c>
      <c r="B380" t="s">
        <v>612</v>
      </c>
      <c r="C380" t="s">
        <v>613</v>
      </c>
      <c r="D380" t="s">
        <v>614</v>
      </c>
      <c r="E380" t="s">
        <v>614</v>
      </c>
      <c r="F380" t="s">
        <v>608</v>
      </c>
      <c r="G380" t="s">
        <v>590</v>
      </c>
      <c r="H380" t="s">
        <v>591</v>
      </c>
      <c r="I380" t="s">
        <v>591</v>
      </c>
      <c r="J380" t="s">
        <v>36</v>
      </c>
      <c r="K380">
        <v>21005</v>
      </c>
      <c r="L380" t="s">
        <v>592</v>
      </c>
      <c r="M380" t="s">
        <v>592</v>
      </c>
      <c r="N380" t="s">
        <v>592</v>
      </c>
      <c r="O380">
        <v>21000</v>
      </c>
      <c r="P380" t="s">
        <v>46</v>
      </c>
      <c r="Q380" t="s">
        <v>47</v>
      </c>
      <c r="R380" t="s">
        <v>48</v>
      </c>
      <c r="T380" t="s">
        <v>36</v>
      </c>
      <c r="U380" t="s">
        <v>36</v>
      </c>
      <c r="V380" t="s">
        <v>36</v>
      </c>
      <c r="W380">
        <v>4000</v>
      </c>
      <c r="X380" t="s">
        <v>49</v>
      </c>
      <c r="Y380" t="s">
        <v>50</v>
      </c>
      <c r="Z380" t="s">
        <v>51</v>
      </c>
      <c r="AA380" t="s">
        <v>37</v>
      </c>
      <c r="AB380" t="s">
        <v>52</v>
      </c>
      <c r="AC380" t="s">
        <v>53</v>
      </c>
      <c r="AD380" t="s">
        <v>54</v>
      </c>
      <c r="AE380">
        <v>8.8216326979699993</v>
      </c>
      <c r="AF380">
        <v>1335</v>
      </c>
      <c r="AG380">
        <v>1335.28771323</v>
      </c>
      <c r="AH380">
        <v>88217.742532200005</v>
      </c>
      <c r="AI380">
        <v>47</v>
      </c>
      <c r="AJ380">
        <v>7104.0701589074497</v>
      </c>
      <c r="AK380" s="1">
        <f>intersection_ss_Lden___surface[[#This Row],[surf m2 bout ss]]/intersection_ss_Lden___surface[[#This Row],[Shape_Area]]</f>
        <v>8.0528813762315687E-2</v>
      </c>
      <c r="AL380">
        <v>1086</v>
      </c>
      <c r="AM380">
        <f>intersection_ss_Lden___surface[[#This Row],[Population totale 2024 ss]]*intersection_ss_Lden___surface[[#This Row],[Part de la surface du qs dans le noise contour]]</f>
        <v>87.454291745874841</v>
      </c>
    </row>
    <row r="381" spans="1:39" x14ac:dyDescent="0.3">
      <c r="A381">
        <v>411</v>
      </c>
      <c r="B381" t="s">
        <v>615</v>
      </c>
      <c r="C381" t="s">
        <v>421</v>
      </c>
      <c r="D381" t="s">
        <v>616</v>
      </c>
      <c r="E381" t="s">
        <v>616</v>
      </c>
      <c r="F381" t="s">
        <v>608</v>
      </c>
      <c r="G381" t="s">
        <v>590</v>
      </c>
      <c r="H381" t="s">
        <v>591</v>
      </c>
      <c r="I381" t="s">
        <v>591</v>
      </c>
      <c r="J381" t="s">
        <v>36</v>
      </c>
      <c r="K381">
        <v>21005</v>
      </c>
      <c r="L381" t="s">
        <v>592</v>
      </c>
      <c r="M381" t="s">
        <v>592</v>
      </c>
      <c r="N381" t="s">
        <v>592</v>
      </c>
      <c r="O381">
        <v>21000</v>
      </c>
      <c r="P381" t="s">
        <v>46</v>
      </c>
      <c r="Q381" t="s">
        <v>47</v>
      </c>
      <c r="R381" t="s">
        <v>48</v>
      </c>
      <c r="T381" t="s">
        <v>36</v>
      </c>
      <c r="U381" t="s">
        <v>36</v>
      </c>
      <c r="V381" t="s">
        <v>36</v>
      </c>
      <c r="W381">
        <v>4000</v>
      </c>
      <c r="X381" t="s">
        <v>49</v>
      </c>
      <c r="Y381" t="s">
        <v>50</v>
      </c>
      <c r="Z381" t="s">
        <v>51</v>
      </c>
      <c r="AA381" t="s">
        <v>37</v>
      </c>
      <c r="AB381" t="s">
        <v>52</v>
      </c>
      <c r="AC381" t="s">
        <v>53</v>
      </c>
      <c r="AD381" t="s">
        <v>54</v>
      </c>
      <c r="AE381">
        <v>5.7726863366699996</v>
      </c>
      <c r="AF381">
        <v>1095</v>
      </c>
      <c r="AG381">
        <v>1095.38865874</v>
      </c>
      <c r="AH381">
        <v>57727.7934895</v>
      </c>
      <c r="AI381">
        <v>45</v>
      </c>
      <c r="AJ381">
        <v>51776.411031627998</v>
      </c>
      <c r="AK381" s="1">
        <f>intersection_ss_Lden___surface[[#This Row],[surf m2 bout ss]]/intersection_ss_Lden___surface[[#This Row],[Shape_Area]]</f>
        <v>0.89690611578711232</v>
      </c>
      <c r="AL381">
        <v>0</v>
      </c>
      <c r="AM381">
        <f>intersection_ss_Lden___surface[[#This Row],[Population totale 2024 ss]]*intersection_ss_Lden___surface[[#This Row],[Part de la surface du qs dans le noise contour]]</f>
        <v>0</v>
      </c>
    </row>
    <row r="382" spans="1:39" x14ac:dyDescent="0.3">
      <c r="A382">
        <v>412</v>
      </c>
      <c r="B382" t="s">
        <v>617</v>
      </c>
      <c r="C382" t="s">
        <v>618</v>
      </c>
      <c r="D382" t="s">
        <v>619</v>
      </c>
      <c r="E382" t="s">
        <v>619</v>
      </c>
      <c r="F382" t="s">
        <v>620</v>
      </c>
      <c r="G382" t="s">
        <v>621</v>
      </c>
      <c r="H382" t="s">
        <v>622</v>
      </c>
      <c r="I382" t="s">
        <v>622</v>
      </c>
      <c r="J382" t="s">
        <v>36</v>
      </c>
      <c r="K382">
        <v>21006</v>
      </c>
      <c r="L382" t="s">
        <v>623</v>
      </c>
      <c r="M382" t="s">
        <v>623</v>
      </c>
      <c r="N382" t="s">
        <v>623</v>
      </c>
      <c r="O382">
        <v>21000</v>
      </c>
      <c r="P382" t="s">
        <v>46</v>
      </c>
      <c r="Q382" t="s">
        <v>47</v>
      </c>
      <c r="R382" t="s">
        <v>48</v>
      </c>
      <c r="T382" t="s">
        <v>36</v>
      </c>
      <c r="U382" t="s">
        <v>36</v>
      </c>
      <c r="V382" t="s">
        <v>36</v>
      </c>
      <c r="W382">
        <v>4000</v>
      </c>
      <c r="X382" t="s">
        <v>49</v>
      </c>
      <c r="Y382" t="s">
        <v>50</v>
      </c>
      <c r="Z382" t="s">
        <v>51</v>
      </c>
      <c r="AA382" t="s">
        <v>37</v>
      </c>
      <c r="AB382" t="s">
        <v>52</v>
      </c>
      <c r="AC382" t="s">
        <v>53</v>
      </c>
      <c r="AD382" t="s">
        <v>54</v>
      </c>
      <c r="AE382">
        <v>19.5351172246</v>
      </c>
      <c r="AF382">
        <v>2786</v>
      </c>
      <c r="AG382">
        <v>2786.3202709799998</v>
      </c>
      <c r="AH382">
        <v>195354.32347100001</v>
      </c>
      <c r="AI382">
        <v>53</v>
      </c>
      <c r="AJ382">
        <v>1099.14901256282</v>
      </c>
      <c r="AK382" s="1">
        <f>intersection_ss_Lden___surface[[#This Row],[surf m2 bout ss]]/intersection_ss_Lden___surface[[#This Row],[Shape_Area]]</f>
        <v>5.6264381204032404E-3</v>
      </c>
      <c r="AL382">
        <v>3318</v>
      </c>
      <c r="AM382">
        <f>intersection_ss_Lden___surface[[#This Row],[Population totale 2024 ss]]*intersection_ss_Lden___surface[[#This Row],[Part de la surface du qs dans le noise contour]]</f>
        <v>18.668521683497953</v>
      </c>
    </row>
    <row r="383" spans="1:39" x14ac:dyDescent="0.3">
      <c r="A383">
        <v>413</v>
      </c>
      <c r="B383" t="s">
        <v>617</v>
      </c>
      <c r="C383" t="s">
        <v>618</v>
      </c>
      <c r="D383" t="s">
        <v>619</v>
      </c>
      <c r="E383" t="s">
        <v>619</v>
      </c>
      <c r="F383" t="s">
        <v>620</v>
      </c>
      <c r="G383" t="s">
        <v>621</v>
      </c>
      <c r="H383" t="s">
        <v>622</v>
      </c>
      <c r="I383" t="s">
        <v>622</v>
      </c>
      <c r="J383" t="s">
        <v>36</v>
      </c>
      <c r="K383">
        <v>21006</v>
      </c>
      <c r="L383" t="s">
        <v>623</v>
      </c>
      <c r="M383" t="s">
        <v>623</v>
      </c>
      <c r="N383" t="s">
        <v>623</v>
      </c>
      <c r="O383">
        <v>21000</v>
      </c>
      <c r="P383" t="s">
        <v>46</v>
      </c>
      <c r="Q383" t="s">
        <v>47</v>
      </c>
      <c r="R383" t="s">
        <v>48</v>
      </c>
      <c r="T383" t="s">
        <v>36</v>
      </c>
      <c r="U383" t="s">
        <v>36</v>
      </c>
      <c r="V383" t="s">
        <v>36</v>
      </c>
      <c r="W383">
        <v>4000</v>
      </c>
      <c r="X383" t="s">
        <v>49</v>
      </c>
      <c r="Y383" t="s">
        <v>50</v>
      </c>
      <c r="Z383" t="s">
        <v>51</v>
      </c>
      <c r="AA383" t="s">
        <v>37</v>
      </c>
      <c r="AB383" t="s">
        <v>52</v>
      </c>
      <c r="AC383" t="s">
        <v>53</v>
      </c>
      <c r="AD383" t="s">
        <v>54</v>
      </c>
      <c r="AE383">
        <v>19.5351172246</v>
      </c>
      <c r="AF383">
        <v>2786</v>
      </c>
      <c r="AG383">
        <v>2786.3202709799998</v>
      </c>
      <c r="AH383">
        <v>195354.32347100001</v>
      </c>
      <c r="AI383">
        <v>54</v>
      </c>
      <c r="AJ383">
        <v>47506.918109708502</v>
      </c>
      <c r="AK383" s="1">
        <f>intersection_ss_Lden___surface[[#This Row],[surf m2 bout ss]]/intersection_ss_Lden___surface[[#This Row],[Shape_Area]]</f>
        <v>0.24318334637093822</v>
      </c>
      <c r="AL383">
        <v>3318</v>
      </c>
      <c r="AM383">
        <f>intersection_ss_Lden___surface[[#This Row],[Population totale 2024 ss]]*intersection_ss_Lden___surface[[#This Row],[Part de la surface du qs dans le noise contour]]</f>
        <v>806.88234325877306</v>
      </c>
    </row>
    <row r="384" spans="1:39" x14ac:dyDescent="0.3">
      <c r="A384">
        <v>414</v>
      </c>
      <c r="B384" t="s">
        <v>617</v>
      </c>
      <c r="C384" t="s">
        <v>618</v>
      </c>
      <c r="D384" t="s">
        <v>619</v>
      </c>
      <c r="E384" t="s">
        <v>619</v>
      </c>
      <c r="F384" t="s">
        <v>620</v>
      </c>
      <c r="G384" t="s">
        <v>621</v>
      </c>
      <c r="H384" t="s">
        <v>622</v>
      </c>
      <c r="I384" t="s">
        <v>622</v>
      </c>
      <c r="J384" t="s">
        <v>36</v>
      </c>
      <c r="K384">
        <v>21006</v>
      </c>
      <c r="L384" t="s">
        <v>623</v>
      </c>
      <c r="M384" t="s">
        <v>623</v>
      </c>
      <c r="N384" t="s">
        <v>623</v>
      </c>
      <c r="O384">
        <v>21000</v>
      </c>
      <c r="P384" t="s">
        <v>46</v>
      </c>
      <c r="Q384" t="s">
        <v>47</v>
      </c>
      <c r="R384" t="s">
        <v>48</v>
      </c>
      <c r="T384" t="s">
        <v>36</v>
      </c>
      <c r="U384" t="s">
        <v>36</v>
      </c>
      <c r="V384" t="s">
        <v>36</v>
      </c>
      <c r="W384">
        <v>4000</v>
      </c>
      <c r="X384" t="s">
        <v>49</v>
      </c>
      <c r="Y384" t="s">
        <v>50</v>
      </c>
      <c r="Z384" t="s">
        <v>51</v>
      </c>
      <c r="AA384" t="s">
        <v>37</v>
      </c>
      <c r="AB384" t="s">
        <v>52</v>
      </c>
      <c r="AC384" t="s">
        <v>53</v>
      </c>
      <c r="AD384" t="s">
        <v>54</v>
      </c>
      <c r="AE384">
        <v>19.5351172246</v>
      </c>
      <c r="AF384">
        <v>2786</v>
      </c>
      <c r="AG384">
        <v>2786.3202709799998</v>
      </c>
      <c r="AH384">
        <v>195354.32347100001</v>
      </c>
      <c r="AI384">
        <v>55</v>
      </c>
      <c r="AJ384">
        <v>82062.600440003895</v>
      </c>
      <c r="AK384" s="1">
        <f>intersection_ss_Lden___surface[[#This Row],[surf m2 bout ss]]/intersection_ss_Lden___surface[[#This Row],[Shape_Area]]</f>
        <v>0.42007056195091547</v>
      </c>
      <c r="AL384">
        <v>3318</v>
      </c>
      <c r="AM384">
        <f>intersection_ss_Lden___surface[[#This Row],[Population totale 2024 ss]]*intersection_ss_Lden___surface[[#This Row],[Part de la surface du qs dans le noise contour]]</f>
        <v>1393.7941245531374</v>
      </c>
    </row>
    <row r="385" spans="1:39" x14ac:dyDescent="0.3">
      <c r="A385">
        <v>415</v>
      </c>
      <c r="B385" t="s">
        <v>617</v>
      </c>
      <c r="C385" t="s">
        <v>618</v>
      </c>
      <c r="D385" t="s">
        <v>619</v>
      </c>
      <c r="E385" t="s">
        <v>619</v>
      </c>
      <c r="F385" t="s">
        <v>620</v>
      </c>
      <c r="G385" t="s">
        <v>621</v>
      </c>
      <c r="H385" t="s">
        <v>622</v>
      </c>
      <c r="I385" t="s">
        <v>622</v>
      </c>
      <c r="J385" t="s">
        <v>36</v>
      </c>
      <c r="K385">
        <v>21006</v>
      </c>
      <c r="L385" t="s">
        <v>623</v>
      </c>
      <c r="M385" t="s">
        <v>623</v>
      </c>
      <c r="N385" t="s">
        <v>623</v>
      </c>
      <c r="O385">
        <v>21000</v>
      </c>
      <c r="P385" t="s">
        <v>46</v>
      </c>
      <c r="Q385" t="s">
        <v>47</v>
      </c>
      <c r="R385" t="s">
        <v>48</v>
      </c>
      <c r="T385" t="s">
        <v>36</v>
      </c>
      <c r="U385" t="s">
        <v>36</v>
      </c>
      <c r="V385" t="s">
        <v>36</v>
      </c>
      <c r="W385">
        <v>4000</v>
      </c>
      <c r="X385" t="s">
        <v>49</v>
      </c>
      <c r="Y385" t="s">
        <v>50</v>
      </c>
      <c r="Z385" t="s">
        <v>51</v>
      </c>
      <c r="AA385" t="s">
        <v>37</v>
      </c>
      <c r="AB385" t="s">
        <v>52</v>
      </c>
      <c r="AC385" t="s">
        <v>53</v>
      </c>
      <c r="AD385" t="s">
        <v>54</v>
      </c>
      <c r="AE385">
        <v>19.5351172246</v>
      </c>
      <c r="AF385">
        <v>2786</v>
      </c>
      <c r="AG385">
        <v>2786.3202709799998</v>
      </c>
      <c r="AH385">
        <v>195354.32347100001</v>
      </c>
      <c r="AI385">
        <v>56</v>
      </c>
      <c r="AJ385">
        <v>64703.598284960703</v>
      </c>
      <c r="AK385" s="1">
        <f>intersection_ss_Lden___surface[[#This Row],[surf m2 bout ss]]/intersection_ss_Lden___surface[[#This Row],[Shape_Area]]</f>
        <v>0.33121149885667023</v>
      </c>
      <c r="AL385">
        <v>3318</v>
      </c>
      <c r="AM385">
        <f>intersection_ss_Lden___surface[[#This Row],[Population totale 2024 ss]]*intersection_ss_Lden___surface[[#This Row],[Part de la surface du qs dans le noise contour]]</f>
        <v>1098.9597532064317</v>
      </c>
    </row>
    <row r="386" spans="1:39" x14ac:dyDescent="0.3">
      <c r="A386">
        <v>416</v>
      </c>
      <c r="B386" t="s">
        <v>624</v>
      </c>
      <c r="C386" t="s">
        <v>246</v>
      </c>
      <c r="D386" t="s">
        <v>247</v>
      </c>
      <c r="E386" t="s">
        <v>247</v>
      </c>
      <c r="F386" t="s">
        <v>620</v>
      </c>
      <c r="G386" t="s">
        <v>621</v>
      </c>
      <c r="H386" t="s">
        <v>622</v>
      </c>
      <c r="I386" t="s">
        <v>622</v>
      </c>
      <c r="J386" t="s">
        <v>36</v>
      </c>
      <c r="K386">
        <v>21006</v>
      </c>
      <c r="L386" t="s">
        <v>623</v>
      </c>
      <c r="M386" t="s">
        <v>623</v>
      </c>
      <c r="N386" t="s">
        <v>623</v>
      </c>
      <c r="O386">
        <v>21000</v>
      </c>
      <c r="P386" t="s">
        <v>46</v>
      </c>
      <c r="Q386" t="s">
        <v>47</v>
      </c>
      <c r="R386" t="s">
        <v>48</v>
      </c>
      <c r="T386" t="s">
        <v>36</v>
      </c>
      <c r="U386" t="s">
        <v>36</v>
      </c>
      <c r="V386" t="s">
        <v>36</v>
      </c>
      <c r="W386">
        <v>4000</v>
      </c>
      <c r="X386" t="s">
        <v>49</v>
      </c>
      <c r="Y386" t="s">
        <v>50</v>
      </c>
      <c r="Z386" t="s">
        <v>51</v>
      </c>
      <c r="AA386" t="s">
        <v>37</v>
      </c>
      <c r="AB386" t="s">
        <v>52</v>
      </c>
      <c r="AC386" t="s">
        <v>53</v>
      </c>
      <c r="AD386" t="s">
        <v>54</v>
      </c>
      <c r="AE386">
        <v>18.4555597634</v>
      </c>
      <c r="AF386">
        <v>1759</v>
      </c>
      <c r="AG386">
        <v>1758.5939355099999</v>
      </c>
      <c r="AH386">
        <v>184558.56810500001</v>
      </c>
      <c r="AI386">
        <v>53</v>
      </c>
      <c r="AJ386">
        <v>24791.089546668802</v>
      </c>
      <c r="AK386" s="1">
        <f>intersection_ss_Lden___surface[[#This Row],[surf m2 bout ss]]/intersection_ss_Lden___surface[[#This Row],[Shape_Area]]</f>
        <v>0.13432640814900842</v>
      </c>
      <c r="AL386">
        <v>2874</v>
      </c>
      <c r="AM386">
        <f>intersection_ss_Lden___surface[[#This Row],[Population totale 2024 ss]]*intersection_ss_Lden___surface[[#This Row],[Part de la surface du qs dans le noise contour]]</f>
        <v>386.0540970202502</v>
      </c>
    </row>
    <row r="387" spans="1:39" x14ac:dyDescent="0.3">
      <c r="A387">
        <v>417</v>
      </c>
      <c r="B387" t="s">
        <v>624</v>
      </c>
      <c r="C387" t="s">
        <v>246</v>
      </c>
      <c r="D387" t="s">
        <v>247</v>
      </c>
      <c r="E387" t="s">
        <v>247</v>
      </c>
      <c r="F387" t="s">
        <v>620</v>
      </c>
      <c r="G387" t="s">
        <v>621</v>
      </c>
      <c r="H387" t="s">
        <v>622</v>
      </c>
      <c r="I387" t="s">
        <v>622</v>
      </c>
      <c r="J387" t="s">
        <v>36</v>
      </c>
      <c r="K387">
        <v>21006</v>
      </c>
      <c r="L387" t="s">
        <v>623</v>
      </c>
      <c r="M387" t="s">
        <v>623</v>
      </c>
      <c r="N387" t="s">
        <v>623</v>
      </c>
      <c r="O387">
        <v>21000</v>
      </c>
      <c r="P387" t="s">
        <v>46</v>
      </c>
      <c r="Q387" t="s">
        <v>47</v>
      </c>
      <c r="R387" t="s">
        <v>48</v>
      </c>
      <c r="T387" t="s">
        <v>36</v>
      </c>
      <c r="U387" t="s">
        <v>36</v>
      </c>
      <c r="V387" t="s">
        <v>36</v>
      </c>
      <c r="W387">
        <v>4000</v>
      </c>
      <c r="X387" t="s">
        <v>49</v>
      </c>
      <c r="Y387" t="s">
        <v>50</v>
      </c>
      <c r="Z387" t="s">
        <v>51</v>
      </c>
      <c r="AA387" t="s">
        <v>37</v>
      </c>
      <c r="AB387" t="s">
        <v>52</v>
      </c>
      <c r="AC387" t="s">
        <v>53</v>
      </c>
      <c r="AD387" t="s">
        <v>54</v>
      </c>
      <c r="AE387">
        <v>18.4555597634</v>
      </c>
      <c r="AF387">
        <v>1759</v>
      </c>
      <c r="AG387">
        <v>1758.5939355099999</v>
      </c>
      <c r="AH387">
        <v>184558.56810500001</v>
      </c>
      <c r="AI387">
        <v>54</v>
      </c>
      <c r="AJ387">
        <v>140786.65612640401</v>
      </c>
      <c r="AK387" s="1">
        <f>intersection_ss_Lden___surface[[#This Row],[surf m2 bout ss]]/intersection_ss_Lden___surface[[#This Row],[Shape_Area]]</f>
        <v>0.76282915267475926</v>
      </c>
      <c r="AL387">
        <v>2874</v>
      </c>
      <c r="AM387">
        <f>intersection_ss_Lden___surface[[#This Row],[Population totale 2024 ss]]*intersection_ss_Lden___surface[[#This Row],[Part de la surface du qs dans le noise contour]]</f>
        <v>2192.3709847872583</v>
      </c>
    </row>
    <row r="388" spans="1:39" x14ac:dyDescent="0.3">
      <c r="A388">
        <v>418</v>
      </c>
      <c r="B388" t="s">
        <v>624</v>
      </c>
      <c r="C388" t="s">
        <v>246</v>
      </c>
      <c r="D388" t="s">
        <v>247</v>
      </c>
      <c r="E388" t="s">
        <v>247</v>
      </c>
      <c r="F388" t="s">
        <v>620</v>
      </c>
      <c r="G388" t="s">
        <v>621</v>
      </c>
      <c r="H388" t="s">
        <v>622</v>
      </c>
      <c r="I388" t="s">
        <v>622</v>
      </c>
      <c r="J388" t="s">
        <v>36</v>
      </c>
      <c r="K388">
        <v>21006</v>
      </c>
      <c r="L388" t="s">
        <v>623</v>
      </c>
      <c r="M388" t="s">
        <v>623</v>
      </c>
      <c r="N388" t="s">
        <v>623</v>
      </c>
      <c r="O388">
        <v>21000</v>
      </c>
      <c r="P388" t="s">
        <v>46</v>
      </c>
      <c r="Q388" t="s">
        <v>47</v>
      </c>
      <c r="R388" t="s">
        <v>48</v>
      </c>
      <c r="T388" t="s">
        <v>36</v>
      </c>
      <c r="U388" t="s">
        <v>36</v>
      </c>
      <c r="V388" t="s">
        <v>36</v>
      </c>
      <c r="W388">
        <v>4000</v>
      </c>
      <c r="X388" t="s">
        <v>49</v>
      </c>
      <c r="Y388" t="s">
        <v>50</v>
      </c>
      <c r="Z388" t="s">
        <v>51</v>
      </c>
      <c r="AA388" t="s">
        <v>37</v>
      </c>
      <c r="AB388" t="s">
        <v>52</v>
      </c>
      <c r="AC388" t="s">
        <v>53</v>
      </c>
      <c r="AD388" t="s">
        <v>54</v>
      </c>
      <c r="AE388">
        <v>18.4555597634</v>
      </c>
      <c r="AF388">
        <v>1759</v>
      </c>
      <c r="AG388">
        <v>1758.5939355099999</v>
      </c>
      <c r="AH388">
        <v>184558.56810500001</v>
      </c>
      <c r="AI388">
        <v>55</v>
      </c>
      <c r="AJ388">
        <v>18997.9147204449</v>
      </c>
      <c r="AK388" s="1">
        <f>intersection_ss_Lden___surface[[#This Row],[surf m2 bout ss]]/intersection_ss_Lden___surface[[#This Row],[Shape_Area]]</f>
        <v>0.10293705090752822</v>
      </c>
      <c r="AL388">
        <v>2874</v>
      </c>
      <c r="AM388">
        <f>intersection_ss_Lden___surface[[#This Row],[Population totale 2024 ss]]*intersection_ss_Lden___surface[[#This Row],[Part de la surface du qs dans le noise contour]]</f>
        <v>295.84108430823613</v>
      </c>
    </row>
    <row r="389" spans="1:39" x14ac:dyDescent="0.3">
      <c r="A389">
        <v>419</v>
      </c>
      <c r="B389" t="s">
        <v>625</v>
      </c>
      <c r="C389" t="s">
        <v>626</v>
      </c>
      <c r="D389" t="s">
        <v>626</v>
      </c>
      <c r="E389" t="s">
        <v>626</v>
      </c>
      <c r="F389" t="s">
        <v>620</v>
      </c>
      <c r="G389" t="s">
        <v>621</v>
      </c>
      <c r="H389" t="s">
        <v>622</v>
      </c>
      <c r="I389" t="s">
        <v>622</v>
      </c>
      <c r="J389" t="s">
        <v>36</v>
      </c>
      <c r="K389">
        <v>21006</v>
      </c>
      <c r="L389" t="s">
        <v>623</v>
      </c>
      <c r="M389" t="s">
        <v>623</v>
      </c>
      <c r="N389" t="s">
        <v>623</v>
      </c>
      <c r="O389">
        <v>21000</v>
      </c>
      <c r="P389" t="s">
        <v>46</v>
      </c>
      <c r="Q389" t="s">
        <v>47</v>
      </c>
      <c r="R389" t="s">
        <v>48</v>
      </c>
      <c r="T389" t="s">
        <v>36</v>
      </c>
      <c r="U389" t="s">
        <v>36</v>
      </c>
      <c r="V389" t="s">
        <v>36</v>
      </c>
      <c r="W389">
        <v>4000</v>
      </c>
      <c r="X389" t="s">
        <v>49</v>
      </c>
      <c r="Y389" t="s">
        <v>50</v>
      </c>
      <c r="Z389" t="s">
        <v>51</v>
      </c>
      <c r="AA389" t="s">
        <v>37</v>
      </c>
      <c r="AB389" t="s">
        <v>52</v>
      </c>
      <c r="AC389" t="s">
        <v>53</v>
      </c>
      <c r="AD389" t="s">
        <v>54</v>
      </c>
      <c r="AE389">
        <v>3.4654100864899999</v>
      </c>
      <c r="AF389">
        <v>766</v>
      </c>
      <c r="AG389">
        <v>765.83381624799995</v>
      </c>
      <c r="AH389">
        <v>34654.656790699999</v>
      </c>
      <c r="AI389">
        <v>54</v>
      </c>
      <c r="AJ389">
        <v>32527.620686857001</v>
      </c>
      <c r="AK389" s="1">
        <f>intersection_ss_Lden___surface[[#This Row],[surf m2 bout ss]]/intersection_ss_Lden___surface[[#This Row],[Shape_Area]]</f>
        <v>0.93862192557007762</v>
      </c>
      <c r="AL389">
        <v>721</v>
      </c>
      <c r="AM389">
        <f>intersection_ss_Lden___surface[[#This Row],[Population totale 2024 ss]]*intersection_ss_Lden___surface[[#This Row],[Part de la surface du qs dans le noise contour]]</f>
        <v>676.74640833602598</v>
      </c>
    </row>
    <row r="390" spans="1:39" x14ac:dyDescent="0.3">
      <c r="A390">
        <v>420</v>
      </c>
      <c r="B390" t="s">
        <v>625</v>
      </c>
      <c r="C390" t="s">
        <v>626</v>
      </c>
      <c r="D390" t="s">
        <v>626</v>
      </c>
      <c r="E390" t="s">
        <v>626</v>
      </c>
      <c r="F390" t="s">
        <v>620</v>
      </c>
      <c r="G390" t="s">
        <v>621</v>
      </c>
      <c r="H390" t="s">
        <v>622</v>
      </c>
      <c r="I390" t="s">
        <v>622</v>
      </c>
      <c r="J390" t="s">
        <v>36</v>
      </c>
      <c r="K390">
        <v>21006</v>
      </c>
      <c r="L390" t="s">
        <v>623</v>
      </c>
      <c r="M390" t="s">
        <v>623</v>
      </c>
      <c r="N390" t="s">
        <v>623</v>
      </c>
      <c r="O390">
        <v>21000</v>
      </c>
      <c r="P390" t="s">
        <v>46</v>
      </c>
      <c r="Q390" t="s">
        <v>47</v>
      </c>
      <c r="R390" t="s">
        <v>48</v>
      </c>
      <c r="T390" t="s">
        <v>36</v>
      </c>
      <c r="U390" t="s">
        <v>36</v>
      </c>
      <c r="V390" t="s">
        <v>36</v>
      </c>
      <c r="W390">
        <v>4000</v>
      </c>
      <c r="X390" t="s">
        <v>49</v>
      </c>
      <c r="Y390" t="s">
        <v>50</v>
      </c>
      <c r="Z390" t="s">
        <v>51</v>
      </c>
      <c r="AA390" t="s">
        <v>37</v>
      </c>
      <c r="AB390" t="s">
        <v>52</v>
      </c>
      <c r="AC390" t="s">
        <v>53</v>
      </c>
      <c r="AD390" t="s">
        <v>54</v>
      </c>
      <c r="AE390">
        <v>3.4654100864899999</v>
      </c>
      <c r="AF390">
        <v>766</v>
      </c>
      <c r="AG390">
        <v>765.83381624799995</v>
      </c>
      <c r="AH390">
        <v>34654.656790699999</v>
      </c>
      <c r="AI390">
        <v>55</v>
      </c>
      <c r="AJ390">
        <v>2130.2149235811098</v>
      </c>
      <c r="AK390" s="1">
        <f>intersection_ss_Lden___surface[[#This Row],[surf m2 bout ss]]/intersection_ss_Lden___surface[[#This Row],[Shape_Area]]</f>
        <v>6.1469802931442649E-2</v>
      </c>
      <c r="AL390">
        <v>721</v>
      </c>
      <c r="AM390">
        <f>intersection_ss_Lden___surface[[#This Row],[Population totale 2024 ss]]*intersection_ss_Lden___surface[[#This Row],[Part de la surface du qs dans le noise contour]]</f>
        <v>44.319727913570148</v>
      </c>
    </row>
    <row r="391" spans="1:39" x14ac:dyDescent="0.3">
      <c r="A391">
        <v>421</v>
      </c>
      <c r="B391" t="s">
        <v>627</v>
      </c>
      <c r="C391" t="s">
        <v>628</v>
      </c>
      <c r="D391" t="s">
        <v>629</v>
      </c>
      <c r="E391" t="s">
        <v>629</v>
      </c>
      <c r="F391" t="s">
        <v>620</v>
      </c>
      <c r="G391" t="s">
        <v>621</v>
      </c>
      <c r="H391" t="s">
        <v>622</v>
      </c>
      <c r="I391" t="s">
        <v>622</v>
      </c>
      <c r="J391" t="s">
        <v>36</v>
      </c>
      <c r="K391">
        <v>21006</v>
      </c>
      <c r="L391" t="s">
        <v>623</v>
      </c>
      <c r="M391" t="s">
        <v>623</v>
      </c>
      <c r="N391" t="s">
        <v>623</v>
      </c>
      <c r="O391">
        <v>21000</v>
      </c>
      <c r="P391" t="s">
        <v>46</v>
      </c>
      <c r="Q391" t="s">
        <v>47</v>
      </c>
      <c r="R391" t="s">
        <v>48</v>
      </c>
      <c r="T391" t="s">
        <v>36</v>
      </c>
      <c r="U391" t="s">
        <v>36</v>
      </c>
      <c r="V391" t="s">
        <v>36</v>
      </c>
      <c r="W391">
        <v>4000</v>
      </c>
      <c r="X391" t="s">
        <v>49</v>
      </c>
      <c r="Y391" t="s">
        <v>50</v>
      </c>
      <c r="Z391" t="s">
        <v>51</v>
      </c>
      <c r="AA391" t="s">
        <v>37</v>
      </c>
      <c r="AB391" t="s">
        <v>52</v>
      </c>
      <c r="AC391" t="s">
        <v>53</v>
      </c>
      <c r="AD391" t="s">
        <v>54</v>
      </c>
      <c r="AE391">
        <v>1.8388703253400001</v>
      </c>
      <c r="AF391">
        <v>581</v>
      </c>
      <c r="AG391">
        <v>580.73387974599996</v>
      </c>
      <c r="AH391">
        <v>18389.0041351</v>
      </c>
      <c r="AI391">
        <v>55</v>
      </c>
      <c r="AJ391">
        <v>3516.2997042648499</v>
      </c>
      <c r="AK391" s="1">
        <f>intersection_ss_Lden___surface[[#This Row],[surf m2 bout ss]]/intersection_ss_Lden___surface[[#This Row],[Shape_Area]]</f>
        <v>0.19121751664371617</v>
      </c>
      <c r="AL391">
        <v>853</v>
      </c>
      <c r="AM391">
        <f>intersection_ss_Lden___surface[[#This Row],[Population totale 2024 ss]]*intersection_ss_Lden___surface[[#This Row],[Part de la surface du qs dans le noise contour]]</f>
        <v>163.10854169708989</v>
      </c>
    </row>
    <row r="392" spans="1:39" x14ac:dyDescent="0.3">
      <c r="A392">
        <v>422</v>
      </c>
      <c r="B392" t="s">
        <v>627</v>
      </c>
      <c r="C392" t="s">
        <v>628</v>
      </c>
      <c r="D392" t="s">
        <v>629</v>
      </c>
      <c r="E392" t="s">
        <v>629</v>
      </c>
      <c r="F392" t="s">
        <v>620</v>
      </c>
      <c r="G392" t="s">
        <v>621</v>
      </c>
      <c r="H392" t="s">
        <v>622</v>
      </c>
      <c r="I392" t="s">
        <v>622</v>
      </c>
      <c r="J392" t="s">
        <v>36</v>
      </c>
      <c r="K392">
        <v>21006</v>
      </c>
      <c r="L392" t="s">
        <v>623</v>
      </c>
      <c r="M392" t="s">
        <v>623</v>
      </c>
      <c r="N392" t="s">
        <v>623</v>
      </c>
      <c r="O392">
        <v>21000</v>
      </c>
      <c r="P392" t="s">
        <v>46</v>
      </c>
      <c r="Q392" t="s">
        <v>47</v>
      </c>
      <c r="R392" t="s">
        <v>48</v>
      </c>
      <c r="T392" t="s">
        <v>36</v>
      </c>
      <c r="U392" t="s">
        <v>36</v>
      </c>
      <c r="V392" t="s">
        <v>36</v>
      </c>
      <c r="W392">
        <v>4000</v>
      </c>
      <c r="X392" t="s">
        <v>49</v>
      </c>
      <c r="Y392" t="s">
        <v>50</v>
      </c>
      <c r="Z392" t="s">
        <v>51</v>
      </c>
      <c r="AA392" t="s">
        <v>37</v>
      </c>
      <c r="AB392" t="s">
        <v>52</v>
      </c>
      <c r="AC392" t="s">
        <v>53</v>
      </c>
      <c r="AD392" t="s">
        <v>54</v>
      </c>
      <c r="AE392">
        <v>1.8388703253400001</v>
      </c>
      <c r="AF392">
        <v>581</v>
      </c>
      <c r="AG392">
        <v>580.73387974599996</v>
      </c>
      <c r="AH392">
        <v>18389.0041351</v>
      </c>
      <c r="AI392">
        <v>56</v>
      </c>
      <c r="AJ392">
        <v>14874.383409050301</v>
      </c>
      <c r="AK392" s="1">
        <f>intersection_ss_Lden___surface[[#This Row],[surf m2 bout ss]]/intersection_ss_Lden___surface[[#This Row],[Shape_Area]]</f>
        <v>0.80887378673534749</v>
      </c>
      <c r="AL392">
        <v>853</v>
      </c>
      <c r="AM392">
        <f>intersection_ss_Lden___surface[[#This Row],[Population totale 2024 ss]]*intersection_ss_Lden___surface[[#This Row],[Part de la surface du qs dans le noise contour]]</f>
        <v>689.96934008525136</v>
      </c>
    </row>
    <row r="393" spans="1:39" x14ac:dyDescent="0.3">
      <c r="A393">
        <v>423</v>
      </c>
      <c r="B393" t="s">
        <v>630</v>
      </c>
      <c r="C393" t="s">
        <v>631</v>
      </c>
      <c r="D393" t="s">
        <v>631</v>
      </c>
      <c r="E393" t="s">
        <v>631</v>
      </c>
      <c r="F393" t="s">
        <v>620</v>
      </c>
      <c r="G393" t="s">
        <v>621</v>
      </c>
      <c r="H393" t="s">
        <v>622</v>
      </c>
      <c r="I393" t="s">
        <v>622</v>
      </c>
      <c r="J393" t="s">
        <v>36</v>
      </c>
      <c r="K393">
        <v>21006</v>
      </c>
      <c r="L393" t="s">
        <v>623</v>
      </c>
      <c r="M393" t="s">
        <v>623</v>
      </c>
      <c r="N393" t="s">
        <v>623</v>
      </c>
      <c r="O393">
        <v>21000</v>
      </c>
      <c r="P393" t="s">
        <v>46</v>
      </c>
      <c r="Q393" t="s">
        <v>47</v>
      </c>
      <c r="R393" t="s">
        <v>48</v>
      </c>
      <c r="T393" t="s">
        <v>36</v>
      </c>
      <c r="U393" t="s">
        <v>36</v>
      </c>
      <c r="V393" t="s">
        <v>36</v>
      </c>
      <c r="W393">
        <v>4000</v>
      </c>
      <c r="X393" t="s">
        <v>49</v>
      </c>
      <c r="Y393" t="s">
        <v>50</v>
      </c>
      <c r="Z393" t="s">
        <v>51</v>
      </c>
      <c r="AA393" t="s">
        <v>37</v>
      </c>
      <c r="AB393" t="s">
        <v>52</v>
      </c>
      <c r="AC393" t="s">
        <v>53</v>
      </c>
      <c r="AD393" t="s">
        <v>54</v>
      </c>
      <c r="AE393">
        <v>15.2141815582</v>
      </c>
      <c r="AF393">
        <v>1656</v>
      </c>
      <c r="AG393">
        <v>1656.1821261600001</v>
      </c>
      <c r="AH393">
        <v>152144.25469900001</v>
      </c>
      <c r="AI393">
        <v>56</v>
      </c>
      <c r="AJ393">
        <v>43863.368429681301</v>
      </c>
      <c r="AK393" s="1">
        <f>intersection_ss_Lden___surface[[#This Row],[surf m2 bout ss]]/intersection_ss_Lden___surface[[#This Row],[Shape_Area]]</f>
        <v>0.28830118177291647</v>
      </c>
      <c r="AL393">
        <v>1269</v>
      </c>
      <c r="AM393">
        <f>intersection_ss_Lden___surface[[#This Row],[Population totale 2024 ss]]*intersection_ss_Lden___surface[[#This Row],[Part de la surface du qs dans le noise contour]]</f>
        <v>365.85419966983102</v>
      </c>
    </row>
    <row r="394" spans="1:39" x14ac:dyDescent="0.3">
      <c r="A394">
        <v>424</v>
      </c>
      <c r="B394" t="s">
        <v>630</v>
      </c>
      <c r="C394" t="s">
        <v>631</v>
      </c>
      <c r="D394" t="s">
        <v>631</v>
      </c>
      <c r="E394" t="s">
        <v>631</v>
      </c>
      <c r="F394" t="s">
        <v>620</v>
      </c>
      <c r="G394" t="s">
        <v>621</v>
      </c>
      <c r="H394" t="s">
        <v>622</v>
      </c>
      <c r="I394" t="s">
        <v>622</v>
      </c>
      <c r="J394" t="s">
        <v>36</v>
      </c>
      <c r="K394">
        <v>21006</v>
      </c>
      <c r="L394" t="s">
        <v>623</v>
      </c>
      <c r="M394" t="s">
        <v>623</v>
      </c>
      <c r="N394" t="s">
        <v>623</v>
      </c>
      <c r="O394">
        <v>21000</v>
      </c>
      <c r="P394" t="s">
        <v>46</v>
      </c>
      <c r="Q394" t="s">
        <v>47</v>
      </c>
      <c r="R394" t="s">
        <v>48</v>
      </c>
      <c r="T394" t="s">
        <v>36</v>
      </c>
      <c r="U394" t="s">
        <v>36</v>
      </c>
      <c r="V394" t="s">
        <v>36</v>
      </c>
      <c r="W394">
        <v>4000</v>
      </c>
      <c r="X394" t="s">
        <v>49</v>
      </c>
      <c r="Y394" t="s">
        <v>50</v>
      </c>
      <c r="Z394" t="s">
        <v>51</v>
      </c>
      <c r="AA394" t="s">
        <v>37</v>
      </c>
      <c r="AB394" t="s">
        <v>52</v>
      </c>
      <c r="AC394" t="s">
        <v>53</v>
      </c>
      <c r="AD394" t="s">
        <v>54</v>
      </c>
      <c r="AE394">
        <v>15.2141815582</v>
      </c>
      <c r="AF394">
        <v>1656</v>
      </c>
      <c r="AG394">
        <v>1656.1821261600001</v>
      </c>
      <c r="AH394">
        <v>152144.25469900001</v>
      </c>
      <c r="AI394">
        <v>57</v>
      </c>
      <c r="AJ394">
        <v>108294.711805014</v>
      </c>
      <c r="AK394" s="1">
        <f>intersection_ss_Lden___surface[[#This Row],[surf m2 bout ss]]/intersection_ss_Lden___surface[[#This Row],[Shape_Area]]</f>
        <v>0.71178968945796006</v>
      </c>
      <c r="AL394">
        <v>1269</v>
      </c>
      <c r="AM394">
        <f>intersection_ss_Lden___surface[[#This Row],[Population totale 2024 ss]]*intersection_ss_Lden___surface[[#This Row],[Part de la surface du qs dans le noise contour]]</f>
        <v>903.26111592215136</v>
      </c>
    </row>
    <row r="395" spans="1:39" x14ac:dyDescent="0.3">
      <c r="A395">
        <v>425</v>
      </c>
      <c r="B395" t="s">
        <v>632</v>
      </c>
      <c r="C395" t="s">
        <v>633</v>
      </c>
      <c r="D395" t="s">
        <v>634</v>
      </c>
      <c r="E395" t="s">
        <v>634</v>
      </c>
      <c r="F395" t="s">
        <v>620</v>
      </c>
      <c r="G395" t="s">
        <v>621</v>
      </c>
      <c r="H395" t="s">
        <v>622</v>
      </c>
      <c r="I395" t="s">
        <v>622</v>
      </c>
      <c r="J395" t="s">
        <v>36</v>
      </c>
      <c r="K395">
        <v>21006</v>
      </c>
      <c r="L395" t="s">
        <v>623</v>
      </c>
      <c r="M395" t="s">
        <v>623</v>
      </c>
      <c r="N395" t="s">
        <v>623</v>
      </c>
      <c r="O395">
        <v>21000</v>
      </c>
      <c r="P395" t="s">
        <v>46</v>
      </c>
      <c r="Q395" t="s">
        <v>47</v>
      </c>
      <c r="R395" t="s">
        <v>48</v>
      </c>
      <c r="T395" t="s">
        <v>36</v>
      </c>
      <c r="U395" t="s">
        <v>36</v>
      </c>
      <c r="V395" t="s">
        <v>36</v>
      </c>
      <c r="W395">
        <v>4000</v>
      </c>
      <c r="X395" t="s">
        <v>49</v>
      </c>
      <c r="Y395" t="s">
        <v>50</v>
      </c>
      <c r="Z395" t="s">
        <v>51</v>
      </c>
      <c r="AA395" t="s">
        <v>37</v>
      </c>
      <c r="AB395" t="s">
        <v>52</v>
      </c>
      <c r="AC395" t="s">
        <v>53</v>
      </c>
      <c r="AD395" t="s">
        <v>54</v>
      </c>
      <c r="AE395">
        <v>17.799027816999999</v>
      </c>
      <c r="AF395">
        <v>2291</v>
      </c>
      <c r="AG395">
        <v>2290.6224085700001</v>
      </c>
      <c r="AH395">
        <v>177993.15339600001</v>
      </c>
      <c r="AI395">
        <v>55</v>
      </c>
      <c r="AJ395">
        <v>58710.638793330603</v>
      </c>
      <c r="AK395" s="1">
        <f>intersection_ss_Lden___surface[[#This Row],[surf m2 bout ss]]/intersection_ss_Lden___surface[[#This Row],[Shape_Area]]</f>
        <v>0.32984773668631456</v>
      </c>
      <c r="AL395">
        <v>2733</v>
      </c>
      <c r="AM395">
        <f>intersection_ss_Lden___surface[[#This Row],[Population totale 2024 ss]]*intersection_ss_Lden___surface[[#This Row],[Part de la surface du qs dans le noise contour]]</f>
        <v>901.47386436369766</v>
      </c>
    </row>
    <row r="396" spans="1:39" x14ac:dyDescent="0.3">
      <c r="A396">
        <v>426</v>
      </c>
      <c r="B396" t="s">
        <v>632</v>
      </c>
      <c r="C396" t="s">
        <v>633</v>
      </c>
      <c r="D396" t="s">
        <v>634</v>
      </c>
      <c r="E396" t="s">
        <v>634</v>
      </c>
      <c r="F396" t="s">
        <v>620</v>
      </c>
      <c r="G396" t="s">
        <v>621</v>
      </c>
      <c r="H396" t="s">
        <v>622</v>
      </c>
      <c r="I396" t="s">
        <v>622</v>
      </c>
      <c r="J396" t="s">
        <v>36</v>
      </c>
      <c r="K396">
        <v>21006</v>
      </c>
      <c r="L396" t="s">
        <v>623</v>
      </c>
      <c r="M396" t="s">
        <v>623</v>
      </c>
      <c r="N396" t="s">
        <v>623</v>
      </c>
      <c r="O396">
        <v>21000</v>
      </c>
      <c r="P396" t="s">
        <v>46</v>
      </c>
      <c r="Q396" t="s">
        <v>47</v>
      </c>
      <c r="R396" t="s">
        <v>48</v>
      </c>
      <c r="T396" t="s">
        <v>36</v>
      </c>
      <c r="U396" t="s">
        <v>36</v>
      </c>
      <c r="V396" t="s">
        <v>36</v>
      </c>
      <c r="W396">
        <v>4000</v>
      </c>
      <c r="X396" t="s">
        <v>49</v>
      </c>
      <c r="Y396" t="s">
        <v>50</v>
      </c>
      <c r="Z396" t="s">
        <v>51</v>
      </c>
      <c r="AA396" t="s">
        <v>37</v>
      </c>
      <c r="AB396" t="s">
        <v>52</v>
      </c>
      <c r="AC396" t="s">
        <v>53</v>
      </c>
      <c r="AD396" t="s">
        <v>54</v>
      </c>
      <c r="AE396">
        <v>17.799027816999999</v>
      </c>
      <c r="AF396">
        <v>2291</v>
      </c>
      <c r="AG396">
        <v>2290.6224085700001</v>
      </c>
      <c r="AH396">
        <v>177993.15339600001</v>
      </c>
      <c r="AI396">
        <v>56</v>
      </c>
      <c r="AJ396">
        <v>75788.786169141094</v>
      </c>
      <c r="AK396" s="1">
        <f>intersection_ss_Lden___surface[[#This Row],[surf m2 bout ss]]/intersection_ss_Lden___surface[[#This Row],[Shape_Area]]</f>
        <v>0.42579607542839498</v>
      </c>
      <c r="AL396">
        <v>2733</v>
      </c>
      <c r="AM396">
        <f>intersection_ss_Lden___surface[[#This Row],[Population totale 2024 ss]]*intersection_ss_Lden___surface[[#This Row],[Part de la surface du qs dans le noise contour]]</f>
        <v>1163.7006741458035</v>
      </c>
    </row>
    <row r="397" spans="1:39" x14ac:dyDescent="0.3">
      <c r="A397">
        <v>427</v>
      </c>
      <c r="B397" t="s">
        <v>632</v>
      </c>
      <c r="C397" t="s">
        <v>633</v>
      </c>
      <c r="D397" t="s">
        <v>634</v>
      </c>
      <c r="E397" t="s">
        <v>634</v>
      </c>
      <c r="F397" t="s">
        <v>620</v>
      </c>
      <c r="G397" t="s">
        <v>621</v>
      </c>
      <c r="H397" t="s">
        <v>622</v>
      </c>
      <c r="I397" t="s">
        <v>622</v>
      </c>
      <c r="J397" t="s">
        <v>36</v>
      </c>
      <c r="K397">
        <v>21006</v>
      </c>
      <c r="L397" t="s">
        <v>623</v>
      </c>
      <c r="M397" t="s">
        <v>623</v>
      </c>
      <c r="N397" t="s">
        <v>623</v>
      </c>
      <c r="O397">
        <v>21000</v>
      </c>
      <c r="P397" t="s">
        <v>46</v>
      </c>
      <c r="Q397" t="s">
        <v>47</v>
      </c>
      <c r="R397" t="s">
        <v>48</v>
      </c>
      <c r="T397" t="s">
        <v>36</v>
      </c>
      <c r="U397" t="s">
        <v>36</v>
      </c>
      <c r="V397" t="s">
        <v>36</v>
      </c>
      <c r="W397">
        <v>4000</v>
      </c>
      <c r="X397" t="s">
        <v>49</v>
      </c>
      <c r="Y397" t="s">
        <v>50</v>
      </c>
      <c r="Z397" t="s">
        <v>51</v>
      </c>
      <c r="AA397" t="s">
        <v>37</v>
      </c>
      <c r="AB397" t="s">
        <v>52</v>
      </c>
      <c r="AC397" t="s">
        <v>53</v>
      </c>
      <c r="AD397" t="s">
        <v>54</v>
      </c>
      <c r="AE397">
        <v>17.799027816999999</v>
      </c>
      <c r="AF397">
        <v>2291</v>
      </c>
      <c r="AG397">
        <v>2290.6224085700001</v>
      </c>
      <c r="AH397">
        <v>177993.15339600001</v>
      </c>
      <c r="AI397">
        <v>57</v>
      </c>
      <c r="AJ397">
        <v>43510.093244214098</v>
      </c>
      <c r="AK397" s="1">
        <f>intersection_ss_Lden___surface[[#This Row],[surf m2 bout ss]]/intersection_ss_Lden___surface[[#This Row],[Shape_Area]]</f>
        <v>0.24444812856038703</v>
      </c>
      <c r="AL397">
        <v>2733</v>
      </c>
      <c r="AM397">
        <f>intersection_ss_Lden___surface[[#This Row],[Population totale 2024 ss]]*intersection_ss_Lden___surface[[#This Row],[Part de la surface du qs dans le noise contour]]</f>
        <v>668.07673535553772</v>
      </c>
    </row>
    <row r="398" spans="1:39" x14ac:dyDescent="0.3">
      <c r="A398">
        <v>428</v>
      </c>
      <c r="B398" t="s">
        <v>635</v>
      </c>
      <c r="C398" t="s">
        <v>579</v>
      </c>
      <c r="D398" t="s">
        <v>580</v>
      </c>
      <c r="E398" t="s">
        <v>580</v>
      </c>
      <c r="F398" t="s">
        <v>620</v>
      </c>
      <c r="G398" t="s">
        <v>621</v>
      </c>
      <c r="H398" t="s">
        <v>622</v>
      </c>
      <c r="I398" t="s">
        <v>622</v>
      </c>
      <c r="J398" t="s">
        <v>36</v>
      </c>
      <c r="K398">
        <v>21006</v>
      </c>
      <c r="L398" t="s">
        <v>623</v>
      </c>
      <c r="M398" t="s">
        <v>623</v>
      </c>
      <c r="N398" t="s">
        <v>623</v>
      </c>
      <c r="O398">
        <v>21000</v>
      </c>
      <c r="P398" t="s">
        <v>46</v>
      </c>
      <c r="Q398" t="s">
        <v>47</v>
      </c>
      <c r="R398" t="s">
        <v>48</v>
      </c>
      <c r="T398" t="s">
        <v>36</v>
      </c>
      <c r="U398" t="s">
        <v>36</v>
      </c>
      <c r="V398" t="s">
        <v>36</v>
      </c>
      <c r="W398">
        <v>4000</v>
      </c>
      <c r="X398" t="s">
        <v>49</v>
      </c>
      <c r="Y398" t="s">
        <v>50</v>
      </c>
      <c r="Z398" t="s">
        <v>51</v>
      </c>
      <c r="AA398" t="s">
        <v>37</v>
      </c>
      <c r="AB398" t="s">
        <v>52</v>
      </c>
      <c r="AC398" t="s">
        <v>53</v>
      </c>
      <c r="AD398" t="s">
        <v>54</v>
      </c>
      <c r="AE398">
        <v>21.746207934299999</v>
      </c>
      <c r="AF398">
        <v>2676</v>
      </c>
      <c r="AG398">
        <v>2676.4903832499999</v>
      </c>
      <c r="AH398">
        <v>217465.56440199999</v>
      </c>
      <c r="AI398">
        <v>54</v>
      </c>
      <c r="AJ398">
        <v>16164.0284911168</v>
      </c>
      <c r="AK398" s="1">
        <f>intersection_ss_Lden___surface[[#This Row],[surf m2 bout ss]]/intersection_ss_Lden___surface[[#This Row],[Shape_Area]]</f>
        <v>7.4329140503535021E-2</v>
      </c>
      <c r="AL398">
        <v>0</v>
      </c>
      <c r="AM398">
        <f>intersection_ss_Lden___surface[[#This Row],[Population totale 2024 ss]]*intersection_ss_Lden___surface[[#This Row],[Part de la surface du qs dans le noise contour]]</f>
        <v>0</v>
      </c>
    </row>
    <row r="399" spans="1:39" x14ac:dyDescent="0.3">
      <c r="A399">
        <v>429</v>
      </c>
      <c r="B399" t="s">
        <v>635</v>
      </c>
      <c r="C399" t="s">
        <v>579</v>
      </c>
      <c r="D399" t="s">
        <v>580</v>
      </c>
      <c r="E399" t="s">
        <v>580</v>
      </c>
      <c r="F399" t="s">
        <v>620</v>
      </c>
      <c r="G399" t="s">
        <v>621</v>
      </c>
      <c r="H399" t="s">
        <v>622</v>
      </c>
      <c r="I399" t="s">
        <v>622</v>
      </c>
      <c r="J399" t="s">
        <v>36</v>
      </c>
      <c r="K399">
        <v>21006</v>
      </c>
      <c r="L399" t="s">
        <v>623</v>
      </c>
      <c r="M399" t="s">
        <v>623</v>
      </c>
      <c r="N399" t="s">
        <v>623</v>
      </c>
      <c r="O399">
        <v>21000</v>
      </c>
      <c r="P399" t="s">
        <v>46</v>
      </c>
      <c r="Q399" t="s">
        <v>47</v>
      </c>
      <c r="R399" t="s">
        <v>48</v>
      </c>
      <c r="T399" t="s">
        <v>36</v>
      </c>
      <c r="U399" t="s">
        <v>36</v>
      </c>
      <c r="V399" t="s">
        <v>36</v>
      </c>
      <c r="W399">
        <v>4000</v>
      </c>
      <c r="X399" t="s">
        <v>49</v>
      </c>
      <c r="Y399" t="s">
        <v>50</v>
      </c>
      <c r="Z399" t="s">
        <v>51</v>
      </c>
      <c r="AA399" t="s">
        <v>37</v>
      </c>
      <c r="AB399" t="s">
        <v>52</v>
      </c>
      <c r="AC399" t="s">
        <v>53</v>
      </c>
      <c r="AD399" t="s">
        <v>54</v>
      </c>
      <c r="AE399">
        <v>21.746207934299999</v>
      </c>
      <c r="AF399">
        <v>2676</v>
      </c>
      <c r="AG399">
        <v>2676.4903832499999</v>
      </c>
      <c r="AH399">
        <v>217465.56440199999</v>
      </c>
      <c r="AI399">
        <v>55</v>
      </c>
      <c r="AJ399">
        <v>68565.517030853807</v>
      </c>
      <c r="AK399" s="1">
        <f>intersection_ss_Lden___surface[[#This Row],[surf m2 bout ss]]/intersection_ss_Lden___surface[[#This Row],[Shape_Area]]</f>
        <v>0.315293675205081</v>
      </c>
      <c r="AL399">
        <v>0</v>
      </c>
      <c r="AM399">
        <f>intersection_ss_Lden___surface[[#This Row],[Population totale 2024 ss]]*intersection_ss_Lden___surface[[#This Row],[Part de la surface du qs dans le noise contour]]</f>
        <v>0</v>
      </c>
    </row>
    <row r="400" spans="1:39" x14ac:dyDescent="0.3">
      <c r="A400">
        <v>430</v>
      </c>
      <c r="B400" t="s">
        <v>635</v>
      </c>
      <c r="C400" t="s">
        <v>579</v>
      </c>
      <c r="D400" t="s">
        <v>580</v>
      </c>
      <c r="E400" t="s">
        <v>580</v>
      </c>
      <c r="F400" t="s">
        <v>620</v>
      </c>
      <c r="G400" t="s">
        <v>621</v>
      </c>
      <c r="H400" t="s">
        <v>622</v>
      </c>
      <c r="I400" t="s">
        <v>622</v>
      </c>
      <c r="J400" t="s">
        <v>36</v>
      </c>
      <c r="K400">
        <v>21006</v>
      </c>
      <c r="L400" t="s">
        <v>623</v>
      </c>
      <c r="M400" t="s">
        <v>623</v>
      </c>
      <c r="N400" t="s">
        <v>623</v>
      </c>
      <c r="O400">
        <v>21000</v>
      </c>
      <c r="P400" t="s">
        <v>46</v>
      </c>
      <c r="Q400" t="s">
        <v>47</v>
      </c>
      <c r="R400" t="s">
        <v>48</v>
      </c>
      <c r="T400" t="s">
        <v>36</v>
      </c>
      <c r="U400" t="s">
        <v>36</v>
      </c>
      <c r="V400" t="s">
        <v>36</v>
      </c>
      <c r="W400">
        <v>4000</v>
      </c>
      <c r="X400" t="s">
        <v>49</v>
      </c>
      <c r="Y400" t="s">
        <v>50</v>
      </c>
      <c r="Z400" t="s">
        <v>51</v>
      </c>
      <c r="AA400" t="s">
        <v>37</v>
      </c>
      <c r="AB400" t="s">
        <v>52</v>
      </c>
      <c r="AC400" t="s">
        <v>53</v>
      </c>
      <c r="AD400" t="s">
        <v>54</v>
      </c>
      <c r="AE400">
        <v>21.746207934299999</v>
      </c>
      <c r="AF400">
        <v>2676</v>
      </c>
      <c r="AG400">
        <v>2676.4903832499999</v>
      </c>
      <c r="AH400">
        <v>217465.56440199999</v>
      </c>
      <c r="AI400">
        <v>56</v>
      </c>
      <c r="AJ400">
        <v>85341.8881146684</v>
      </c>
      <c r="AK400" s="1">
        <f>intersection_ss_Lden___surface[[#This Row],[surf m2 bout ss]]/intersection_ss_Lden___surface[[#This Row],[Shape_Area]]</f>
        <v>0.39243862976350624</v>
      </c>
      <c r="AL400">
        <v>0</v>
      </c>
      <c r="AM400">
        <f>intersection_ss_Lden___surface[[#This Row],[Population totale 2024 ss]]*intersection_ss_Lden___surface[[#This Row],[Part de la surface du qs dans le noise contour]]</f>
        <v>0</v>
      </c>
    </row>
    <row r="401" spans="1:39" x14ac:dyDescent="0.3">
      <c r="A401">
        <v>431</v>
      </c>
      <c r="B401" t="s">
        <v>635</v>
      </c>
      <c r="C401" t="s">
        <v>579</v>
      </c>
      <c r="D401" t="s">
        <v>580</v>
      </c>
      <c r="E401" t="s">
        <v>580</v>
      </c>
      <c r="F401" t="s">
        <v>620</v>
      </c>
      <c r="G401" t="s">
        <v>621</v>
      </c>
      <c r="H401" t="s">
        <v>622</v>
      </c>
      <c r="I401" t="s">
        <v>622</v>
      </c>
      <c r="J401" t="s">
        <v>36</v>
      </c>
      <c r="K401">
        <v>21006</v>
      </c>
      <c r="L401" t="s">
        <v>623</v>
      </c>
      <c r="M401" t="s">
        <v>623</v>
      </c>
      <c r="N401" t="s">
        <v>623</v>
      </c>
      <c r="O401">
        <v>21000</v>
      </c>
      <c r="P401" t="s">
        <v>46</v>
      </c>
      <c r="Q401" t="s">
        <v>47</v>
      </c>
      <c r="R401" t="s">
        <v>48</v>
      </c>
      <c r="T401" t="s">
        <v>36</v>
      </c>
      <c r="U401" t="s">
        <v>36</v>
      </c>
      <c r="V401" t="s">
        <v>36</v>
      </c>
      <c r="W401">
        <v>4000</v>
      </c>
      <c r="X401" t="s">
        <v>49</v>
      </c>
      <c r="Y401" t="s">
        <v>50</v>
      </c>
      <c r="Z401" t="s">
        <v>51</v>
      </c>
      <c r="AA401" t="s">
        <v>37</v>
      </c>
      <c r="AB401" t="s">
        <v>52</v>
      </c>
      <c r="AC401" t="s">
        <v>53</v>
      </c>
      <c r="AD401" t="s">
        <v>54</v>
      </c>
      <c r="AE401">
        <v>21.746207934299999</v>
      </c>
      <c r="AF401">
        <v>2676</v>
      </c>
      <c r="AG401">
        <v>2676.4903832499999</v>
      </c>
      <c r="AH401">
        <v>217465.56440199999</v>
      </c>
      <c r="AI401">
        <v>57</v>
      </c>
      <c r="AJ401">
        <v>47413.809039395303</v>
      </c>
      <c r="AK401" s="1">
        <f>intersection_ss_Lden___surface[[#This Row],[surf m2 bout ss]]/intersection_ss_Lden___surface[[#This Row],[Shape_Area]]</f>
        <v>0.21802904367768144</v>
      </c>
      <c r="AL401">
        <v>0</v>
      </c>
      <c r="AM401">
        <f>intersection_ss_Lden___surface[[#This Row],[Population totale 2024 ss]]*intersection_ss_Lden___surface[[#This Row],[Part de la surface du qs dans le noise contour]]</f>
        <v>0</v>
      </c>
    </row>
    <row r="402" spans="1:39" x14ac:dyDescent="0.3">
      <c r="A402">
        <v>432</v>
      </c>
      <c r="B402" t="s">
        <v>636</v>
      </c>
      <c r="C402" t="s">
        <v>637</v>
      </c>
      <c r="D402" t="s">
        <v>638</v>
      </c>
      <c r="E402" t="s">
        <v>638</v>
      </c>
      <c r="F402" t="s">
        <v>620</v>
      </c>
      <c r="G402" t="s">
        <v>621</v>
      </c>
      <c r="H402" t="s">
        <v>622</v>
      </c>
      <c r="I402" t="s">
        <v>622</v>
      </c>
      <c r="J402" t="s">
        <v>36</v>
      </c>
      <c r="K402">
        <v>21006</v>
      </c>
      <c r="L402" t="s">
        <v>623</v>
      </c>
      <c r="M402" t="s">
        <v>623</v>
      </c>
      <c r="N402" t="s">
        <v>623</v>
      </c>
      <c r="O402">
        <v>21000</v>
      </c>
      <c r="P402" t="s">
        <v>46</v>
      </c>
      <c r="Q402" t="s">
        <v>47</v>
      </c>
      <c r="R402" t="s">
        <v>48</v>
      </c>
      <c r="T402" t="s">
        <v>36</v>
      </c>
      <c r="U402" t="s">
        <v>36</v>
      </c>
      <c r="V402" t="s">
        <v>36</v>
      </c>
      <c r="W402">
        <v>4000</v>
      </c>
      <c r="X402" t="s">
        <v>49</v>
      </c>
      <c r="Y402" t="s">
        <v>50</v>
      </c>
      <c r="Z402" t="s">
        <v>51</v>
      </c>
      <c r="AA402" t="s">
        <v>37</v>
      </c>
      <c r="AB402" t="s">
        <v>52</v>
      </c>
      <c r="AC402" t="s">
        <v>53</v>
      </c>
      <c r="AD402" t="s">
        <v>54</v>
      </c>
      <c r="AE402">
        <v>30.971498622999999</v>
      </c>
      <c r="AF402">
        <v>2629</v>
      </c>
      <c r="AG402">
        <v>2629.3839288300001</v>
      </c>
      <c r="AH402">
        <v>309719.95857399999</v>
      </c>
      <c r="AI402">
        <v>54</v>
      </c>
      <c r="AJ402">
        <v>35853.0932005141</v>
      </c>
      <c r="AK402" s="1">
        <f>intersection_ss_Lden___surface[[#This Row],[surf m2 bout ss]]/intersection_ss_Lden___surface[[#This Row],[Shape_Area]]</f>
        <v>0.11575971198494102</v>
      </c>
      <c r="AL402">
        <v>450</v>
      </c>
      <c r="AM402">
        <f>intersection_ss_Lden___surface[[#This Row],[Population totale 2024 ss]]*intersection_ss_Lden___surface[[#This Row],[Part de la surface du qs dans le noise contour]]</f>
        <v>52.091870393223459</v>
      </c>
    </row>
    <row r="403" spans="1:39" x14ac:dyDescent="0.3">
      <c r="A403">
        <v>433</v>
      </c>
      <c r="B403" t="s">
        <v>636</v>
      </c>
      <c r="C403" t="s">
        <v>637</v>
      </c>
      <c r="D403" t="s">
        <v>638</v>
      </c>
      <c r="E403" t="s">
        <v>638</v>
      </c>
      <c r="F403" t="s">
        <v>620</v>
      </c>
      <c r="G403" t="s">
        <v>621</v>
      </c>
      <c r="H403" t="s">
        <v>622</v>
      </c>
      <c r="I403" t="s">
        <v>622</v>
      </c>
      <c r="J403" t="s">
        <v>36</v>
      </c>
      <c r="K403">
        <v>21006</v>
      </c>
      <c r="L403" t="s">
        <v>623</v>
      </c>
      <c r="M403" t="s">
        <v>623</v>
      </c>
      <c r="N403" t="s">
        <v>623</v>
      </c>
      <c r="O403">
        <v>21000</v>
      </c>
      <c r="P403" t="s">
        <v>46</v>
      </c>
      <c r="Q403" t="s">
        <v>47</v>
      </c>
      <c r="R403" t="s">
        <v>48</v>
      </c>
      <c r="T403" t="s">
        <v>36</v>
      </c>
      <c r="U403" t="s">
        <v>36</v>
      </c>
      <c r="V403" t="s">
        <v>36</v>
      </c>
      <c r="W403">
        <v>4000</v>
      </c>
      <c r="X403" t="s">
        <v>49</v>
      </c>
      <c r="Y403" t="s">
        <v>50</v>
      </c>
      <c r="Z403" t="s">
        <v>51</v>
      </c>
      <c r="AA403" t="s">
        <v>37</v>
      </c>
      <c r="AB403" t="s">
        <v>52</v>
      </c>
      <c r="AC403" t="s">
        <v>53</v>
      </c>
      <c r="AD403" t="s">
        <v>54</v>
      </c>
      <c r="AE403">
        <v>30.971498622999999</v>
      </c>
      <c r="AF403">
        <v>2629</v>
      </c>
      <c r="AG403">
        <v>2629.3839288300001</v>
      </c>
      <c r="AH403">
        <v>309719.95857399999</v>
      </c>
      <c r="AI403">
        <v>55</v>
      </c>
      <c r="AJ403">
        <v>184259.43777199599</v>
      </c>
      <c r="AK403" s="1">
        <f>intersection_ss_Lden___surface[[#This Row],[surf m2 bout ss]]/intersection_ss_Lden___surface[[#This Row],[Shape_Area]]</f>
        <v>0.59492271218282411</v>
      </c>
      <c r="AL403">
        <v>450</v>
      </c>
      <c r="AM403">
        <f>intersection_ss_Lden___surface[[#This Row],[Population totale 2024 ss]]*intersection_ss_Lden___surface[[#This Row],[Part de la surface du qs dans le noise contour]]</f>
        <v>267.71522048227087</v>
      </c>
    </row>
    <row r="404" spans="1:39" x14ac:dyDescent="0.3">
      <c r="A404">
        <v>434</v>
      </c>
      <c r="B404" t="s">
        <v>636</v>
      </c>
      <c r="C404" t="s">
        <v>637</v>
      </c>
      <c r="D404" t="s">
        <v>638</v>
      </c>
      <c r="E404" t="s">
        <v>638</v>
      </c>
      <c r="F404" t="s">
        <v>620</v>
      </c>
      <c r="G404" t="s">
        <v>621</v>
      </c>
      <c r="H404" t="s">
        <v>622</v>
      </c>
      <c r="I404" t="s">
        <v>622</v>
      </c>
      <c r="J404" t="s">
        <v>36</v>
      </c>
      <c r="K404">
        <v>21006</v>
      </c>
      <c r="L404" t="s">
        <v>623</v>
      </c>
      <c r="M404" t="s">
        <v>623</v>
      </c>
      <c r="N404" t="s">
        <v>623</v>
      </c>
      <c r="O404">
        <v>21000</v>
      </c>
      <c r="P404" t="s">
        <v>46</v>
      </c>
      <c r="Q404" t="s">
        <v>47</v>
      </c>
      <c r="R404" t="s">
        <v>48</v>
      </c>
      <c r="T404" t="s">
        <v>36</v>
      </c>
      <c r="U404" t="s">
        <v>36</v>
      </c>
      <c r="V404" t="s">
        <v>36</v>
      </c>
      <c r="W404">
        <v>4000</v>
      </c>
      <c r="X404" t="s">
        <v>49</v>
      </c>
      <c r="Y404" t="s">
        <v>50</v>
      </c>
      <c r="Z404" t="s">
        <v>51</v>
      </c>
      <c r="AA404" t="s">
        <v>37</v>
      </c>
      <c r="AB404" t="s">
        <v>52</v>
      </c>
      <c r="AC404" t="s">
        <v>53</v>
      </c>
      <c r="AD404" t="s">
        <v>54</v>
      </c>
      <c r="AE404">
        <v>30.971498622999999</v>
      </c>
      <c r="AF404">
        <v>2629</v>
      </c>
      <c r="AG404">
        <v>2629.3839288300001</v>
      </c>
      <c r="AH404">
        <v>309719.95857399999</v>
      </c>
      <c r="AI404">
        <v>56</v>
      </c>
      <c r="AJ404">
        <v>89263.979512297505</v>
      </c>
      <c r="AK404" s="1">
        <f>intersection_ss_Lden___surface[[#This Row],[surf m2 bout ss]]/intersection_ss_Lden___surface[[#This Row],[Shape_Area]]</f>
        <v>0.28820867703612996</v>
      </c>
      <c r="AL404">
        <v>450</v>
      </c>
      <c r="AM404">
        <f>intersection_ss_Lden___surface[[#This Row],[Population totale 2024 ss]]*intersection_ss_Lden___surface[[#This Row],[Part de la surface du qs dans le noise contour]]</f>
        <v>129.69390466625848</v>
      </c>
    </row>
    <row r="405" spans="1:39" x14ac:dyDescent="0.3">
      <c r="A405">
        <v>435</v>
      </c>
      <c r="B405" t="s">
        <v>636</v>
      </c>
      <c r="C405" t="s">
        <v>637</v>
      </c>
      <c r="D405" t="s">
        <v>638</v>
      </c>
      <c r="E405" t="s">
        <v>638</v>
      </c>
      <c r="F405" t="s">
        <v>620</v>
      </c>
      <c r="G405" t="s">
        <v>621</v>
      </c>
      <c r="H405" t="s">
        <v>622</v>
      </c>
      <c r="I405" t="s">
        <v>622</v>
      </c>
      <c r="J405" t="s">
        <v>36</v>
      </c>
      <c r="K405">
        <v>21006</v>
      </c>
      <c r="L405" t="s">
        <v>623</v>
      </c>
      <c r="M405" t="s">
        <v>623</v>
      </c>
      <c r="N405" t="s">
        <v>623</v>
      </c>
      <c r="O405">
        <v>21000</v>
      </c>
      <c r="P405" t="s">
        <v>46</v>
      </c>
      <c r="Q405" t="s">
        <v>47</v>
      </c>
      <c r="R405" t="s">
        <v>48</v>
      </c>
      <c r="T405" t="s">
        <v>36</v>
      </c>
      <c r="U405" t="s">
        <v>36</v>
      </c>
      <c r="V405" t="s">
        <v>36</v>
      </c>
      <c r="W405">
        <v>4000</v>
      </c>
      <c r="X405" t="s">
        <v>49</v>
      </c>
      <c r="Y405" t="s">
        <v>50</v>
      </c>
      <c r="Z405" t="s">
        <v>51</v>
      </c>
      <c r="AA405" t="s">
        <v>37</v>
      </c>
      <c r="AB405" t="s">
        <v>52</v>
      </c>
      <c r="AC405" t="s">
        <v>53</v>
      </c>
      <c r="AD405" t="s">
        <v>54</v>
      </c>
      <c r="AE405">
        <v>30.971498622999999</v>
      </c>
      <c r="AF405">
        <v>2629</v>
      </c>
      <c r="AG405">
        <v>2629.3839288300001</v>
      </c>
      <c r="AH405">
        <v>309719.95857399999</v>
      </c>
      <c r="AI405">
        <v>57</v>
      </c>
      <c r="AJ405">
        <v>371.67894327640499</v>
      </c>
      <c r="AK405" s="1">
        <f>intersection_ss_Lden___surface[[#This Row],[surf m2 bout ss]]/intersection_ss_Lden___surface[[#This Row],[Shape_Area]]</f>
        <v>1.2000484082061551E-3</v>
      </c>
      <c r="AL405">
        <v>450</v>
      </c>
      <c r="AM405">
        <f>intersection_ss_Lden___surface[[#This Row],[Population totale 2024 ss]]*intersection_ss_Lden___surface[[#This Row],[Part de la surface du qs dans le noise contour]]</f>
        <v>0.54002178369276976</v>
      </c>
    </row>
    <row r="406" spans="1:39" x14ac:dyDescent="0.3">
      <c r="A406">
        <v>436</v>
      </c>
      <c r="B406" t="s">
        <v>639</v>
      </c>
      <c r="C406" t="s">
        <v>640</v>
      </c>
      <c r="D406" t="s">
        <v>640</v>
      </c>
      <c r="E406" t="s">
        <v>640</v>
      </c>
      <c r="F406" t="s">
        <v>641</v>
      </c>
      <c r="G406" t="s">
        <v>621</v>
      </c>
      <c r="H406" t="s">
        <v>622</v>
      </c>
      <c r="I406" t="s">
        <v>622</v>
      </c>
      <c r="J406" t="s">
        <v>36</v>
      </c>
      <c r="K406">
        <v>21006</v>
      </c>
      <c r="L406" t="s">
        <v>623</v>
      </c>
      <c r="M406" t="s">
        <v>623</v>
      </c>
      <c r="N406" t="s">
        <v>623</v>
      </c>
      <c r="O406">
        <v>21000</v>
      </c>
      <c r="P406" t="s">
        <v>46</v>
      </c>
      <c r="Q406" t="s">
        <v>47</v>
      </c>
      <c r="R406" t="s">
        <v>48</v>
      </c>
      <c r="T406" t="s">
        <v>36</v>
      </c>
      <c r="U406" t="s">
        <v>36</v>
      </c>
      <c r="V406" t="s">
        <v>36</v>
      </c>
      <c r="W406">
        <v>4000</v>
      </c>
      <c r="X406" t="s">
        <v>49</v>
      </c>
      <c r="Y406" t="s">
        <v>50</v>
      </c>
      <c r="Z406" t="s">
        <v>51</v>
      </c>
      <c r="AA406" t="s">
        <v>37</v>
      </c>
      <c r="AB406" t="s">
        <v>52</v>
      </c>
      <c r="AC406" t="s">
        <v>53</v>
      </c>
      <c r="AD406" t="s">
        <v>54</v>
      </c>
      <c r="AE406">
        <v>24.013115995100001</v>
      </c>
      <c r="AF406">
        <v>2855</v>
      </c>
      <c r="AG406">
        <v>2854.98038438</v>
      </c>
      <c r="AH406">
        <v>240135.04581000001</v>
      </c>
      <c r="AI406">
        <v>53</v>
      </c>
      <c r="AJ406">
        <v>5045.1870524629503</v>
      </c>
      <c r="AK406" s="1">
        <f>intersection_ss_Lden___surface[[#This Row],[surf m2 bout ss]]/intersection_ss_Lden___surface[[#This Row],[Shape_Area]]</f>
        <v>2.1009790701082467E-2</v>
      </c>
      <c r="AL406">
        <v>4585</v>
      </c>
      <c r="AM406">
        <f>intersection_ss_Lden___surface[[#This Row],[Population totale 2024 ss]]*intersection_ss_Lden___surface[[#This Row],[Part de la surface du qs dans le noise contour]]</f>
        <v>96.329890364463111</v>
      </c>
    </row>
    <row r="407" spans="1:39" x14ac:dyDescent="0.3">
      <c r="A407">
        <v>437</v>
      </c>
      <c r="B407" t="s">
        <v>639</v>
      </c>
      <c r="C407" t="s">
        <v>640</v>
      </c>
      <c r="D407" t="s">
        <v>640</v>
      </c>
      <c r="E407" t="s">
        <v>640</v>
      </c>
      <c r="F407" t="s">
        <v>641</v>
      </c>
      <c r="G407" t="s">
        <v>621</v>
      </c>
      <c r="H407" t="s">
        <v>622</v>
      </c>
      <c r="I407" t="s">
        <v>622</v>
      </c>
      <c r="J407" t="s">
        <v>36</v>
      </c>
      <c r="K407">
        <v>21006</v>
      </c>
      <c r="L407" t="s">
        <v>623</v>
      </c>
      <c r="M407" t="s">
        <v>623</v>
      </c>
      <c r="N407" t="s">
        <v>623</v>
      </c>
      <c r="O407">
        <v>21000</v>
      </c>
      <c r="P407" t="s">
        <v>46</v>
      </c>
      <c r="Q407" t="s">
        <v>47</v>
      </c>
      <c r="R407" t="s">
        <v>48</v>
      </c>
      <c r="T407" t="s">
        <v>36</v>
      </c>
      <c r="U407" t="s">
        <v>36</v>
      </c>
      <c r="V407" t="s">
        <v>36</v>
      </c>
      <c r="W407">
        <v>4000</v>
      </c>
      <c r="X407" t="s">
        <v>49</v>
      </c>
      <c r="Y407" t="s">
        <v>50</v>
      </c>
      <c r="Z407" t="s">
        <v>51</v>
      </c>
      <c r="AA407" t="s">
        <v>37</v>
      </c>
      <c r="AB407" t="s">
        <v>52</v>
      </c>
      <c r="AC407" t="s">
        <v>53</v>
      </c>
      <c r="AD407" t="s">
        <v>54</v>
      </c>
      <c r="AE407">
        <v>24.013115995100001</v>
      </c>
      <c r="AF407">
        <v>2855</v>
      </c>
      <c r="AG407">
        <v>2854.98038438</v>
      </c>
      <c r="AH407">
        <v>240135.04581000001</v>
      </c>
      <c r="AI407">
        <v>54</v>
      </c>
      <c r="AJ407">
        <v>105546.828142443</v>
      </c>
      <c r="AK407" s="1">
        <f>intersection_ss_Lden___surface[[#This Row],[surf m2 bout ss]]/intersection_ss_Lden___surface[[#This Row],[Shape_Area]]</f>
        <v>0.4395311304371371</v>
      </c>
      <c r="AL407">
        <v>4585</v>
      </c>
      <c r="AM407">
        <f>intersection_ss_Lden___surface[[#This Row],[Population totale 2024 ss]]*intersection_ss_Lden___surface[[#This Row],[Part de la surface du qs dans le noise contour]]</f>
        <v>2015.2502330542736</v>
      </c>
    </row>
    <row r="408" spans="1:39" x14ac:dyDescent="0.3">
      <c r="A408">
        <v>438</v>
      </c>
      <c r="B408" t="s">
        <v>639</v>
      </c>
      <c r="C408" t="s">
        <v>640</v>
      </c>
      <c r="D408" t="s">
        <v>640</v>
      </c>
      <c r="E408" t="s">
        <v>640</v>
      </c>
      <c r="F408" t="s">
        <v>641</v>
      </c>
      <c r="G408" t="s">
        <v>621</v>
      </c>
      <c r="H408" t="s">
        <v>622</v>
      </c>
      <c r="I408" t="s">
        <v>622</v>
      </c>
      <c r="J408" t="s">
        <v>36</v>
      </c>
      <c r="K408">
        <v>21006</v>
      </c>
      <c r="L408" t="s">
        <v>623</v>
      </c>
      <c r="M408" t="s">
        <v>623</v>
      </c>
      <c r="N408" t="s">
        <v>623</v>
      </c>
      <c r="O408">
        <v>21000</v>
      </c>
      <c r="P408" t="s">
        <v>46</v>
      </c>
      <c r="Q408" t="s">
        <v>47</v>
      </c>
      <c r="R408" t="s">
        <v>48</v>
      </c>
      <c r="T408" t="s">
        <v>36</v>
      </c>
      <c r="U408" t="s">
        <v>36</v>
      </c>
      <c r="V408" t="s">
        <v>36</v>
      </c>
      <c r="W408">
        <v>4000</v>
      </c>
      <c r="X408" t="s">
        <v>49</v>
      </c>
      <c r="Y408" t="s">
        <v>50</v>
      </c>
      <c r="Z408" t="s">
        <v>51</v>
      </c>
      <c r="AA408" t="s">
        <v>37</v>
      </c>
      <c r="AB408" t="s">
        <v>52</v>
      </c>
      <c r="AC408" t="s">
        <v>53</v>
      </c>
      <c r="AD408" t="s">
        <v>54</v>
      </c>
      <c r="AE408">
        <v>24.013115995100001</v>
      </c>
      <c r="AF408">
        <v>2855</v>
      </c>
      <c r="AG408">
        <v>2854.98038438</v>
      </c>
      <c r="AH408">
        <v>240135.04581000001</v>
      </c>
      <c r="AI408">
        <v>55</v>
      </c>
      <c r="AJ408">
        <v>123058.14323939499</v>
      </c>
      <c r="AK408" s="1">
        <f>intersection_ss_Lden___surface[[#This Row],[surf m2 bout ss]]/intersection_ss_Lden___surface[[#This Row],[Shape_Area]]</f>
        <v>0.51245391035826249</v>
      </c>
      <c r="AL408">
        <v>4585</v>
      </c>
      <c r="AM408">
        <f>intersection_ss_Lden___surface[[#This Row],[Population totale 2024 ss]]*intersection_ss_Lden___surface[[#This Row],[Part de la surface du qs dans le noise contour]]</f>
        <v>2349.6011789926333</v>
      </c>
    </row>
    <row r="409" spans="1:39" x14ac:dyDescent="0.3">
      <c r="A409">
        <v>439</v>
      </c>
      <c r="B409" t="s">
        <v>639</v>
      </c>
      <c r="C409" t="s">
        <v>640</v>
      </c>
      <c r="D409" t="s">
        <v>640</v>
      </c>
      <c r="E409" t="s">
        <v>640</v>
      </c>
      <c r="F409" t="s">
        <v>641</v>
      </c>
      <c r="G409" t="s">
        <v>621</v>
      </c>
      <c r="H409" t="s">
        <v>622</v>
      </c>
      <c r="I409" t="s">
        <v>622</v>
      </c>
      <c r="J409" t="s">
        <v>36</v>
      </c>
      <c r="K409">
        <v>21006</v>
      </c>
      <c r="L409" t="s">
        <v>623</v>
      </c>
      <c r="M409" t="s">
        <v>623</v>
      </c>
      <c r="N409" t="s">
        <v>623</v>
      </c>
      <c r="O409">
        <v>21000</v>
      </c>
      <c r="P409" t="s">
        <v>46</v>
      </c>
      <c r="Q409" t="s">
        <v>47</v>
      </c>
      <c r="R409" t="s">
        <v>48</v>
      </c>
      <c r="T409" t="s">
        <v>36</v>
      </c>
      <c r="U409" t="s">
        <v>36</v>
      </c>
      <c r="V409" t="s">
        <v>36</v>
      </c>
      <c r="W409">
        <v>4000</v>
      </c>
      <c r="X409" t="s">
        <v>49</v>
      </c>
      <c r="Y409" t="s">
        <v>50</v>
      </c>
      <c r="Z409" t="s">
        <v>51</v>
      </c>
      <c r="AA409" t="s">
        <v>37</v>
      </c>
      <c r="AB409" t="s">
        <v>52</v>
      </c>
      <c r="AC409" t="s">
        <v>53</v>
      </c>
      <c r="AD409" t="s">
        <v>54</v>
      </c>
      <c r="AE409">
        <v>24.013115995100001</v>
      </c>
      <c r="AF409">
        <v>2855</v>
      </c>
      <c r="AG409">
        <v>2854.98038438</v>
      </c>
      <c r="AH409">
        <v>240135.04581000001</v>
      </c>
      <c r="AI409">
        <v>56</v>
      </c>
      <c r="AJ409">
        <v>6507.2851197244599</v>
      </c>
      <c r="AK409" s="1">
        <f>intersection_ss_Lden___surface[[#This Row],[surf m2 bout ss]]/intersection_ss_Lden___surface[[#This Row],[Shape_Area]]</f>
        <v>2.7098439953963084E-2</v>
      </c>
      <c r="AL409">
        <v>4585</v>
      </c>
      <c r="AM409">
        <f>intersection_ss_Lden___surface[[#This Row],[Population totale 2024 ss]]*intersection_ss_Lden___surface[[#This Row],[Part de la surface du qs dans le noise contour]]</f>
        <v>124.24634718892074</v>
      </c>
    </row>
    <row r="410" spans="1:39" x14ac:dyDescent="0.3">
      <c r="A410">
        <v>440</v>
      </c>
      <c r="B410" t="s">
        <v>642</v>
      </c>
      <c r="C410" t="s">
        <v>643</v>
      </c>
      <c r="D410" t="s">
        <v>644</v>
      </c>
      <c r="E410" t="s">
        <v>644</v>
      </c>
      <c r="F410" t="s">
        <v>641</v>
      </c>
      <c r="G410" t="s">
        <v>621</v>
      </c>
      <c r="H410" t="s">
        <v>622</v>
      </c>
      <c r="I410" t="s">
        <v>622</v>
      </c>
      <c r="J410" t="s">
        <v>36</v>
      </c>
      <c r="K410">
        <v>21006</v>
      </c>
      <c r="L410" t="s">
        <v>623</v>
      </c>
      <c r="M410" t="s">
        <v>623</v>
      </c>
      <c r="N410" t="s">
        <v>623</v>
      </c>
      <c r="O410">
        <v>21000</v>
      </c>
      <c r="P410" t="s">
        <v>46</v>
      </c>
      <c r="Q410" t="s">
        <v>47</v>
      </c>
      <c r="R410" t="s">
        <v>48</v>
      </c>
      <c r="T410" t="s">
        <v>36</v>
      </c>
      <c r="U410" t="s">
        <v>36</v>
      </c>
      <c r="V410" t="s">
        <v>36</v>
      </c>
      <c r="W410">
        <v>4000</v>
      </c>
      <c r="X410" t="s">
        <v>49</v>
      </c>
      <c r="Y410" t="s">
        <v>50</v>
      </c>
      <c r="Z410" t="s">
        <v>51</v>
      </c>
      <c r="AA410" t="s">
        <v>37</v>
      </c>
      <c r="AB410" t="s">
        <v>52</v>
      </c>
      <c r="AC410" t="s">
        <v>53</v>
      </c>
      <c r="AD410" t="s">
        <v>54</v>
      </c>
      <c r="AE410">
        <v>18.996077378300001</v>
      </c>
      <c r="AF410">
        <v>3259</v>
      </c>
      <c r="AG410">
        <v>3258.9751046199999</v>
      </c>
      <c r="AH410">
        <v>189963.793293</v>
      </c>
      <c r="AI410">
        <v>52</v>
      </c>
      <c r="AJ410">
        <v>35703.654858166003</v>
      </c>
      <c r="AK410" s="1">
        <f>intersection_ss_Lden___surface[[#This Row],[surf m2 bout ss]]/intersection_ss_Lden___surface[[#This Row],[Shape_Area]]</f>
        <v>0.18794978895318601</v>
      </c>
      <c r="AL410">
        <v>879</v>
      </c>
      <c r="AM410">
        <f>intersection_ss_Lden___surface[[#This Row],[Population totale 2024 ss]]*intersection_ss_Lden___surface[[#This Row],[Part de la surface du qs dans le noise contour]]</f>
        <v>165.20786448985049</v>
      </c>
    </row>
    <row r="411" spans="1:39" x14ac:dyDescent="0.3">
      <c r="A411">
        <v>441</v>
      </c>
      <c r="B411" t="s">
        <v>642</v>
      </c>
      <c r="C411" t="s">
        <v>643</v>
      </c>
      <c r="D411" t="s">
        <v>644</v>
      </c>
      <c r="E411" t="s">
        <v>644</v>
      </c>
      <c r="F411" t="s">
        <v>641</v>
      </c>
      <c r="G411" t="s">
        <v>621</v>
      </c>
      <c r="H411" t="s">
        <v>622</v>
      </c>
      <c r="I411" t="s">
        <v>622</v>
      </c>
      <c r="J411" t="s">
        <v>36</v>
      </c>
      <c r="K411">
        <v>21006</v>
      </c>
      <c r="L411" t="s">
        <v>623</v>
      </c>
      <c r="M411" t="s">
        <v>623</v>
      </c>
      <c r="N411" t="s">
        <v>623</v>
      </c>
      <c r="O411">
        <v>21000</v>
      </c>
      <c r="P411" t="s">
        <v>46</v>
      </c>
      <c r="Q411" t="s">
        <v>47</v>
      </c>
      <c r="R411" t="s">
        <v>48</v>
      </c>
      <c r="T411" t="s">
        <v>36</v>
      </c>
      <c r="U411" t="s">
        <v>36</v>
      </c>
      <c r="V411" t="s">
        <v>36</v>
      </c>
      <c r="W411">
        <v>4000</v>
      </c>
      <c r="X411" t="s">
        <v>49</v>
      </c>
      <c r="Y411" t="s">
        <v>50</v>
      </c>
      <c r="Z411" t="s">
        <v>51</v>
      </c>
      <c r="AA411" t="s">
        <v>37</v>
      </c>
      <c r="AB411" t="s">
        <v>52</v>
      </c>
      <c r="AC411" t="s">
        <v>53</v>
      </c>
      <c r="AD411" t="s">
        <v>54</v>
      </c>
      <c r="AE411">
        <v>18.996077378300001</v>
      </c>
      <c r="AF411">
        <v>3259</v>
      </c>
      <c r="AG411">
        <v>3258.9751046199999</v>
      </c>
      <c r="AH411">
        <v>189963.793293</v>
      </c>
      <c r="AI411">
        <v>53</v>
      </c>
      <c r="AJ411">
        <v>50573.240897579402</v>
      </c>
      <c r="AK411" s="1">
        <f>intersection_ss_Lden___surface[[#This Row],[surf m2 bout ss]]/intersection_ss_Lden___surface[[#This Row],[Shape_Area]]</f>
        <v>0.26622568448912409</v>
      </c>
      <c r="AL411">
        <v>879</v>
      </c>
      <c r="AM411">
        <f>intersection_ss_Lden___surface[[#This Row],[Population totale 2024 ss]]*intersection_ss_Lden___surface[[#This Row],[Part de la surface du qs dans le noise contour]]</f>
        <v>234.01237666594008</v>
      </c>
    </row>
    <row r="412" spans="1:39" x14ac:dyDescent="0.3">
      <c r="A412">
        <v>442</v>
      </c>
      <c r="B412" t="s">
        <v>642</v>
      </c>
      <c r="C412" t="s">
        <v>643</v>
      </c>
      <c r="D412" t="s">
        <v>644</v>
      </c>
      <c r="E412" t="s">
        <v>644</v>
      </c>
      <c r="F412" t="s">
        <v>641</v>
      </c>
      <c r="G412" t="s">
        <v>621</v>
      </c>
      <c r="H412" t="s">
        <v>622</v>
      </c>
      <c r="I412" t="s">
        <v>622</v>
      </c>
      <c r="J412" t="s">
        <v>36</v>
      </c>
      <c r="K412">
        <v>21006</v>
      </c>
      <c r="L412" t="s">
        <v>623</v>
      </c>
      <c r="M412" t="s">
        <v>623</v>
      </c>
      <c r="N412" t="s">
        <v>623</v>
      </c>
      <c r="O412">
        <v>21000</v>
      </c>
      <c r="P412" t="s">
        <v>46</v>
      </c>
      <c r="Q412" t="s">
        <v>47</v>
      </c>
      <c r="R412" t="s">
        <v>48</v>
      </c>
      <c r="T412" t="s">
        <v>36</v>
      </c>
      <c r="U412" t="s">
        <v>36</v>
      </c>
      <c r="V412" t="s">
        <v>36</v>
      </c>
      <c r="W412">
        <v>4000</v>
      </c>
      <c r="X412" t="s">
        <v>49</v>
      </c>
      <c r="Y412" t="s">
        <v>50</v>
      </c>
      <c r="Z412" t="s">
        <v>51</v>
      </c>
      <c r="AA412" t="s">
        <v>37</v>
      </c>
      <c r="AB412" t="s">
        <v>52</v>
      </c>
      <c r="AC412" t="s">
        <v>53</v>
      </c>
      <c r="AD412" t="s">
        <v>54</v>
      </c>
      <c r="AE412">
        <v>18.996077378300001</v>
      </c>
      <c r="AF412">
        <v>3259</v>
      </c>
      <c r="AG412">
        <v>3258.9751046199999</v>
      </c>
      <c r="AH412">
        <v>189963.793293</v>
      </c>
      <c r="AI412">
        <v>54</v>
      </c>
      <c r="AJ412">
        <v>29836.413917941001</v>
      </c>
      <c r="AK412" s="1">
        <f>intersection_ss_Lden___surface[[#This Row],[surf m2 bout ss]]/intersection_ss_Lden___surface[[#This Row],[Shape_Area]]</f>
        <v>0.15706368777297125</v>
      </c>
      <c r="AL412">
        <v>879</v>
      </c>
      <c r="AM412">
        <f>intersection_ss_Lden___surface[[#This Row],[Population totale 2024 ss]]*intersection_ss_Lden___surface[[#This Row],[Part de la surface du qs dans le noise contour]]</f>
        <v>138.05898155244174</v>
      </c>
    </row>
    <row r="413" spans="1:39" x14ac:dyDescent="0.3">
      <c r="A413">
        <v>443</v>
      </c>
      <c r="B413" t="s">
        <v>642</v>
      </c>
      <c r="C413" t="s">
        <v>643</v>
      </c>
      <c r="D413" t="s">
        <v>644</v>
      </c>
      <c r="E413" t="s">
        <v>644</v>
      </c>
      <c r="F413" t="s">
        <v>641</v>
      </c>
      <c r="G413" t="s">
        <v>621</v>
      </c>
      <c r="H413" t="s">
        <v>622</v>
      </c>
      <c r="I413" t="s">
        <v>622</v>
      </c>
      <c r="J413" t="s">
        <v>36</v>
      </c>
      <c r="K413">
        <v>21006</v>
      </c>
      <c r="L413" t="s">
        <v>623</v>
      </c>
      <c r="M413" t="s">
        <v>623</v>
      </c>
      <c r="N413" t="s">
        <v>623</v>
      </c>
      <c r="O413">
        <v>21000</v>
      </c>
      <c r="P413" t="s">
        <v>46</v>
      </c>
      <c r="Q413" t="s">
        <v>47</v>
      </c>
      <c r="R413" t="s">
        <v>48</v>
      </c>
      <c r="T413" t="s">
        <v>36</v>
      </c>
      <c r="U413" t="s">
        <v>36</v>
      </c>
      <c r="V413" t="s">
        <v>36</v>
      </c>
      <c r="W413">
        <v>4000</v>
      </c>
      <c r="X413" t="s">
        <v>49</v>
      </c>
      <c r="Y413" t="s">
        <v>50</v>
      </c>
      <c r="Z413" t="s">
        <v>51</v>
      </c>
      <c r="AA413" t="s">
        <v>37</v>
      </c>
      <c r="AB413" t="s">
        <v>52</v>
      </c>
      <c r="AC413" t="s">
        <v>53</v>
      </c>
      <c r="AD413" t="s">
        <v>54</v>
      </c>
      <c r="AE413">
        <v>18.996077378300001</v>
      </c>
      <c r="AF413">
        <v>3259</v>
      </c>
      <c r="AG413">
        <v>3258.9751046199999</v>
      </c>
      <c r="AH413">
        <v>189963.793293</v>
      </c>
      <c r="AI413">
        <v>55</v>
      </c>
      <c r="AJ413">
        <v>34571.090964722498</v>
      </c>
      <c r="AK413" s="1">
        <f>intersection_ss_Lden___surface[[#This Row],[surf m2 bout ss]]/intersection_ss_Lden___surface[[#This Row],[Shape_Area]]</f>
        <v>0.18198779022800454</v>
      </c>
      <c r="AL413">
        <v>879</v>
      </c>
      <c r="AM413">
        <f>intersection_ss_Lden___surface[[#This Row],[Population totale 2024 ss]]*intersection_ss_Lden___surface[[#This Row],[Part de la surface du qs dans le noise contour]]</f>
        <v>159.967267610416</v>
      </c>
    </row>
    <row r="414" spans="1:39" x14ac:dyDescent="0.3">
      <c r="A414">
        <v>444</v>
      </c>
      <c r="B414" t="s">
        <v>642</v>
      </c>
      <c r="C414" t="s">
        <v>643</v>
      </c>
      <c r="D414" t="s">
        <v>644</v>
      </c>
      <c r="E414" t="s">
        <v>644</v>
      </c>
      <c r="F414" t="s">
        <v>641</v>
      </c>
      <c r="G414" t="s">
        <v>621</v>
      </c>
      <c r="H414" t="s">
        <v>622</v>
      </c>
      <c r="I414" t="s">
        <v>622</v>
      </c>
      <c r="J414" t="s">
        <v>36</v>
      </c>
      <c r="K414">
        <v>21006</v>
      </c>
      <c r="L414" t="s">
        <v>623</v>
      </c>
      <c r="M414" t="s">
        <v>623</v>
      </c>
      <c r="N414" t="s">
        <v>623</v>
      </c>
      <c r="O414">
        <v>21000</v>
      </c>
      <c r="P414" t="s">
        <v>46</v>
      </c>
      <c r="Q414" t="s">
        <v>47</v>
      </c>
      <c r="R414" t="s">
        <v>48</v>
      </c>
      <c r="T414" t="s">
        <v>36</v>
      </c>
      <c r="U414" t="s">
        <v>36</v>
      </c>
      <c r="V414" t="s">
        <v>36</v>
      </c>
      <c r="W414">
        <v>4000</v>
      </c>
      <c r="X414" t="s">
        <v>49</v>
      </c>
      <c r="Y414" t="s">
        <v>50</v>
      </c>
      <c r="Z414" t="s">
        <v>51</v>
      </c>
      <c r="AA414" t="s">
        <v>37</v>
      </c>
      <c r="AB414" t="s">
        <v>52</v>
      </c>
      <c r="AC414" t="s">
        <v>53</v>
      </c>
      <c r="AD414" t="s">
        <v>54</v>
      </c>
      <c r="AE414">
        <v>18.996077378300001</v>
      </c>
      <c r="AF414">
        <v>3259</v>
      </c>
      <c r="AG414">
        <v>3258.9751046199999</v>
      </c>
      <c r="AH414">
        <v>189963.793293</v>
      </c>
      <c r="AI414">
        <v>56</v>
      </c>
      <c r="AJ414">
        <v>39297.238356923699</v>
      </c>
      <c r="AK414" s="1">
        <f>intersection_ss_Lden___surface[[#This Row],[surf m2 bout ss]]/intersection_ss_Lden___surface[[#This Row],[Shape_Area]]</f>
        <v>0.20686699120769647</v>
      </c>
      <c r="AL414">
        <v>879</v>
      </c>
      <c r="AM414">
        <f>intersection_ss_Lden___surface[[#This Row],[Population totale 2024 ss]]*intersection_ss_Lden___surface[[#This Row],[Part de la surface du qs dans le noise contour]]</f>
        <v>181.8360852715652</v>
      </c>
    </row>
    <row r="415" spans="1:39" x14ac:dyDescent="0.3">
      <c r="A415">
        <v>445</v>
      </c>
      <c r="B415" t="s">
        <v>645</v>
      </c>
      <c r="C415" t="s">
        <v>646</v>
      </c>
      <c r="D415" t="s">
        <v>646</v>
      </c>
      <c r="E415" t="s">
        <v>646</v>
      </c>
      <c r="F415" t="s">
        <v>641</v>
      </c>
      <c r="G415" t="s">
        <v>621</v>
      </c>
      <c r="H415" t="s">
        <v>622</v>
      </c>
      <c r="I415" t="s">
        <v>622</v>
      </c>
      <c r="J415" t="s">
        <v>36</v>
      </c>
      <c r="K415">
        <v>21006</v>
      </c>
      <c r="L415" t="s">
        <v>623</v>
      </c>
      <c r="M415" t="s">
        <v>623</v>
      </c>
      <c r="N415" t="s">
        <v>623</v>
      </c>
      <c r="O415">
        <v>21000</v>
      </c>
      <c r="P415" t="s">
        <v>46</v>
      </c>
      <c r="Q415" t="s">
        <v>47</v>
      </c>
      <c r="R415" t="s">
        <v>48</v>
      </c>
      <c r="T415" t="s">
        <v>36</v>
      </c>
      <c r="U415" t="s">
        <v>36</v>
      </c>
      <c r="V415" t="s">
        <v>36</v>
      </c>
      <c r="W415">
        <v>4000</v>
      </c>
      <c r="X415" t="s">
        <v>49</v>
      </c>
      <c r="Y415" t="s">
        <v>50</v>
      </c>
      <c r="Z415" t="s">
        <v>51</v>
      </c>
      <c r="AA415" t="s">
        <v>37</v>
      </c>
      <c r="AB415" t="s">
        <v>52</v>
      </c>
      <c r="AC415" t="s">
        <v>53</v>
      </c>
      <c r="AD415" t="s">
        <v>54</v>
      </c>
      <c r="AE415">
        <v>5.61108804788</v>
      </c>
      <c r="AF415">
        <v>1481</v>
      </c>
      <c r="AG415">
        <v>1480.9232125000001</v>
      </c>
      <c r="AH415">
        <v>56111.7877936</v>
      </c>
      <c r="AI415">
        <v>55</v>
      </c>
      <c r="AJ415">
        <v>1189.1388103291399</v>
      </c>
      <c r="AK415" s="1">
        <f>intersection_ss_Lden___surface[[#This Row],[surf m2 bout ss]]/intersection_ss_Lden___surface[[#This Row],[Shape_Area]]</f>
        <v>2.1192317284618237E-2</v>
      </c>
      <c r="AL415">
        <v>855</v>
      </c>
      <c r="AM415">
        <f>intersection_ss_Lden___surface[[#This Row],[Population totale 2024 ss]]*intersection_ss_Lden___surface[[#This Row],[Part de la surface du qs dans le noise contour]]</f>
        <v>18.119431278348593</v>
      </c>
    </row>
    <row r="416" spans="1:39" x14ac:dyDescent="0.3">
      <c r="A416">
        <v>446</v>
      </c>
      <c r="B416" t="s">
        <v>645</v>
      </c>
      <c r="C416" t="s">
        <v>646</v>
      </c>
      <c r="D416" t="s">
        <v>646</v>
      </c>
      <c r="E416" t="s">
        <v>646</v>
      </c>
      <c r="F416" t="s">
        <v>641</v>
      </c>
      <c r="G416" t="s">
        <v>621</v>
      </c>
      <c r="H416" t="s">
        <v>622</v>
      </c>
      <c r="I416" t="s">
        <v>622</v>
      </c>
      <c r="J416" t="s">
        <v>36</v>
      </c>
      <c r="K416">
        <v>21006</v>
      </c>
      <c r="L416" t="s">
        <v>623</v>
      </c>
      <c r="M416" t="s">
        <v>623</v>
      </c>
      <c r="N416" t="s">
        <v>623</v>
      </c>
      <c r="O416">
        <v>21000</v>
      </c>
      <c r="P416" t="s">
        <v>46</v>
      </c>
      <c r="Q416" t="s">
        <v>47</v>
      </c>
      <c r="R416" t="s">
        <v>48</v>
      </c>
      <c r="T416" t="s">
        <v>36</v>
      </c>
      <c r="U416" t="s">
        <v>36</v>
      </c>
      <c r="V416" t="s">
        <v>36</v>
      </c>
      <c r="W416">
        <v>4000</v>
      </c>
      <c r="X416" t="s">
        <v>49</v>
      </c>
      <c r="Y416" t="s">
        <v>50</v>
      </c>
      <c r="Z416" t="s">
        <v>51</v>
      </c>
      <c r="AA416" t="s">
        <v>37</v>
      </c>
      <c r="AB416" t="s">
        <v>52</v>
      </c>
      <c r="AC416" t="s">
        <v>53</v>
      </c>
      <c r="AD416" t="s">
        <v>54</v>
      </c>
      <c r="AE416">
        <v>5.61108804788</v>
      </c>
      <c r="AF416">
        <v>1481</v>
      </c>
      <c r="AG416">
        <v>1480.9232125000001</v>
      </c>
      <c r="AH416">
        <v>56111.7877936</v>
      </c>
      <c r="AI416">
        <v>56</v>
      </c>
      <c r="AJ416">
        <v>42732.981000625499</v>
      </c>
      <c r="AK416" s="1">
        <f>intersection_ss_Lden___surface[[#This Row],[surf m2 bout ss]]/intersection_ss_Lden___surface[[#This Row],[Shape_Area]]</f>
        <v>0.76156869493827706</v>
      </c>
      <c r="AL416">
        <v>855</v>
      </c>
      <c r="AM416">
        <f>intersection_ss_Lden___surface[[#This Row],[Population totale 2024 ss]]*intersection_ss_Lden___surface[[#This Row],[Part de la surface du qs dans le noise contour]]</f>
        <v>651.14123417222686</v>
      </c>
    </row>
    <row r="417" spans="1:39" x14ac:dyDescent="0.3">
      <c r="A417">
        <v>447</v>
      </c>
      <c r="B417" t="s">
        <v>645</v>
      </c>
      <c r="C417" t="s">
        <v>646</v>
      </c>
      <c r="D417" t="s">
        <v>646</v>
      </c>
      <c r="E417" t="s">
        <v>646</v>
      </c>
      <c r="F417" t="s">
        <v>641</v>
      </c>
      <c r="G417" t="s">
        <v>621</v>
      </c>
      <c r="H417" t="s">
        <v>622</v>
      </c>
      <c r="I417" t="s">
        <v>622</v>
      </c>
      <c r="J417" t="s">
        <v>36</v>
      </c>
      <c r="K417">
        <v>21006</v>
      </c>
      <c r="L417" t="s">
        <v>623</v>
      </c>
      <c r="M417" t="s">
        <v>623</v>
      </c>
      <c r="N417" t="s">
        <v>623</v>
      </c>
      <c r="O417">
        <v>21000</v>
      </c>
      <c r="P417" t="s">
        <v>46</v>
      </c>
      <c r="Q417" t="s">
        <v>47</v>
      </c>
      <c r="R417" t="s">
        <v>48</v>
      </c>
      <c r="T417" t="s">
        <v>36</v>
      </c>
      <c r="U417" t="s">
        <v>36</v>
      </c>
      <c r="V417" t="s">
        <v>36</v>
      </c>
      <c r="W417">
        <v>4000</v>
      </c>
      <c r="X417" t="s">
        <v>49</v>
      </c>
      <c r="Y417" t="s">
        <v>50</v>
      </c>
      <c r="Z417" t="s">
        <v>51</v>
      </c>
      <c r="AA417" t="s">
        <v>37</v>
      </c>
      <c r="AB417" t="s">
        <v>52</v>
      </c>
      <c r="AC417" t="s">
        <v>53</v>
      </c>
      <c r="AD417" t="s">
        <v>54</v>
      </c>
      <c r="AE417">
        <v>5.61108804788</v>
      </c>
      <c r="AF417">
        <v>1481</v>
      </c>
      <c r="AG417">
        <v>1480.9232125000001</v>
      </c>
      <c r="AH417">
        <v>56111.7877936</v>
      </c>
      <c r="AI417">
        <v>57</v>
      </c>
      <c r="AJ417">
        <v>12194.869720201101</v>
      </c>
      <c r="AK417" s="1">
        <f>intersection_ss_Lden___surface[[#This Row],[surf m2 bout ss]]/intersection_ss_Lden___surface[[#This Row],[Shape_Area]]</f>
        <v>0.21733169089280066</v>
      </c>
      <c r="AL417">
        <v>855</v>
      </c>
      <c r="AM417">
        <f>intersection_ss_Lden___surface[[#This Row],[Population totale 2024 ss]]*intersection_ss_Lden___surface[[#This Row],[Part de la surface du qs dans le noise contour]]</f>
        <v>185.81859571334456</v>
      </c>
    </row>
    <row r="418" spans="1:39" x14ac:dyDescent="0.3">
      <c r="A418">
        <v>448</v>
      </c>
      <c r="B418" t="s">
        <v>647</v>
      </c>
      <c r="C418" t="s">
        <v>648</v>
      </c>
      <c r="D418" t="s">
        <v>649</v>
      </c>
      <c r="E418" t="s">
        <v>649</v>
      </c>
      <c r="F418" t="s">
        <v>641</v>
      </c>
      <c r="G418" t="s">
        <v>621</v>
      </c>
      <c r="H418" t="s">
        <v>622</v>
      </c>
      <c r="I418" t="s">
        <v>622</v>
      </c>
      <c r="J418" t="s">
        <v>36</v>
      </c>
      <c r="K418">
        <v>21006</v>
      </c>
      <c r="L418" t="s">
        <v>623</v>
      </c>
      <c r="M418" t="s">
        <v>623</v>
      </c>
      <c r="N418" t="s">
        <v>623</v>
      </c>
      <c r="O418">
        <v>21000</v>
      </c>
      <c r="P418" t="s">
        <v>46</v>
      </c>
      <c r="Q418" t="s">
        <v>47</v>
      </c>
      <c r="R418" t="s">
        <v>48</v>
      </c>
      <c r="T418" t="s">
        <v>36</v>
      </c>
      <c r="U418" t="s">
        <v>36</v>
      </c>
      <c r="V418" t="s">
        <v>36</v>
      </c>
      <c r="W418">
        <v>4000</v>
      </c>
      <c r="X418" t="s">
        <v>49</v>
      </c>
      <c r="Y418" t="s">
        <v>50</v>
      </c>
      <c r="Z418" t="s">
        <v>51</v>
      </c>
      <c r="AA418" t="s">
        <v>37</v>
      </c>
      <c r="AB418" t="s">
        <v>52</v>
      </c>
      <c r="AC418" t="s">
        <v>53</v>
      </c>
      <c r="AD418" t="s">
        <v>54</v>
      </c>
      <c r="AE418">
        <v>9.6873546263900003</v>
      </c>
      <c r="AF418">
        <v>1699</v>
      </c>
      <c r="AG418">
        <v>1698.9657995299999</v>
      </c>
      <c r="AH418">
        <v>96875.102188200006</v>
      </c>
      <c r="AI418">
        <v>55</v>
      </c>
      <c r="AJ418">
        <v>13066.0528222993</v>
      </c>
      <c r="AK418" s="1">
        <f>intersection_ss_Lden___surface[[#This Row],[surf m2 bout ss]]/intersection_ss_Lden___surface[[#This Row],[Shape_Area]]</f>
        <v>0.13487524169952128</v>
      </c>
      <c r="AL418">
        <v>1664</v>
      </c>
      <c r="AM418">
        <f>intersection_ss_Lden___surface[[#This Row],[Population totale 2024 ss]]*intersection_ss_Lden___surface[[#This Row],[Part de la surface du qs dans le noise contour]]</f>
        <v>224.43240218800341</v>
      </c>
    </row>
    <row r="419" spans="1:39" x14ac:dyDescent="0.3">
      <c r="A419">
        <v>449</v>
      </c>
      <c r="B419" t="s">
        <v>647</v>
      </c>
      <c r="C419" t="s">
        <v>648</v>
      </c>
      <c r="D419" t="s">
        <v>649</v>
      </c>
      <c r="E419" t="s">
        <v>649</v>
      </c>
      <c r="F419" t="s">
        <v>641</v>
      </c>
      <c r="G419" t="s">
        <v>621</v>
      </c>
      <c r="H419" t="s">
        <v>622</v>
      </c>
      <c r="I419" t="s">
        <v>622</v>
      </c>
      <c r="J419" t="s">
        <v>36</v>
      </c>
      <c r="K419">
        <v>21006</v>
      </c>
      <c r="L419" t="s">
        <v>623</v>
      </c>
      <c r="M419" t="s">
        <v>623</v>
      </c>
      <c r="N419" t="s">
        <v>623</v>
      </c>
      <c r="O419">
        <v>21000</v>
      </c>
      <c r="P419" t="s">
        <v>46</v>
      </c>
      <c r="Q419" t="s">
        <v>47</v>
      </c>
      <c r="R419" t="s">
        <v>48</v>
      </c>
      <c r="T419" t="s">
        <v>36</v>
      </c>
      <c r="U419" t="s">
        <v>36</v>
      </c>
      <c r="V419" t="s">
        <v>36</v>
      </c>
      <c r="W419">
        <v>4000</v>
      </c>
      <c r="X419" t="s">
        <v>49</v>
      </c>
      <c r="Y419" t="s">
        <v>50</v>
      </c>
      <c r="Z419" t="s">
        <v>51</v>
      </c>
      <c r="AA419" t="s">
        <v>37</v>
      </c>
      <c r="AB419" t="s">
        <v>52</v>
      </c>
      <c r="AC419" t="s">
        <v>53</v>
      </c>
      <c r="AD419" t="s">
        <v>54</v>
      </c>
      <c r="AE419">
        <v>9.6873546263900003</v>
      </c>
      <c r="AF419">
        <v>1699</v>
      </c>
      <c r="AG419">
        <v>1698.9657995299999</v>
      </c>
      <c r="AH419">
        <v>96875.102188200006</v>
      </c>
      <c r="AI419">
        <v>56</v>
      </c>
      <c r="AJ419">
        <v>78026.7700852118</v>
      </c>
      <c r="AK419" s="1">
        <f>intersection_ss_Lden___surface[[#This Row],[surf m2 bout ss]]/intersection_ss_Lden___surface[[#This Row],[Shape_Area]]</f>
        <v>0.80543677707434669</v>
      </c>
      <c r="AL419">
        <v>1664</v>
      </c>
      <c r="AM419">
        <f>intersection_ss_Lden___surface[[#This Row],[Population totale 2024 ss]]*intersection_ss_Lden___surface[[#This Row],[Part de la surface du qs dans le noise contour]]</f>
        <v>1340.246797051713</v>
      </c>
    </row>
    <row r="420" spans="1:39" x14ac:dyDescent="0.3">
      <c r="A420">
        <v>450</v>
      </c>
      <c r="B420" t="s">
        <v>647</v>
      </c>
      <c r="C420" t="s">
        <v>648</v>
      </c>
      <c r="D420" t="s">
        <v>649</v>
      </c>
      <c r="E420" t="s">
        <v>649</v>
      </c>
      <c r="F420" t="s">
        <v>641</v>
      </c>
      <c r="G420" t="s">
        <v>621</v>
      </c>
      <c r="H420" t="s">
        <v>622</v>
      </c>
      <c r="I420" t="s">
        <v>622</v>
      </c>
      <c r="J420" t="s">
        <v>36</v>
      </c>
      <c r="K420">
        <v>21006</v>
      </c>
      <c r="L420" t="s">
        <v>623</v>
      </c>
      <c r="M420" t="s">
        <v>623</v>
      </c>
      <c r="N420" t="s">
        <v>623</v>
      </c>
      <c r="O420">
        <v>21000</v>
      </c>
      <c r="P420" t="s">
        <v>46</v>
      </c>
      <c r="Q420" t="s">
        <v>47</v>
      </c>
      <c r="R420" t="s">
        <v>48</v>
      </c>
      <c r="T420" t="s">
        <v>36</v>
      </c>
      <c r="U420" t="s">
        <v>36</v>
      </c>
      <c r="V420" t="s">
        <v>36</v>
      </c>
      <c r="W420">
        <v>4000</v>
      </c>
      <c r="X420" t="s">
        <v>49</v>
      </c>
      <c r="Y420" t="s">
        <v>50</v>
      </c>
      <c r="Z420" t="s">
        <v>51</v>
      </c>
      <c r="AA420" t="s">
        <v>37</v>
      </c>
      <c r="AB420" t="s">
        <v>52</v>
      </c>
      <c r="AC420" t="s">
        <v>53</v>
      </c>
      <c r="AD420" t="s">
        <v>54</v>
      </c>
      <c r="AE420">
        <v>9.6873546263900003</v>
      </c>
      <c r="AF420">
        <v>1699</v>
      </c>
      <c r="AG420">
        <v>1698.9657995299999</v>
      </c>
      <c r="AH420">
        <v>96875.102188200006</v>
      </c>
      <c r="AI420">
        <v>57</v>
      </c>
      <c r="AJ420">
        <v>5791.2382782008499</v>
      </c>
      <c r="AK420" s="1">
        <f>intersection_ss_Lden___surface[[#This Row],[surf m2 bout ss]]/intersection_ss_Lden___surface[[#This Row],[Shape_Area]]</f>
        <v>5.9780461102896872E-2</v>
      </c>
      <c r="AL420">
        <v>1664</v>
      </c>
      <c r="AM420">
        <f>intersection_ss_Lden___surface[[#This Row],[Population totale 2024 ss]]*intersection_ss_Lden___surface[[#This Row],[Part de la surface du qs dans le noise contour]]</f>
        <v>99.47468727522039</v>
      </c>
    </row>
    <row r="421" spans="1:39" x14ac:dyDescent="0.3">
      <c r="A421">
        <v>451</v>
      </c>
      <c r="B421" t="s">
        <v>650</v>
      </c>
      <c r="C421" t="s">
        <v>651</v>
      </c>
      <c r="D421" t="s">
        <v>652</v>
      </c>
      <c r="E421" t="s">
        <v>652</v>
      </c>
      <c r="F421" t="s">
        <v>641</v>
      </c>
      <c r="G421" t="s">
        <v>621</v>
      </c>
      <c r="H421" t="s">
        <v>622</v>
      </c>
      <c r="I421" t="s">
        <v>622</v>
      </c>
      <c r="J421" t="s">
        <v>36</v>
      </c>
      <c r="K421">
        <v>21006</v>
      </c>
      <c r="L421" t="s">
        <v>623</v>
      </c>
      <c r="M421" t="s">
        <v>623</v>
      </c>
      <c r="N421" t="s">
        <v>623</v>
      </c>
      <c r="O421">
        <v>21000</v>
      </c>
      <c r="P421" t="s">
        <v>46</v>
      </c>
      <c r="Q421" t="s">
        <v>47</v>
      </c>
      <c r="R421" t="s">
        <v>48</v>
      </c>
      <c r="T421" t="s">
        <v>36</v>
      </c>
      <c r="U421" t="s">
        <v>36</v>
      </c>
      <c r="V421" t="s">
        <v>36</v>
      </c>
      <c r="W421">
        <v>4000</v>
      </c>
      <c r="X421" t="s">
        <v>49</v>
      </c>
      <c r="Y421" t="s">
        <v>50</v>
      </c>
      <c r="Z421" t="s">
        <v>51</v>
      </c>
      <c r="AA421" t="s">
        <v>37</v>
      </c>
      <c r="AB421" t="s">
        <v>52</v>
      </c>
      <c r="AC421" t="s">
        <v>53</v>
      </c>
      <c r="AD421" t="s">
        <v>54</v>
      </c>
      <c r="AE421">
        <v>5.8463512190699998</v>
      </c>
      <c r="AF421">
        <v>1112</v>
      </c>
      <c r="AG421">
        <v>1111.9191398800001</v>
      </c>
      <c r="AH421">
        <v>58464.452410899998</v>
      </c>
      <c r="AI421">
        <v>53</v>
      </c>
      <c r="AJ421">
        <v>741.26701795868598</v>
      </c>
      <c r="AK421" s="1">
        <f>intersection_ss_Lden___surface[[#This Row],[surf m2 bout ss]]/intersection_ss_Lden___surface[[#This Row],[Shape_Area]]</f>
        <v>1.2678935445232796E-2</v>
      </c>
      <c r="AL421">
        <v>1286</v>
      </c>
      <c r="AM421">
        <f>intersection_ss_Lden___surface[[#This Row],[Population totale 2024 ss]]*intersection_ss_Lden___surface[[#This Row],[Part de la surface du qs dans le noise contour]]</f>
        <v>16.305110982569374</v>
      </c>
    </row>
    <row r="422" spans="1:39" x14ac:dyDescent="0.3">
      <c r="A422">
        <v>452</v>
      </c>
      <c r="B422" t="s">
        <v>650</v>
      </c>
      <c r="C422" t="s">
        <v>651</v>
      </c>
      <c r="D422" t="s">
        <v>652</v>
      </c>
      <c r="E422" t="s">
        <v>652</v>
      </c>
      <c r="F422" t="s">
        <v>641</v>
      </c>
      <c r="G422" t="s">
        <v>621</v>
      </c>
      <c r="H422" t="s">
        <v>622</v>
      </c>
      <c r="I422" t="s">
        <v>622</v>
      </c>
      <c r="J422" t="s">
        <v>36</v>
      </c>
      <c r="K422">
        <v>21006</v>
      </c>
      <c r="L422" t="s">
        <v>623</v>
      </c>
      <c r="M422" t="s">
        <v>623</v>
      </c>
      <c r="N422" t="s">
        <v>623</v>
      </c>
      <c r="O422">
        <v>21000</v>
      </c>
      <c r="P422" t="s">
        <v>46</v>
      </c>
      <c r="Q422" t="s">
        <v>47</v>
      </c>
      <c r="R422" t="s">
        <v>48</v>
      </c>
      <c r="T422" t="s">
        <v>36</v>
      </c>
      <c r="U422" t="s">
        <v>36</v>
      </c>
      <c r="V422" t="s">
        <v>36</v>
      </c>
      <c r="W422">
        <v>4000</v>
      </c>
      <c r="X422" t="s">
        <v>49</v>
      </c>
      <c r="Y422" t="s">
        <v>50</v>
      </c>
      <c r="Z422" t="s">
        <v>51</v>
      </c>
      <c r="AA422" t="s">
        <v>37</v>
      </c>
      <c r="AB422" t="s">
        <v>52</v>
      </c>
      <c r="AC422" t="s">
        <v>53</v>
      </c>
      <c r="AD422" t="s">
        <v>54</v>
      </c>
      <c r="AE422">
        <v>5.8463512190699998</v>
      </c>
      <c r="AF422">
        <v>1112</v>
      </c>
      <c r="AG422">
        <v>1111.9191398800001</v>
      </c>
      <c r="AH422">
        <v>58464.452410899998</v>
      </c>
      <c r="AI422">
        <v>54</v>
      </c>
      <c r="AJ422">
        <v>54227.712481629598</v>
      </c>
      <c r="AK422" s="1">
        <f>intersection_ss_Lden___surface[[#This Row],[surf m2 bout ss]]/intersection_ss_Lden___surface[[#This Row],[Shape_Area]]</f>
        <v>0.92753306061102336</v>
      </c>
      <c r="AL422">
        <v>1286</v>
      </c>
      <c r="AM422">
        <f>intersection_ss_Lden___surface[[#This Row],[Population totale 2024 ss]]*intersection_ss_Lden___surface[[#This Row],[Part de la surface du qs dans le noise contour]]</f>
        <v>1192.807515945776</v>
      </c>
    </row>
    <row r="423" spans="1:39" x14ac:dyDescent="0.3">
      <c r="A423">
        <v>453</v>
      </c>
      <c r="B423" t="s">
        <v>650</v>
      </c>
      <c r="C423" t="s">
        <v>651</v>
      </c>
      <c r="D423" t="s">
        <v>652</v>
      </c>
      <c r="E423" t="s">
        <v>652</v>
      </c>
      <c r="F423" t="s">
        <v>641</v>
      </c>
      <c r="G423" t="s">
        <v>621</v>
      </c>
      <c r="H423" t="s">
        <v>622</v>
      </c>
      <c r="I423" t="s">
        <v>622</v>
      </c>
      <c r="J423" t="s">
        <v>36</v>
      </c>
      <c r="K423">
        <v>21006</v>
      </c>
      <c r="L423" t="s">
        <v>623</v>
      </c>
      <c r="M423" t="s">
        <v>623</v>
      </c>
      <c r="N423" t="s">
        <v>623</v>
      </c>
      <c r="O423">
        <v>21000</v>
      </c>
      <c r="P423" t="s">
        <v>46</v>
      </c>
      <c r="Q423" t="s">
        <v>47</v>
      </c>
      <c r="R423" t="s">
        <v>48</v>
      </c>
      <c r="T423" t="s">
        <v>36</v>
      </c>
      <c r="U423" t="s">
        <v>36</v>
      </c>
      <c r="V423" t="s">
        <v>36</v>
      </c>
      <c r="W423">
        <v>4000</v>
      </c>
      <c r="X423" t="s">
        <v>49</v>
      </c>
      <c r="Y423" t="s">
        <v>50</v>
      </c>
      <c r="Z423" t="s">
        <v>51</v>
      </c>
      <c r="AA423" t="s">
        <v>37</v>
      </c>
      <c r="AB423" t="s">
        <v>52</v>
      </c>
      <c r="AC423" t="s">
        <v>53</v>
      </c>
      <c r="AD423" t="s">
        <v>54</v>
      </c>
      <c r="AE423">
        <v>5.8463512190699998</v>
      </c>
      <c r="AF423">
        <v>1112</v>
      </c>
      <c r="AG423">
        <v>1111.9191398800001</v>
      </c>
      <c r="AH423">
        <v>58464.452410899998</v>
      </c>
      <c r="AI423">
        <v>55</v>
      </c>
      <c r="AJ423">
        <v>3500.9201079476202</v>
      </c>
      <c r="AK423" s="1">
        <f>intersection_ss_Lden___surface[[#This Row],[surf m2 bout ss]]/intersection_ss_Lden___surface[[#This Row],[Shape_Area]]</f>
        <v>5.9881175031666171E-2</v>
      </c>
      <c r="AL423">
        <v>1286</v>
      </c>
      <c r="AM423">
        <f>intersection_ss_Lden___surface[[#This Row],[Population totale 2024 ss]]*intersection_ss_Lden___surface[[#This Row],[Part de la surface du qs dans le noise contour]]</f>
        <v>77.007191090722699</v>
      </c>
    </row>
    <row r="424" spans="1:39" x14ac:dyDescent="0.3">
      <c r="A424">
        <v>454</v>
      </c>
      <c r="B424" t="s">
        <v>653</v>
      </c>
      <c r="C424" t="s">
        <v>654</v>
      </c>
      <c r="D424" t="s">
        <v>654</v>
      </c>
      <c r="E424" t="s">
        <v>654</v>
      </c>
      <c r="F424" t="s">
        <v>641</v>
      </c>
      <c r="G424" t="s">
        <v>621</v>
      </c>
      <c r="H424" t="s">
        <v>622</v>
      </c>
      <c r="I424" t="s">
        <v>622</v>
      </c>
      <c r="J424" t="s">
        <v>36</v>
      </c>
      <c r="K424">
        <v>21006</v>
      </c>
      <c r="L424" t="s">
        <v>623</v>
      </c>
      <c r="M424" t="s">
        <v>623</v>
      </c>
      <c r="N424" t="s">
        <v>623</v>
      </c>
      <c r="O424">
        <v>21000</v>
      </c>
      <c r="P424" t="s">
        <v>46</v>
      </c>
      <c r="Q424" t="s">
        <v>47</v>
      </c>
      <c r="R424" t="s">
        <v>48</v>
      </c>
      <c r="T424" t="s">
        <v>36</v>
      </c>
      <c r="U424" t="s">
        <v>36</v>
      </c>
      <c r="V424" t="s">
        <v>36</v>
      </c>
      <c r="W424">
        <v>4000</v>
      </c>
      <c r="X424" t="s">
        <v>49</v>
      </c>
      <c r="Y424" t="s">
        <v>50</v>
      </c>
      <c r="Z424" t="s">
        <v>51</v>
      </c>
      <c r="AA424" t="s">
        <v>37</v>
      </c>
      <c r="AB424" t="s">
        <v>52</v>
      </c>
      <c r="AC424" t="s">
        <v>53</v>
      </c>
      <c r="AD424" t="s">
        <v>54</v>
      </c>
      <c r="AE424">
        <v>9.4578811730699996</v>
      </c>
      <c r="AF424">
        <v>1535</v>
      </c>
      <c r="AG424">
        <v>1534.62633203</v>
      </c>
      <c r="AH424">
        <v>94580.336394099999</v>
      </c>
      <c r="AI424">
        <v>52</v>
      </c>
      <c r="AJ424">
        <v>2272.4134218106001</v>
      </c>
      <c r="AK424" s="1">
        <f>intersection_ss_Lden___surface[[#This Row],[surf m2 bout ss]]/intersection_ss_Lden___surface[[#This Row],[Shape_Area]]</f>
        <v>2.4026277643397716E-2</v>
      </c>
      <c r="AL424">
        <v>1303</v>
      </c>
      <c r="AM424">
        <f>intersection_ss_Lden___surface[[#This Row],[Population totale 2024 ss]]*intersection_ss_Lden___surface[[#This Row],[Part de la surface du qs dans le noise contour]]</f>
        <v>31.306239769347222</v>
      </c>
    </row>
    <row r="425" spans="1:39" x14ac:dyDescent="0.3">
      <c r="A425">
        <v>455</v>
      </c>
      <c r="B425" t="s">
        <v>653</v>
      </c>
      <c r="C425" t="s">
        <v>654</v>
      </c>
      <c r="D425" t="s">
        <v>654</v>
      </c>
      <c r="E425" t="s">
        <v>654</v>
      </c>
      <c r="F425" t="s">
        <v>641</v>
      </c>
      <c r="G425" t="s">
        <v>621</v>
      </c>
      <c r="H425" t="s">
        <v>622</v>
      </c>
      <c r="I425" t="s">
        <v>622</v>
      </c>
      <c r="J425" t="s">
        <v>36</v>
      </c>
      <c r="K425">
        <v>21006</v>
      </c>
      <c r="L425" t="s">
        <v>623</v>
      </c>
      <c r="M425" t="s">
        <v>623</v>
      </c>
      <c r="N425" t="s">
        <v>623</v>
      </c>
      <c r="O425">
        <v>21000</v>
      </c>
      <c r="P425" t="s">
        <v>46</v>
      </c>
      <c r="Q425" t="s">
        <v>47</v>
      </c>
      <c r="R425" t="s">
        <v>48</v>
      </c>
      <c r="T425" t="s">
        <v>36</v>
      </c>
      <c r="U425" t="s">
        <v>36</v>
      </c>
      <c r="V425" t="s">
        <v>36</v>
      </c>
      <c r="W425">
        <v>4000</v>
      </c>
      <c r="X425" t="s">
        <v>49</v>
      </c>
      <c r="Y425" t="s">
        <v>50</v>
      </c>
      <c r="Z425" t="s">
        <v>51</v>
      </c>
      <c r="AA425" t="s">
        <v>37</v>
      </c>
      <c r="AB425" t="s">
        <v>52</v>
      </c>
      <c r="AC425" t="s">
        <v>53</v>
      </c>
      <c r="AD425" t="s">
        <v>54</v>
      </c>
      <c r="AE425">
        <v>9.4578811730699996</v>
      </c>
      <c r="AF425">
        <v>1535</v>
      </c>
      <c r="AG425">
        <v>1534.62633203</v>
      </c>
      <c r="AH425">
        <v>94580.336394099999</v>
      </c>
      <c r="AI425">
        <v>53</v>
      </c>
      <c r="AJ425">
        <v>78195.074385035798</v>
      </c>
      <c r="AK425" s="1">
        <f>intersection_ss_Lden___surface[[#This Row],[surf m2 bout ss]]/intersection_ss_Lden___surface[[#This Row],[Shape_Area]]</f>
        <v>0.82675826039791578</v>
      </c>
      <c r="AL425">
        <v>1303</v>
      </c>
      <c r="AM425">
        <f>intersection_ss_Lden___surface[[#This Row],[Population totale 2024 ss]]*intersection_ss_Lden___surface[[#This Row],[Part de la surface du qs dans le noise contour]]</f>
        <v>1077.2660132984843</v>
      </c>
    </row>
    <row r="426" spans="1:39" x14ac:dyDescent="0.3">
      <c r="A426">
        <v>456</v>
      </c>
      <c r="B426" t="s">
        <v>653</v>
      </c>
      <c r="C426" t="s">
        <v>654</v>
      </c>
      <c r="D426" t="s">
        <v>654</v>
      </c>
      <c r="E426" t="s">
        <v>654</v>
      </c>
      <c r="F426" t="s">
        <v>641</v>
      </c>
      <c r="G426" t="s">
        <v>621</v>
      </c>
      <c r="H426" t="s">
        <v>622</v>
      </c>
      <c r="I426" t="s">
        <v>622</v>
      </c>
      <c r="J426" t="s">
        <v>36</v>
      </c>
      <c r="K426">
        <v>21006</v>
      </c>
      <c r="L426" t="s">
        <v>623</v>
      </c>
      <c r="M426" t="s">
        <v>623</v>
      </c>
      <c r="N426" t="s">
        <v>623</v>
      </c>
      <c r="O426">
        <v>21000</v>
      </c>
      <c r="P426" t="s">
        <v>46</v>
      </c>
      <c r="Q426" t="s">
        <v>47</v>
      </c>
      <c r="R426" t="s">
        <v>48</v>
      </c>
      <c r="T426" t="s">
        <v>36</v>
      </c>
      <c r="U426" t="s">
        <v>36</v>
      </c>
      <c r="V426" t="s">
        <v>36</v>
      </c>
      <c r="W426">
        <v>4000</v>
      </c>
      <c r="X426" t="s">
        <v>49</v>
      </c>
      <c r="Y426" t="s">
        <v>50</v>
      </c>
      <c r="Z426" t="s">
        <v>51</v>
      </c>
      <c r="AA426" t="s">
        <v>37</v>
      </c>
      <c r="AB426" t="s">
        <v>52</v>
      </c>
      <c r="AC426" t="s">
        <v>53</v>
      </c>
      <c r="AD426" t="s">
        <v>54</v>
      </c>
      <c r="AE426">
        <v>9.4578811730699996</v>
      </c>
      <c r="AF426">
        <v>1535</v>
      </c>
      <c r="AG426">
        <v>1534.62633203</v>
      </c>
      <c r="AH426">
        <v>94580.336394099999</v>
      </c>
      <c r="AI426">
        <v>54</v>
      </c>
      <c r="AJ426">
        <v>14121.744087041399</v>
      </c>
      <c r="AK426" s="1">
        <f>intersection_ss_Lden___surface[[#This Row],[surf m2 bout ss]]/intersection_ss_Lden___surface[[#This Row],[Shape_Area]]</f>
        <v>0.14930951427576361</v>
      </c>
      <c r="AL426">
        <v>1303</v>
      </c>
      <c r="AM426">
        <f>intersection_ss_Lden___surface[[#This Row],[Population totale 2024 ss]]*intersection_ss_Lden___surface[[#This Row],[Part de la surface du qs dans le noise contour]]</f>
        <v>194.55029710131998</v>
      </c>
    </row>
    <row r="427" spans="1:39" x14ac:dyDescent="0.3">
      <c r="A427">
        <v>457</v>
      </c>
      <c r="B427" t="s">
        <v>655</v>
      </c>
      <c r="C427" t="s">
        <v>656</v>
      </c>
      <c r="D427" t="s">
        <v>657</v>
      </c>
      <c r="E427" t="s">
        <v>657</v>
      </c>
      <c r="F427" t="s">
        <v>641</v>
      </c>
      <c r="G427" t="s">
        <v>621</v>
      </c>
      <c r="H427" t="s">
        <v>622</v>
      </c>
      <c r="I427" t="s">
        <v>622</v>
      </c>
      <c r="J427" t="s">
        <v>36</v>
      </c>
      <c r="K427">
        <v>21006</v>
      </c>
      <c r="L427" t="s">
        <v>623</v>
      </c>
      <c r="M427" t="s">
        <v>623</v>
      </c>
      <c r="N427" t="s">
        <v>623</v>
      </c>
      <c r="O427">
        <v>21000</v>
      </c>
      <c r="P427" t="s">
        <v>46</v>
      </c>
      <c r="Q427" t="s">
        <v>47</v>
      </c>
      <c r="R427" t="s">
        <v>48</v>
      </c>
      <c r="T427" t="s">
        <v>36</v>
      </c>
      <c r="U427" t="s">
        <v>36</v>
      </c>
      <c r="V427" t="s">
        <v>36</v>
      </c>
      <c r="W427">
        <v>4000</v>
      </c>
      <c r="X427" t="s">
        <v>49</v>
      </c>
      <c r="Y427" t="s">
        <v>50</v>
      </c>
      <c r="Z427" t="s">
        <v>51</v>
      </c>
      <c r="AA427" t="s">
        <v>37</v>
      </c>
      <c r="AB427" t="s">
        <v>52</v>
      </c>
      <c r="AC427" t="s">
        <v>53</v>
      </c>
      <c r="AD427" t="s">
        <v>54</v>
      </c>
      <c r="AE427">
        <v>45.529890733599998</v>
      </c>
      <c r="AF427">
        <v>4618</v>
      </c>
      <c r="AG427">
        <v>4617.6206915599996</v>
      </c>
      <c r="AH427">
        <v>455306.265526</v>
      </c>
      <c r="AI427">
        <v>52</v>
      </c>
      <c r="AJ427">
        <v>17510.595523849599</v>
      </c>
      <c r="AK427" s="1">
        <f>intersection_ss_Lden___surface[[#This Row],[surf m2 bout ss]]/intersection_ss_Lden___surface[[#This Row],[Shape_Area]]</f>
        <v>3.8458938191022252E-2</v>
      </c>
      <c r="AL427">
        <v>1099</v>
      </c>
      <c r="AM427">
        <f>intersection_ss_Lden___surface[[#This Row],[Population totale 2024 ss]]*intersection_ss_Lden___surface[[#This Row],[Part de la surface du qs dans le noise contour]]</f>
        <v>42.266373071933458</v>
      </c>
    </row>
    <row r="428" spans="1:39" x14ac:dyDescent="0.3">
      <c r="A428">
        <v>458</v>
      </c>
      <c r="B428" t="s">
        <v>655</v>
      </c>
      <c r="C428" t="s">
        <v>656</v>
      </c>
      <c r="D428" t="s">
        <v>657</v>
      </c>
      <c r="E428" t="s">
        <v>657</v>
      </c>
      <c r="F428" t="s">
        <v>641</v>
      </c>
      <c r="G428" t="s">
        <v>621</v>
      </c>
      <c r="H428" t="s">
        <v>622</v>
      </c>
      <c r="I428" t="s">
        <v>622</v>
      </c>
      <c r="J428" t="s">
        <v>36</v>
      </c>
      <c r="K428">
        <v>21006</v>
      </c>
      <c r="L428" t="s">
        <v>623</v>
      </c>
      <c r="M428" t="s">
        <v>623</v>
      </c>
      <c r="N428" t="s">
        <v>623</v>
      </c>
      <c r="O428">
        <v>21000</v>
      </c>
      <c r="P428" t="s">
        <v>46</v>
      </c>
      <c r="Q428" t="s">
        <v>47</v>
      </c>
      <c r="R428" t="s">
        <v>48</v>
      </c>
      <c r="T428" t="s">
        <v>36</v>
      </c>
      <c r="U428" t="s">
        <v>36</v>
      </c>
      <c r="V428" t="s">
        <v>36</v>
      </c>
      <c r="W428">
        <v>4000</v>
      </c>
      <c r="X428" t="s">
        <v>49</v>
      </c>
      <c r="Y428" t="s">
        <v>50</v>
      </c>
      <c r="Z428" t="s">
        <v>51</v>
      </c>
      <c r="AA428" t="s">
        <v>37</v>
      </c>
      <c r="AB428" t="s">
        <v>52</v>
      </c>
      <c r="AC428" t="s">
        <v>53</v>
      </c>
      <c r="AD428" t="s">
        <v>54</v>
      </c>
      <c r="AE428">
        <v>45.529890733599998</v>
      </c>
      <c r="AF428">
        <v>4618</v>
      </c>
      <c r="AG428">
        <v>4617.6206915599996</v>
      </c>
      <c r="AH428">
        <v>455306.265526</v>
      </c>
      <c r="AI428">
        <v>53</v>
      </c>
      <c r="AJ428">
        <v>32218.897307892501</v>
      </c>
      <c r="AK428" s="1">
        <f>intersection_ss_Lden___surface[[#This Row],[surf m2 bout ss]]/intersection_ss_Lden___surface[[#This Row],[Shape_Area]]</f>
        <v>7.0763131868328444E-2</v>
      </c>
      <c r="AL428">
        <v>1099</v>
      </c>
      <c r="AM428">
        <f>intersection_ss_Lden___surface[[#This Row],[Population totale 2024 ss]]*intersection_ss_Lden___surface[[#This Row],[Part de la surface du qs dans le noise contour]]</f>
        <v>77.768681923292959</v>
      </c>
    </row>
    <row r="429" spans="1:39" x14ac:dyDescent="0.3">
      <c r="A429">
        <v>459</v>
      </c>
      <c r="B429" t="s">
        <v>655</v>
      </c>
      <c r="C429" t="s">
        <v>656</v>
      </c>
      <c r="D429" t="s">
        <v>657</v>
      </c>
      <c r="E429" t="s">
        <v>657</v>
      </c>
      <c r="F429" t="s">
        <v>641</v>
      </c>
      <c r="G429" t="s">
        <v>621</v>
      </c>
      <c r="H429" t="s">
        <v>622</v>
      </c>
      <c r="I429" t="s">
        <v>622</v>
      </c>
      <c r="J429" t="s">
        <v>36</v>
      </c>
      <c r="K429">
        <v>21006</v>
      </c>
      <c r="L429" t="s">
        <v>623</v>
      </c>
      <c r="M429" t="s">
        <v>623</v>
      </c>
      <c r="N429" t="s">
        <v>623</v>
      </c>
      <c r="O429">
        <v>21000</v>
      </c>
      <c r="P429" t="s">
        <v>46</v>
      </c>
      <c r="Q429" t="s">
        <v>47</v>
      </c>
      <c r="R429" t="s">
        <v>48</v>
      </c>
      <c r="T429" t="s">
        <v>36</v>
      </c>
      <c r="U429" t="s">
        <v>36</v>
      </c>
      <c r="V429" t="s">
        <v>36</v>
      </c>
      <c r="W429">
        <v>4000</v>
      </c>
      <c r="X429" t="s">
        <v>49</v>
      </c>
      <c r="Y429" t="s">
        <v>50</v>
      </c>
      <c r="Z429" t="s">
        <v>51</v>
      </c>
      <c r="AA429" t="s">
        <v>37</v>
      </c>
      <c r="AB429" t="s">
        <v>52</v>
      </c>
      <c r="AC429" t="s">
        <v>53</v>
      </c>
      <c r="AD429" t="s">
        <v>54</v>
      </c>
      <c r="AE429">
        <v>45.529890733599998</v>
      </c>
      <c r="AF429">
        <v>4618</v>
      </c>
      <c r="AG429">
        <v>4617.6206915599996</v>
      </c>
      <c r="AH429">
        <v>455306.265526</v>
      </c>
      <c r="AI429">
        <v>54</v>
      </c>
      <c r="AJ429">
        <v>151721.85510357699</v>
      </c>
      <c r="AK429" s="1">
        <f>intersection_ss_Lden___surface[[#This Row],[surf m2 bout ss]]/intersection_ss_Lden___surface[[#This Row],[Shape_Area]]</f>
        <v>0.33323032558820126</v>
      </c>
      <c r="AL429">
        <v>1099</v>
      </c>
      <c r="AM429">
        <f>intersection_ss_Lden___surface[[#This Row],[Population totale 2024 ss]]*intersection_ss_Lden___surface[[#This Row],[Part de la surface du qs dans le noise contour]]</f>
        <v>366.22012782143321</v>
      </c>
    </row>
    <row r="430" spans="1:39" x14ac:dyDescent="0.3">
      <c r="A430">
        <v>460</v>
      </c>
      <c r="B430" t="s">
        <v>655</v>
      </c>
      <c r="C430" t="s">
        <v>656</v>
      </c>
      <c r="D430" t="s">
        <v>657</v>
      </c>
      <c r="E430" t="s">
        <v>657</v>
      </c>
      <c r="F430" t="s">
        <v>641</v>
      </c>
      <c r="G430" t="s">
        <v>621</v>
      </c>
      <c r="H430" t="s">
        <v>622</v>
      </c>
      <c r="I430" t="s">
        <v>622</v>
      </c>
      <c r="J430" t="s">
        <v>36</v>
      </c>
      <c r="K430">
        <v>21006</v>
      </c>
      <c r="L430" t="s">
        <v>623</v>
      </c>
      <c r="M430" t="s">
        <v>623</v>
      </c>
      <c r="N430" t="s">
        <v>623</v>
      </c>
      <c r="O430">
        <v>21000</v>
      </c>
      <c r="P430" t="s">
        <v>46</v>
      </c>
      <c r="Q430" t="s">
        <v>47</v>
      </c>
      <c r="R430" t="s">
        <v>48</v>
      </c>
      <c r="T430" t="s">
        <v>36</v>
      </c>
      <c r="U430" t="s">
        <v>36</v>
      </c>
      <c r="V430" t="s">
        <v>36</v>
      </c>
      <c r="W430">
        <v>4000</v>
      </c>
      <c r="X430" t="s">
        <v>49</v>
      </c>
      <c r="Y430" t="s">
        <v>50</v>
      </c>
      <c r="Z430" t="s">
        <v>51</v>
      </c>
      <c r="AA430" t="s">
        <v>37</v>
      </c>
      <c r="AB430" t="s">
        <v>52</v>
      </c>
      <c r="AC430" t="s">
        <v>53</v>
      </c>
      <c r="AD430" t="s">
        <v>54</v>
      </c>
      <c r="AE430">
        <v>45.529890733599998</v>
      </c>
      <c r="AF430">
        <v>4618</v>
      </c>
      <c r="AG430">
        <v>4617.6206915599996</v>
      </c>
      <c r="AH430">
        <v>455306.265526</v>
      </c>
      <c r="AI430">
        <v>55</v>
      </c>
      <c r="AJ430">
        <v>182345.71561980399</v>
      </c>
      <c r="AK430" s="1">
        <f>intersection_ss_Lden___surface[[#This Row],[surf m2 bout ss]]/intersection_ss_Lden___surface[[#This Row],[Shape_Area]]</f>
        <v>0.40049024014450169</v>
      </c>
      <c r="AL430">
        <v>1099</v>
      </c>
      <c r="AM430">
        <f>intersection_ss_Lden___surface[[#This Row],[Population totale 2024 ss]]*intersection_ss_Lden___surface[[#This Row],[Part de la surface du qs dans le noise contour]]</f>
        <v>440.13877391880737</v>
      </c>
    </row>
    <row r="431" spans="1:39" x14ac:dyDescent="0.3">
      <c r="A431">
        <v>461</v>
      </c>
      <c r="B431" t="s">
        <v>655</v>
      </c>
      <c r="C431" t="s">
        <v>656</v>
      </c>
      <c r="D431" t="s">
        <v>657</v>
      </c>
      <c r="E431" t="s">
        <v>657</v>
      </c>
      <c r="F431" t="s">
        <v>641</v>
      </c>
      <c r="G431" t="s">
        <v>621</v>
      </c>
      <c r="H431" t="s">
        <v>622</v>
      </c>
      <c r="I431" t="s">
        <v>622</v>
      </c>
      <c r="J431" t="s">
        <v>36</v>
      </c>
      <c r="K431">
        <v>21006</v>
      </c>
      <c r="L431" t="s">
        <v>623</v>
      </c>
      <c r="M431" t="s">
        <v>623</v>
      </c>
      <c r="N431" t="s">
        <v>623</v>
      </c>
      <c r="O431">
        <v>21000</v>
      </c>
      <c r="P431" t="s">
        <v>46</v>
      </c>
      <c r="Q431" t="s">
        <v>47</v>
      </c>
      <c r="R431" t="s">
        <v>48</v>
      </c>
      <c r="T431" t="s">
        <v>36</v>
      </c>
      <c r="U431" t="s">
        <v>36</v>
      </c>
      <c r="V431" t="s">
        <v>36</v>
      </c>
      <c r="W431">
        <v>4000</v>
      </c>
      <c r="X431" t="s">
        <v>49</v>
      </c>
      <c r="Y431" t="s">
        <v>50</v>
      </c>
      <c r="Z431" t="s">
        <v>51</v>
      </c>
      <c r="AA431" t="s">
        <v>37</v>
      </c>
      <c r="AB431" t="s">
        <v>52</v>
      </c>
      <c r="AC431" t="s">
        <v>53</v>
      </c>
      <c r="AD431" t="s">
        <v>54</v>
      </c>
      <c r="AE431">
        <v>45.529890733599998</v>
      </c>
      <c r="AF431">
        <v>4618</v>
      </c>
      <c r="AG431">
        <v>4617.6206915599996</v>
      </c>
      <c r="AH431">
        <v>455306.265526</v>
      </c>
      <c r="AI431">
        <v>56</v>
      </c>
      <c r="AJ431">
        <v>65889.599588705198</v>
      </c>
      <c r="AK431" s="1">
        <f>intersection_ss_Lden___surface[[#This Row],[surf m2 bout ss]]/intersection_ss_Lden___surface[[#This Row],[Shape_Area]]</f>
        <v>0.1447148975922507</v>
      </c>
      <c r="AL431">
        <v>1099</v>
      </c>
      <c r="AM431">
        <f>intersection_ss_Lden___surface[[#This Row],[Population totale 2024 ss]]*intersection_ss_Lden___surface[[#This Row],[Part de la surface du qs dans le noise contour]]</f>
        <v>159.04167245388354</v>
      </c>
    </row>
    <row r="432" spans="1:39" x14ac:dyDescent="0.3">
      <c r="A432">
        <v>462</v>
      </c>
      <c r="B432" t="s">
        <v>655</v>
      </c>
      <c r="C432" t="s">
        <v>656</v>
      </c>
      <c r="D432" t="s">
        <v>657</v>
      </c>
      <c r="E432" t="s">
        <v>657</v>
      </c>
      <c r="F432" t="s">
        <v>641</v>
      </c>
      <c r="G432" t="s">
        <v>621</v>
      </c>
      <c r="H432" t="s">
        <v>622</v>
      </c>
      <c r="I432" t="s">
        <v>622</v>
      </c>
      <c r="J432" t="s">
        <v>36</v>
      </c>
      <c r="K432">
        <v>21006</v>
      </c>
      <c r="L432" t="s">
        <v>623</v>
      </c>
      <c r="M432" t="s">
        <v>623</v>
      </c>
      <c r="N432" t="s">
        <v>623</v>
      </c>
      <c r="O432">
        <v>21000</v>
      </c>
      <c r="P432" t="s">
        <v>46</v>
      </c>
      <c r="Q432" t="s">
        <v>47</v>
      </c>
      <c r="R432" t="s">
        <v>48</v>
      </c>
      <c r="T432" t="s">
        <v>36</v>
      </c>
      <c r="U432" t="s">
        <v>36</v>
      </c>
      <c r="V432" t="s">
        <v>36</v>
      </c>
      <c r="W432">
        <v>4000</v>
      </c>
      <c r="X432" t="s">
        <v>49</v>
      </c>
      <c r="Y432" t="s">
        <v>50</v>
      </c>
      <c r="Z432" t="s">
        <v>51</v>
      </c>
      <c r="AA432" t="s">
        <v>37</v>
      </c>
      <c r="AB432" t="s">
        <v>52</v>
      </c>
      <c r="AC432" t="s">
        <v>53</v>
      </c>
      <c r="AD432" t="s">
        <v>54</v>
      </c>
      <c r="AE432">
        <v>45.529890733599998</v>
      </c>
      <c r="AF432">
        <v>4618</v>
      </c>
      <c r="AG432">
        <v>4617.6206915599996</v>
      </c>
      <c r="AH432">
        <v>455306.265526</v>
      </c>
      <c r="AI432">
        <v>57</v>
      </c>
      <c r="AJ432">
        <v>5662.4072129020897</v>
      </c>
      <c r="AK432" s="1">
        <f>intersection_ss_Lden___surface[[#This Row],[surf m2 bout ss]]/intersection_ss_Lden___surface[[#This Row],[Shape_Area]]</f>
        <v>1.2436479885381109E-2</v>
      </c>
      <c r="AL432">
        <v>1099</v>
      </c>
      <c r="AM432">
        <f>intersection_ss_Lden___surface[[#This Row],[Population totale 2024 ss]]*intersection_ss_Lden___surface[[#This Row],[Part de la surface du qs dans le noise contour]]</f>
        <v>13.667691394033838</v>
      </c>
    </row>
    <row r="433" spans="1:39" x14ac:dyDescent="0.3">
      <c r="A433">
        <v>463</v>
      </c>
      <c r="B433" t="s">
        <v>658</v>
      </c>
      <c r="C433" t="s">
        <v>659</v>
      </c>
      <c r="D433" t="s">
        <v>660</v>
      </c>
      <c r="E433" t="s">
        <v>660</v>
      </c>
      <c r="F433" t="s">
        <v>661</v>
      </c>
      <c r="G433" t="s">
        <v>621</v>
      </c>
      <c r="H433" t="s">
        <v>622</v>
      </c>
      <c r="I433" t="s">
        <v>622</v>
      </c>
      <c r="J433" t="s">
        <v>36</v>
      </c>
      <c r="K433">
        <v>21006</v>
      </c>
      <c r="L433" t="s">
        <v>623</v>
      </c>
      <c r="M433" t="s">
        <v>623</v>
      </c>
      <c r="N433" t="s">
        <v>623</v>
      </c>
      <c r="O433">
        <v>21000</v>
      </c>
      <c r="P433" t="s">
        <v>46</v>
      </c>
      <c r="Q433" t="s">
        <v>47</v>
      </c>
      <c r="R433" t="s">
        <v>48</v>
      </c>
      <c r="T433" t="s">
        <v>36</v>
      </c>
      <c r="U433" t="s">
        <v>36</v>
      </c>
      <c r="V433" t="s">
        <v>36</v>
      </c>
      <c r="W433">
        <v>4000</v>
      </c>
      <c r="X433" t="s">
        <v>49</v>
      </c>
      <c r="Y433" t="s">
        <v>50</v>
      </c>
      <c r="Z433" t="s">
        <v>51</v>
      </c>
      <c r="AA433" t="s">
        <v>37</v>
      </c>
      <c r="AB433" t="s">
        <v>52</v>
      </c>
      <c r="AC433" t="s">
        <v>53</v>
      </c>
      <c r="AD433" t="s">
        <v>54</v>
      </c>
      <c r="AE433">
        <v>20.8318375986</v>
      </c>
      <c r="AF433">
        <v>1854</v>
      </c>
      <c r="AG433">
        <v>1853.73846632</v>
      </c>
      <c r="AH433">
        <v>208321.732728</v>
      </c>
      <c r="AI433">
        <v>52</v>
      </c>
      <c r="AJ433">
        <v>23120.006222408101</v>
      </c>
      <c r="AK433" s="1">
        <f>intersection_ss_Lden___surface[[#This Row],[surf m2 bout ss]]/intersection_ss_Lden___surface[[#This Row],[Shape_Area]]</f>
        <v>0.11098220967946375</v>
      </c>
      <c r="AL433">
        <v>2718</v>
      </c>
      <c r="AM433">
        <f>intersection_ss_Lden___surface[[#This Row],[Population totale 2024 ss]]*intersection_ss_Lden___surface[[#This Row],[Part de la surface du qs dans le noise contour]]</f>
        <v>301.64964590878247</v>
      </c>
    </row>
    <row r="434" spans="1:39" x14ac:dyDescent="0.3">
      <c r="A434">
        <v>464</v>
      </c>
      <c r="B434" t="s">
        <v>658</v>
      </c>
      <c r="C434" t="s">
        <v>659</v>
      </c>
      <c r="D434" t="s">
        <v>660</v>
      </c>
      <c r="E434" t="s">
        <v>660</v>
      </c>
      <c r="F434" t="s">
        <v>661</v>
      </c>
      <c r="G434" t="s">
        <v>621</v>
      </c>
      <c r="H434" t="s">
        <v>622</v>
      </c>
      <c r="I434" t="s">
        <v>622</v>
      </c>
      <c r="J434" t="s">
        <v>36</v>
      </c>
      <c r="K434">
        <v>21006</v>
      </c>
      <c r="L434" t="s">
        <v>623</v>
      </c>
      <c r="M434" t="s">
        <v>623</v>
      </c>
      <c r="N434" t="s">
        <v>623</v>
      </c>
      <c r="O434">
        <v>21000</v>
      </c>
      <c r="P434" t="s">
        <v>46</v>
      </c>
      <c r="Q434" t="s">
        <v>47</v>
      </c>
      <c r="R434" t="s">
        <v>48</v>
      </c>
      <c r="T434" t="s">
        <v>36</v>
      </c>
      <c r="U434" t="s">
        <v>36</v>
      </c>
      <c r="V434" t="s">
        <v>36</v>
      </c>
      <c r="W434">
        <v>4000</v>
      </c>
      <c r="X434" t="s">
        <v>49</v>
      </c>
      <c r="Y434" t="s">
        <v>50</v>
      </c>
      <c r="Z434" t="s">
        <v>51</v>
      </c>
      <c r="AA434" t="s">
        <v>37</v>
      </c>
      <c r="AB434" t="s">
        <v>52</v>
      </c>
      <c r="AC434" t="s">
        <v>53</v>
      </c>
      <c r="AD434" t="s">
        <v>54</v>
      </c>
      <c r="AE434">
        <v>20.8318375986</v>
      </c>
      <c r="AF434">
        <v>1854</v>
      </c>
      <c r="AG434">
        <v>1853.73846632</v>
      </c>
      <c r="AH434">
        <v>208321.732728</v>
      </c>
      <c r="AI434">
        <v>53</v>
      </c>
      <c r="AJ434">
        <v>173308.706996027</v>
      </c>
      <c r="AK434" s="1">
        <f>intersection_ss_Lden___surface[[#This Row],[surf m2 bout ss]]/intersection_ss_Lden___surface[[#This Row],[Shape_Area]]</f>
        <v>0.83192811775577657</v>
      </c>
      <c r="AL434">
        <v>2718</v>
      </c>
      <c r="AM434">
        <f>intersection_ss_Lden___surface[[#This Row],[Population totale 2024 ss]]*intersection_ss_Lden___surface[[#This Row],[Part de la surface du qs dans le noise contour]]</f>
        <v>2261.1806240602009</v>
      </c>
    </row>
    <row r="435" spans="1:39" x14ac:dyDescent="0.3">
      <c r="A435">
        <v>465</v>
      </c>
      <c r="B435" t="s">
        <v>658</v>
      </c>
      <c r="C435" t="s">
        <v>659</v>
      </c>
      <c r="D435" t="s">
        <v>660</v>
      </c>
      <c r="E435" t="s">
        <v>660</v>
      </c>
      <c r="F435" t="s">
        <v>661</v>
      </c>
      <c r="G435" t="s">
        <v>621</v>
      </c>
      <c r="H435" t="s">
        <v>622</v>
      </c>
      <c r="I435" t="s">
        <v>622</v>
      </c>
      <c r="J435" t="s">
        <v>36</v>
      </c>
      <c r="K435">
        <v>21006</v>
      </c>
      <c r="L435" t="s">
        <v>623</v>
      </c>
      <c r="M435" t="s">
        <v>623</v>
      </c>
      <c r="N435" t="s">
        <v>623</v>
      </c>
      <c r="O435">
        <v>21000</v>
      </c>
      <c r="P435" t="s">
        <v>46</v>
      </c>
      <c r="Q435" t="s">
        <v>47</v>
      </c>
      <c r="R435" t="s">
        <v>48</v>
      </c>
      <c r="T435" t="s">
        <v>36</v>
      </c>
      <c r="U435" t="s">
        <v>36</v>
      </c>
      <c r="V435" t="s">
        <v>36</v>
      </c>
      <c r="W435">
        <v>4000</v>
      </c>
      <c r="X435" t="s">
        <v>49</v>
      </c>
      <c r="Y435" t="s">
        <v>50</v>
      </c>
      <c r="Z435" t="s">
        <v>51</v>
      </c>
      <c r="AA435" t="s">
        <v>37</v>
      </c>
      <c r="AB435" t="s">
        <v>52</v>
      </c>
      <c r="AC435" t="s">
        <v>53</v>
      </c>
      <c r="AD435" t="s">
        <v>54</v>
      </c>
      <c r="AE435">
        <v>20.8318375986</v>
      </c>
      <c r="AF435">
        <v>1854</v>
      </c>
      <c r="AG435">
        <v>1853.73846632</v>
      </c>
      <c r="AH435">
        <v>208321.732728</v>
      </c>
      <c r="AI435">
        <v>54</v>
      </c>
      <c r="AJ435">
        <v>11913.0748781115</v>
      </c>
      <c r="AK435" s="1">
        <f>intersection_ss_Lden___surface[[#This Row],[surf m2 bout ss]]/intersection_ss_Lden___surface[[#This Row],[Shape_Area]]</f>
        <v>5.7185943694439585E-2</v>
      </c>
      <c r="AL435">
        <v>2718</v>
      </c>
      <c r="AM435">
        <f>intersection_ss_Lden___surface[[#This Row],[Population totale 2024 ss]]*intersection_ss_Lden___surface[[#This Row],[Part de la surface du qs dans le noise contour]]</f>
        <v>155.4313949614868</v>
      </c>
    </row>
    <row r="436" spans="1:39" x14ac:dyDescent="0.3">
      <c r="A436">
        <v>466</v>
      </c>
      <c r="B436" t="s">
        <v>662</v>
      </c>
      <c r="C436" t="s">
        <v>663</v>
      </c>
      <c r="D436" t="s">
        <v>664</v>
      </c>
      <c r="E436" t="s">
        <v>664</v>
      </c>
      <c r="F436" t="s">
        <v>661</v>
      </c>
      <c r="G436" t="s">
        <v>621</v>
      </c>
      <c r="H436" t="s">
        <v>622</v>
      </c>
      <c r="I436" t="s">
        <v>622</v>
      </c>
      <c r="J436" t="s">
        <v>36</v>
      </c>
      <c r="K436">
        <v>21006</v>
      </c>
      <c r="L436" t="s">
        <v>623</v>
      </c>
      <c r="M436" t="s">
        <v>623</v>
      </c>
      <c r="N436" t="s">
        <v>623</v>
      </c>
      <c r="O436">
        <v>21000</v>
      </c>
      <c r="P436" t="s">
        <v>46</v>
      </c>
      <c r="Q436" t="s">
        <v>47</v>
      </c>
      <c r="R436" t="s">
        <v>48</v>
      </c>
      <c r="T436" t="s">
        <v>36</v>
      </c>
      <c r="U436" t="s">
        <v>36</v>
      </c>
      <c r="V436" t="s">
        <v>36</v>
      </c>
      <c r="W436">
        <v>4000</v>
      </c>
      <c r="X436" t="s">
        <v>49</v>
      </c>
      <c r="Y436" t="s">
        <v>50</v>
      </c>
      <c r="Z436" t="s">
        <v>51</v>
      </c>
      <c r="AA436" t="s">
        <v>37</v>
      </c>
      <c r="AB436" t="s">
        <v>52</v>
      </c>
      <c r="AC436" t="s">
        <v>53</v>
      </c>
      <c r="AD436" t="s">
        <v>54</v>
      </c>
      <c r="AE436">
        <v>12.3911281667</v>
      </c>
      <c r="AF436">
        <v>1474</v>
      </c>
      <c r="AG436">
        <v>1474.49027649</v>
      </c>
      <c r="AH436">
        <v>123913.282964</v>
      </c>
      <c r="AI436">
        <v>52</v>
      </c>
      <c r="AJ436">
        <v>91028.676609222894</v>
      </c>
      <c r="AK436" s="1">
        <f>intersection_ss_Lden___surface[[#This Row],[surf m2 bout ss]]/intersection_ss_Lden___surface[[#This Row],[Shape_Area]]</f>
        <v>0.73461597039333604</v>
      </c>
      <c r="AL436">
        <v>1173</v>
      </c>
      <c r="AM436">
        <f>intersection_ss_Lden___surface[[#This Row],[Population totale 2024 ss]]*intersection_ss_Lden___surface[[#This Row],[Part de la surface du qs dans le noise contour]]</f>
        <v>861.70453327138318</v>
      </c>
    </row>
    <row r="437" spans="1:39" x14ac:dyDescent="0.3">
      <c r="A437">
        <v>467</v>
      </c>
      <c r="B437" t="s">
        <v>662</v>
      </c>
      <c r="C437" t="s">
        <v>663</v>
      </c>
      <c r="D437" t="s">
        <v>664</v>
      </c>
      <c r="E437" t="s">
        <v>664</v>
      </c>
      <c r="F437" t="s">
        <v>661</v>
      </c>
      <c r="G437" t="s">
        <v>621</v>
      </c>
      <c r="H437" t="s">
        <v>622</v>
      </c>
      <c r="I437" t="s">
        <v>622</v>
      </c>
      <c r="J437" t="s">
        <v>36</v>
      </c>
      <c r="K437">
        <v>21006</v>
      </c>
      <c r="L437" t="s">
        <v>623</v>
      </c>
      <c r="M437" t="s">
        <v>623</v>
      </c>
      <c r="N437" t="s">
        <v>623</v>
      </c>
      <c r="O437">
        <v>21000</v>
      </c>
      <c r="P437" t="s">
        <v>46</v>
      </c>
      <c r="Q437" t="s">
        <v>47</v>
      </c>
      <c r="R437" t="s">
        <v>48</v>
      </c>
      <c r="T437" t="s">
        <v>36</v>
      </c>
      <c r="U437" t="s">
        <v>36</v>
      </c>
      <c r="V437" t="s">
        <v>36</v>
      </c>
      <c r="W437">
        <v>4000</v>
      </c>
      <c r="X437" t="s">
        <v>49</v>
      </c>
      <c r="Y437" t="s">
        <v>50</v>
      </c>
      <c r="Z437" t="s">
        <v>51</v>
      </c>
      <c r="AA437" t="s">
        <v>37</v>
      </c>
      <c r="AB437" t="s">
        <v>52</v>
      </c>
      <c r="AC437" t="s">
        <v>53</v>
      </c>
      <c r="AD437" t="s">
        <v>54</v>
      </c>
      <c r="AE437">
        <v>12.3911281667</v>
      </c>
      <c r="AF437">
        <v>1474</v>
      </c>
      <c r="AG437">
        <v>1474.49027649</v>
      </c>
      <c r="AH437">
        <v>123913.282964</v>
      </c>
      <c r="AI437">
        <v>53</v>
      </c>
      <c r="AJ437">
        <v>32896.491692312098</v>
      </c>
      <c r="AK437" s="1">
        <f>intersection_ss_Lden___surface[[#This Row],[surf m2 bout ss]]/intersection_ss_Lden___surface[[#This Row],[Shape_Area]]</f>
        <v>0.2654799461803411</v>
      </c>
      <c r="AL437">
        <v>1173</v>
      </c>
      <c r="AM437">
        <f>intersection_ss_Lden___surface[[#This Row],[Population totale 2024 ss]]*intersection_ss_Lden___surface[[#This Row],[Part de la surface du qs dans le noise contour]]</f>
        <v>311.40797686954011</v>
      </c>
    </row>
    <row r="438" spans="1:39" x14ac:dyDescent="0.3">
      <c r="A438">
        <v>468</v>
      </c>
      <c r="B438" t="s">
        <v>665</v>
      </c>
      <c r="C438" t="s">
        <v>666</v>
      </c>
      <c r="D438" t="s">
        <v>666</v>
      </c>
      <c r="E438" t="s">
        <v>666</v>
      </c>
      <c r="F438" t="s">
        <v>661</v>
      </c>
      <c r="G438" t="s">
        <v>621</v>
      </c>
      <c r="H438" t="s">
        <v>622</v>
      </c>
      <c r="I438" t="s">
        <v>622</v>
      </c>
      <c r="J438" t="s">
        <v>36</v>
      </c>
      <c r="K438">
        <v>21006</v>
      </c>
      <c r="L438" t="s">
        <v>623</v>
      </c>
      <c r="M438" t="s">
        <v>623</v>
      </c>
      <c r="N438" t="s">
        <v>623</v>
      </c>
      <c r="O438">
        <v>21000</v>
      </c>
      <c r="P438" t="s">
        <v>46</v>
      </c>
      <c r="Q438" t="s">
        <v>47</v>
      </c>
      <c r="R438" t="s">
        <v>48</v>
      </c>
      <c r="T438" t="s">
        <v>36</v>
      </c>
      <c r="U438" t="s">
        <v>36</v>
      </c>
      <c r="V438" t="s">
        <v>36</v>
      </c>
      <c r="W438">
        <v>4000</v>
      </c>
      <c r="X438" t="s">
        <v>49</v>
      </c>
      <c r="Y438" t="s">
        <v>50</v>
      </c>
      <c r="Z438" t="s">
        <v>51</v>
      </c>
      <c r="AA438" t="s">
        <v>37</v>
      </c>
      <c r="AB438" t="s">
        <v>52</v>
      </c>
      <c r="AC438" t="s">
        <v>53</v>
      </c>
      <c r="AD438" t="s">
        <v>54</v>
      </c>
      <c r="AE438">
        <v>9.6662171585800003</v>
      </c>
      <c r="AF438">
        <v>1753</v>
      </c>
      <c r="AG438">
        <v>1753.12567758</v>
      </c>
      <c r="AH438">
        <v>96663.722672100004</v>
      </c>
      <c r="AI438">
        <v>52</v>
      </c>
      <c r="AJ438">
        <v>38120.406291477702</v>
      </c>
      <c r="AK438" s="1">
        <f>intersection_ss_Lden___surface[[#This Row],[surf m2 bout ss]]/intersection_ss_Lden___surface[[#This Row],[Shape_Area]]</f>
        <v>0.39436104091282193</v>
      </c>
      <c r="AL438">
        <v>2120</v>
      </c>
      <c r="AM438">
        <f>intersection_ss_Lden___surface[[#This Row],[Population totale 2024 ss]]*intersection_ss_Lden___surface[[#This Row],[Part de la surface du qs dans le noise contour]]</f>
        <v>836.0454067351825</v>
      </c>
    </row>
    <row r="439" spans="1:39" x14ac:dyDescent="0.3">
      <c r="A439">
        <v>469</v>
      </c>
      <c r="B439" t="s">
        <v>665</v>
      </c>
      <c r="C439" t="s">
        <v>666</v>
      </c>
      <c r="D439" t="s">
        <v>666</v>
      </c>
      <c r="E439" t="s">
        <v>666</v>
      </c>
      <c r="F439" t="s">
        <v>661</v>
      </c>
      <c r="G439" t="s">
        <v>621</v>
      </c>
      <c r="H439" t="s">
        <v>622</v>
      </c>
      <c r="I439" t="s">
        <v>622</v>
      </c>
      <c r="J439" t="s">
        <v>36</v>
      </c>
      <c r="K439">
        <v>21006</v>
      </c>
      <c r="L439" t="s">
        <v>623</v>
      </c>
      <c r="M439" t="s">
        <v>623</v>
      </c>
      <c r="N439" t="s">
        <v>623</v>
      </c>
      <c r="O439">
        <v>21000</v>
      </c>
      <c r="P439" t="s">
        <v>46</v>
      </c>
      <c r="Q439" t="s">
        <v>47</v>
      </c>
      <c r="R439" t="s">
        <v>48</v>
      </c>
      <c r="T439" t="s">
        <v>36</v>
      </c>
      <c r="U439" t="s">
        <v>36</v>
      </c>
      <c r="V439" t="s">
        <v>36</v>
      </c>
      <c r="W439">
        <v>4000</v>
      </c>
      <c r="X439" t="s">
        <v>49</v>
      </c>
      <c r="Y439" t="s">
        <v>50</v>
      </c>
      <c r="Z439" t="s">
        <v>51</v>
      </c>
      <c r="AA439" t="s">
        <v>37</v>
      </c>
      <c r="AB439" t="s">
        <v>52</v>
      </c>
      <c r="AC439" t="s">
        <v>53</v>
      </c>
      <c r="AD439" t="s">
        <v>54</v>
      </c>
      <c r="AE439">
        <v>9.6662171585800003</v>
      </c>
      <c r="AF439">
        <v>1753</v>
      </c>
      <c r="AG439">
        <v>1753.12567758</v>
      </c>
      <c r="AH439">
        <v>96663.722672100004</v>
      </c>
      <c r="AI439">
        <v>53</v>
      </c>
      <c r="AJ439">
        <v>49140.297251811702</v>
      </c>
      <c r="AK439" s="1">
        <f>intersection_ss_Lden___surface[[#This Row],[surf m2 bout ss]]/intersection_ss_Lden___surface[[#This Row],[Shape_Area]]</f>
        <v>0.50836338487091015</v>
      </c>
      <c r="AL439">
        <v>2120</v>
      </c>
      <c r="AM439">
        <f>intersection_ss_Lden___surface[[#This Row],[Population totale 2024 ss]]*intersection_ss_Lden___surface[[#This Row],[Part de la surface du qs dans le noise contour]]</f>
        <v>1077.7303759263295</v>
      </c>
    </row>
    <row r="440" spans="1:39" x14ac:dyDescent="0.3">
      <c r="A440">
        <v>470</v>
      </c>
      <c r="B440" t="s">
        <v>665</v>
      </c>
      <c r="C440" t="s">
        <v>666</v>
      </c>
      <c r="D440" t="s">
        <v>666</v>
      </c>
      <c r="E440" t="s">
        <v>666</v>
      </c>
      <c r="F440" t="s">
        <v>661</v>
      </c>
      <c r="G440" t="s">
        <v>621</v>
      </c>
      <c r="H440" t="s">
        <v>622</v>
      </c>
      <c r="I440" t="s">
        <v>622</v>
      </c>
      <c r="J440" t="s">
        <v>36</v>
      </c>
      <c r="K440">
        <v>21006</v>
      </c>
      <c r="L440" t="s">
        <v>623</v>
      </c>
      <c r="M440" t="s">
        <v>623</v>
      </c>
      <c r="N440" t="s">
        <v>623</v>
      </c>
      <c r="O440">
        <v>21000</v>
      </c>
      <c r="P440" t="s">
        <v>46</v>
      </c>
      <c r="Q440" t="s">
        <v>47</v>
      </c>
      <c r="R440" t="s">
        <v>48</v>
      </c>
      <c r="T440" t="s">
        <v>36</v>
      </c>
      <c r="U440" t="s">
        <v>36</v>
      </c>
      <c r="V440" t="s">
        <v>36</v>
      </c>
      <c r="W440">
        <v>4000</v>
      </c>
      <c r="X440" t="s">
        <v>49</v>
      </c>
      <c r="Y440" t="s">
        <v>50</v>
      </c>
      <c r="Z440" t="s">
        <v>51</v>
      </c>
      <c r="AA440" t="s">
        <v>37</v>
      </c>
      <c r="AB440" t="s">
        <v>52</v>
      </c>
      <c r="AC440" t="s">
        <v>53</v>
      </c>
      <c r="AD440" t="s">
        <v>54</v>
      </c>
      <c r="AE440">
        <v>9.6662171585800003</v>
      </c>
      <c r="AF440">
        <v>1753</v>
      </c>
      <c r="AG440">
        <v>1753.12567758</v>
      </c>
      <c r="AH440">
        <v>96663.722672100004</v>
      </c>
      <c r="AI440">
        <v>54</v>
      </c>
      <c r="AJ440">
        <v>9412.2358268164098</v>
      </c>
      <c r="AK440" s="1">
        <f>intersection_ss_Lden___surface[[#This Row],[surf m2 bout ss]]/intersection_ss_Lden___surface[[#This Row],[Shape_Area]]</f>
        <v>9.7370922271888233E-2</v>
      </c>
      <c r="AL440">
        <v>2120</v>
      </c>
      <c r="AM440">
        <f>intersection_ss_Lden___surface[[#This Row],[Population totale 2024 ss]]*intersection_ss_Lden___surface[[#This Row],[Part de la surface du qs dans le noise contour]]</f>
        <v>206.42635521640307</v>
      </c>
    </row>
    <row r="441" spans="1:39" x14ac:dyDescent="0.3">
      <c r="A441">
        <v>471</v>
      </c>
      <c r="B441" t="s">
        <v>667</v>
      </c>
      <c r="C441" t="s">
        <v>668</v>
      </c>
      <c r="D441" t="s">
        <v>669</v>
      </c>
      <c r="E441" t="s">
        <v>669</v>
      </c>
      <c r="F441" t="s">
        <v>661</v>
      </c>
      <c r="G441" t="s">
        <v>621</v>
      </c>
      <c r="H441" t="s">
        <v>622</v>
      </c>
      <c r="I441" t="s">
        <v>622</v>
      </c>
      <c r="J441" t="s">
        <v>36</v>
      </c>
      <c r="K441">
        <v>21006</v>
      </c>
      <c r="L441" t="s">
        <v>623</v>
      </c>
      <c r="M441" t="s">
        <v>623</v>
      </c>
      <c r="N441" t="s">
        <v>623</v>
      </c>
      <c r="O441">
        <v>21000</v>
      </c>
      <c r="P441" t="s">
        <v>46</v>
      </c>
      <c r="Q441" t="s">
        <v>47</v>
      </c>
      <c r="R441" t="s">
        <v>48</v>
      </c>
      <c r="T441" t="s">
        <v>36</v>
      </c>
      <c r="U441" t="s">
        <v>36</v>
      </c>
      <c r="V441" t="s">
        <v>36</v>
      </c>
      <c r="W441">
        <v>4000</v>
      </c>
      <c r="X441" t="s">
        <v>49</v>
      </c>
      <c r="Y441" t="s">
        <v>50</v>
      </c>
      <c r="Z441" t="s">
        <v>51</v>
      </c>
      <c r="AA441" t="s">
        <v>37</v>
      </c>
      <c r="AB441" t="s">
        <v>52</v>
      </c>
      <c r="AC441" t="s">
        <v>53</v>
      </c>
      <c r="AD441" t="s">
        <v>54</v>
      </c>
      <c r="AE441">
        <v>19.656825383099999</v>
      </c>
      <c r="AF441">
        <v>1724</v>
      </c>
      <c r="AG441">
        <v>1723.9119447099999</v>
      </c>
      <c r="AH441">
        <v>196571.42060499999</v>
      </c>
      <c r="AI441">
        <v>53</v>
      </c>
      <c r="AJ441">
        <v>125847.037157525</v>
      </c>
      <c r="AK441" s="1">
        <f>intersection_ss_Lden___surface[[#This Row],[surf m2 bout ss]]/intersection_ss_Lden___surface[[#This Row],[Shape_Area]]</f>
        <v>0.64021024404360416</v>
      </c>
      <c r="AL441">
        <v>3247</v>
      </c>
      <c r="AM441">
        <f>intersection_ss_Lden___surface[[#This Row],[Population totale 2024 ss]]*intersection_ss_Lden___surface[[#This Row],[Part de la surface du qs dans le noise contour]]</f>
        <v>2078.7626624095828</v>
      </c>
    </row>
    <row r="442" spans="1:39" x14ac:dyDescent="0.3">
      <c r="A442">
        <v>472</v>
      </c>
      <c r="B442" t="s">
        <v>667</v>
      </c>
      <c r="C442" t="s">
        <v>668</v>
      </c>
      <c r="D442" t="s">
        <v>669</v>
      </c>
      <c r="E442" t="s">
        <v>669</v>
      </c>
      <c r="F442" t="s">
        <v>661</v>
      </c>
      <c r="G442" t="s">
        <v>621</v>
      </c>
      <c r="H442" t="s">
        <v>622</v>
      </c>
      <c r="I442" t="s">
        <v>622</v>
      </c>
      <c r="J442" t="s">
        <v>36</v>
      </c>
      <c r="K442">
        <v>21006</v>
      </c>
      <c r="L442" t="s">
        <v>623</v>
      </c>
      <c r="M442" t="s">
        <v>623</v>
      </c>
      <c r="N442" t="s">
        <v>623</v>
      </c>
      <c r="O442">
        <v>21000</v>
      </c>
      <c r="P442" t="s">
        <v>46</v>
      </c>
      <c r="Q442" t="s">
        <v>47</v>
      </c>
      <c r="R442" t="s">
        <v>48</v>
      </c>
      <c r="T442" t="s">
        <v>36</v>
      </c>
      <c r="U442" t="s">
        <v>36</v>
      </c>
      <c r="V442" t="s">
        <v>36</v>
      </c>
      <c r="W442">
        <v>4000</v>
      </c>
      <c r="X442" t="s">
        <v>49</v>
      </c>
      <c r="Y442" t="s">
        <v>50</v>
      </c>
      <c r="Z442" t="s">
        <v>51</v>
      </c>
      <c r="AA442" t="s">
        <v>37</v>
      </c>
      <c r="AB442" t="s">
        <v>52</v>
      </c>
      <c r="AC442" t="s">
        <v>53</v>
      </c>
      <c r="AD442" t="s">
        <v>54</v>
      </c>
      <c r="AE442">
        <v>19.656825383099999</v>
      </c>
      <c r="AF442">
        <v>1724</v>
      </c>
      <c r="AG442">
        <v>1723.9119447099999</v>
      </c>
      <c r="AH442">
        <v>196571.42060499999</v>
      </c>
      <c r="AI442">
        <v>54</v>
      </c>
      <c r="AJ442">
        <v>70743.160894222106</v>
      </c>
      <c r="AK442" s="1">
        <f>intersection_ss_Lden___surface[[#This Row],[surf m2 bout ss]]/intersection_ss_Lden___surface[[#This Row],[Shape_Area]]</f>
        <v>0.35988528076203302</v>
      </c>
      <c r="AL442">
        <v>3247</v>
      </c>
      <c r="AM442">
        <f>intersection_ss_Lden___surface[[#This Row],[Population totale 2024 ss]]*intersection_ss_Lden___surface[[#This Row],[Part de la surface du qs dans le noise contour]]</f>
        <v>1168.5475066343213</v>
      </c>
    </row>
    <row r="443" spans="1:39" x14ac:dyDescent="0.3">
      <c r="A443">
        <v>473</v>
      </c>
      <c r="B443" t="s">
        <v>670</v>
      </c>
      <c r="C443" t="s">
        <v>671</v>
      </c>
      <c r="D443" t="s">
        <v>671</v>
      </c>
      <c r="E443" t="s">
        <v>671</v>
      </c>
      <c r="F443" t="s">
        <v>661</v>
      </c>
      <c r="G443" t="s">
        <v>621</v>
      </c>
      <c r="H443" t="s">
        <v>622</v>
      </c>
      <c r="I443" t="s">
        <v>622</v>
      </c>
      <c r="J443" t="s">
        <v>36</v>
      </c>
      <c r="K443">
        <v>21006</v>
      </c>
      <c r="L443" t="s">
        <v>623</v>
      </c>
      <c r="M443" t="s">
        <v>623</v>
      </c>
      <c r="N443" t="s">
        <v>623</v>
      </c>
      <c r="O443">
        <v>21000</v>
      </c>
      <c r="P443" t="s">
        <v>46</v>
      </c>
      <c r="Q443" t="s">
        <v>47</v>
      </c>
      <c r="R443" t="s">
        <v>48</v>
      </c>
      <c r="T443" t="s">
        <v>36</v>
      </c>
      <c r="U443" t="s">
        <v>36</v>
      </c>
      <c r="V443" t="s">
        <v>36</v>
      </c>
      <c r="W443">
        <v>4000</v>
      </c>
      <c r="X443" t="s">
        <v>49</v>
      </c>
      <c r="Y443" t="s">
        <v>50</v>
      </c>
      <c r="Z443" t="s">
        <v>51</v>
      </c>
      <c r="AA443" t="s">
        <v>37</v>
      </c>
      <c r="AB443" t="s">
        <v>52</v>
      </c>
      <c r="AC443" t="s">
        <v>53</v>
      </c>
      <c r="AD443" t="s">
        <v>54</v>
      </c>
      <c r="AE443">
        <v>6.2134999534000004</v>
      </c>
      <c r="AF443">
        <v>1170</v>
      </c>
      <c r="AG443">
        <v>1169.8876371700001</v>
      </c>
      <c r="AH443">
        <v>62136.016579499999</v>
      </c>
      <c r="AI443">
        <v>54</v>
      </c>
      <c r="AJ443">
        <v>22354.515345392701</v>
      </c>
      <c r="AK443" s="1">
        <f>intersection_ss_Lden___surface[[#This Row],[surf m2 bout ss]]/intersection_ss_Lden___surface[[#This Row],[Shape_Area]]</f>
        <v>0.35976743563519542</v>
      </c>
      <c r="AL443">
        <v>607</v>
      </c>
      <c r="AM443">
        <f>intersection_ss_Lden___surface[[#This Row],[Population totale 2024 ss]]*intersection_ss_Lden___surface[[#This Row],[Part de la surface du qs dans le noise contour]]</f>
        <v>218.37883343056362</v>
      </c>
    </row>
    <row r="444" spans="1:39" x14ac:dyDescent="0.3">
      <c r="A444">
        <v>474</v>
      </c>
      <c r="B444" t="s">
        <v>670</v>
      </c>
      <c r="C444" t="s">
        <v>671</v>
      </c>
      <c r="D444" t="s">
        <v>671</v>
      </c>
      <c r="E444" t="s">
        <v>671</v>
      </c>
      <c r="F444" t="s">
        <v>661</v>
      </c>
      <c r="G444" t="s">
        <v>621</v>
      </c>
      <c r="H444" t="s">
        <v>622</v>
      </c>
      <c r="I444" t="s">
        <v>622</v>
      </c>
      <c r="J444" t="s">
        <v>36</v>
      </c>
      <c r="K444">
        <v>21006</v>
      </c>
      <c r="L444" t="s">
        <v>623</v>
      </c>
      <c r="M444" t="s">
        <v>623</v>
      </c>
      <c r="N444" t="s">
        <v>623</v>
      </c>
      <c r="O444">
        <v>21000</v>
      </c>
      <c r="P444" t="s">
        <v>46</v>
      </c>
      <c r="Q444" t="s">
        <v>47</v>
      </c>
      <c r="R444" t="s">
        <v>48</v>
      </c>
      <c r="T444" t="s">
        <v>36</v>
      </c>
      <c r="U444" t="s">
        <v>36</v>
      </c>
      <c r="V444" t="s">
        <v>36</v>
      </c>
      <c r="W444">
        <v>4000</v>
      </c>
      <c r="X444" t="s">
        <v>49</v>
      </c>
      <c r="Y444" t="s">
        <v>50</v>
      </c>
      <c r="Z444" t="s">
        <v>51</v>
      </c>
      <c r="AA444" t="s">
        <v>37</v>
      </c>
      <c r="AB444" t="s">
        <v>52</v>
      </c>
      <c r="AC444" t="s">
        <v>53</v>
      </c>
      <c r="AD444" t="s">
        <v>54</v>
      </c>
      <c r="AE444">
        <v>6.2134999534000004</v>
      </c>
      <c r="AF444">
        <v>1170</v>
      </c>
      <c r="AG444">
        <v>1169.8876371700001</v>
      </c>
      <c r="AH444">
        <v>62136.016579499999</v>
      </c>
      <c r="AI444">
        <v>55</v>
      </c>
      <c r="AJ444">
        <v>39787.404936092003</v>
      </c>
      <c r="AK444" s="1">
        <f>intersection_ss_Lden___surface[[#This Row],[surf m2 bout ss]]/intersection_ss_Lden___surface[[#This Row],[Shape_Area]]</f>
        <v>0.64032757692450337</v>
      </c>
      <c r="AL444">
        <v>607</v>
      </c>
      <c r="AM444">
        <f>intersection_ss_Lden___surface[[#This Row],[Population totale 2024 ss]]*intersection_ss_Lden___surface[[#This Row],[Part de la surface du qs dans le noise contour]]</f>
        <v>388.67883919317353</v>
      </c>
    </row>
    <row r="445" spans="1:39" x14ac:dyDescent="0.3">
      <c r="A445">
        <v>475</v>
      </c>
      <c r="B445" t="s">
        <v>672</v>
      </c>
      <c r="C445" t="s">
        <v>673</v>
      </c>
      <c r="D445" t="s">
        <v>673</v>
      </c>
      <c r="E445" t="s">
        <v>673</v>
      </c>
      <c r="F445" t="s">
        <v>661</v>
      </c>
      <c r="G445" t="s">
        <v>621</v>
      </c>
      <c r="H445" t="s">
        <v>622</v>
      </c>
      <c r="I445" t="s">
        <v>622</v>
      </c>
      <c r="J445" t="s">
        <v>36</v>
      </c>
      <c r="K445">
        <v>21006</v>
      </c>
      <c r="L445" t="s">
        <v>623</v>
      </c>
      <c r="M445" t="s">
        <v>623</v>
      </c>
      <c r="N445" t="s">
        <v>623</v>
      </c>
      <c r="O445">
        <v>21000</v>
      </c>
      <c r="P445" t="s">
        <v>46</v>
      </c>
      <c r="Q445" t="s">
        <v>47</v>
      </c>
      <c r="R445" t="s">
        <v>48</v>
      </c>
      <c r="T445" t="s">
        <v>36</v>
      </c>
      <c r="U445" t="s">
        <v>36</v>
      </c>
      <c r="V445" t="s">
        <v>36</v>
      </c>
      <c r="W445">
        <v>4000</v>
      </c>
      <c r="X445" t="s">
        <v>49</v>
      </c>
      <c r="Y445" t="s">
        <v>50</v>
      </c>
      <c r="Z445" t="s">
        <v>51</v>
      </c>
      <c r="AA445" t="s">
        <v>37</v>
      </c>
      <c r="AB445" t="s">
        <v>52</v>
      </c>
      <c r="AC445" t="s">
        <v>53</v>
      </c>
      <c r="AD445" t="s">
        <v>54</v>
      </c>
      <c r="AE445">
        <v>13.1656472418</v>
      </c>
      <c r="AF445">
        <v>1498</v>
      </c>
      <c r="AG445">
        <v>1498.08989615</v>
      </c>
      <c r="AH445">
        <v>131658.59563</v>
      </c>
      <c r="AI445">
        <v>54</v>
      </c>
      <c r="AJ445">
        <v>44248.644492015199</v>
      </c>
      <c r="AK445" s="1">
        <f>intersection_ss_Lden___surface[[#This Row],[surf m2 bout ss]]/intersection_ss_Lden___surface[[#This Row],[Shape_Area]]</f>
        <v>0.33608625612540416</v>
      </c>
      <c r="AL445">
        <v>1101</v>
      </c>
      <c r="AM445">
        <f>intersection_ss_Lden___surface[[#This Row],[Population totale 2024 ss]]*intersection_ss_Lden___surface[[#This Row],[Part de la surface du qs dans le noise contour]]</f>
        <v>370.03096799406995</v>
      </c>
    </row>
    <row r="446" spans="1:39" x14ac:dyDescent="0.3">
      <c r="A446">
        <v>476</v>
      </c>
      <c r="B446" t="s">
        <v>672</v>
      </c>
      <c r="C446" t="s">
        <v>673</v>
      </c>
      <c r="D446" t="s">
        <v>673</v>
      </c>
      <c r="E446" t="s">
        <v>673</v>
      </c>
      <c r="F446" t="s">
        <v>661</v>
      </c>
      <c r="G446" t="s">
        <v>621</v>
      </c>
      <c r="H446" t="s">
        <v>622</v>
      </c>
      <c r="I446" t="s">
        <v>622</v>
      </c>
      <c r="J446" t="s">
        <v>36</v>
      </c>
      <c r="K446">
        <v>21006</v>
      </c>
      <c r="L446" t="s">
        <v>623</v>
      </c>
      <c r="M446" t="s">
        <v>623</v>
      </c>
      <c r="N446" t="s">
        <v>623</v>
      </c>
      <c r="O446">
        <v>21000</v>
      </c>
      <c r="P446" t="s">
        <v>46</v>
      </c>
      <c r="Q446" t="s">
        <v>47</v>
      </c>
      <c r="R446" t="s">
        <v>48</v>
      </c>
      <c r="T446" t="s">
        <v>36</v>
      </c>
      <c r="U446" t="s">
        <v>36</v>
      </c>
      <c r="V446" t="s">
        <v>36</v>
      </c>
      <c r="W446">
        <v>4000</v>
      </c>
      <c r="X446" t="s">
        <v>49</v>
      </c>
      <c r="Y446" t="s">
        <v>50</v>
      </c>
      <c r="Z446" t="s">
        <v>51</v>
      </c>
      <c r="AA446" t="s">
        <v>37</v>
      </c>
      <c r="AB446" t="s">
        <v>52</v>
      </c>
      <c r="AC446" t="s">
        <v>53</v>
      </c>
      <c r="AD446" t="s">
        <v>54</v>
      </c>
      <c r="AE446">
        <v>13.1656472418</v>
      </c>
      <c r="AF446">
        <v>1498</v>
      </c>
      <c r="AG446">
        <v>1498.08989615</v>
      </c>
      <c r="AH446">
        <v>131658.59563</v>
      </c>
      <c r="AI446">
        <v>55</v>
      </c>
      <c r="AJ446">
        <v>87422.468860939101</v>
      </c>
      <c r="AK446" s="1">
        <f>intersection_ss_Lden___surface[[#This Row],[surf m2 bout ss]]/intersection_ss_Lden___surface[[#This Row],[Shape_Area]]</f>
        <v>0.66400882101630776</v>
      </c>
      <c r="AL446">
        <v>1101</v>
      </c>
      <c r="AM446">
        <f>intersection_ss_Lden___surface[[#This Row],[Population totale 2024 ss]]*intersection_ss_Lden___surface[[#This Row],[Part de la surface du qs dans le noise contour]]</f>
        <v>731.07371193895483</v>
      </c>
    </row>
    <row r="447" spans="1:39" x14ac:dyDescent="0.3">
      <c r="A447">
        <v>477</v>
      </c>
      <c r="B447" t="s">
        <v>674</v>
      </c>
      <c r="C447" t="s">
        <v>675</v>
      </c>
      <c r="D447" t="s">
        <v>676</v>
      </c>
      <c r="E447" t="s">
        <v>676</v>
      </c>
      <c r="F447" t="s">
        <v>661</v>
      </c>
      <c r="G447" t="s">
        <v>621</v>
      </c>
      <c r="H447" t="s">
        <v>622</v>
      </c>
      <c r="I447" t="s">
        <v>622</v>
      </c>
      <c r="J447" t="s">
        <v>36</v>
      </c>
      <c r="K447">
        <v>21006</v>
      </c>
      <c r="L447" t="s">
        <v>623</v>
      </c>
      <c r="M447" t="s">
        <v>623</v>
      </c>
      <c r="N447" t="s">
        <v>623</v>
      </c>
      <c r="O447">
        <v>21000</v>
      </c>
      <c r="P447" t="s">
        <v>46</v>
      </c>
      <c r="Q447" t="s">
        <v>47</v>
      </c>
      <c r="R447" t="s">
        <v>48</v>
      </c>
      <c r="T447" t="s">
        <v>36</v>
      </c>
      <c r="U447" t="s">
        <v>36</v>
      </c>
      <c r="V447" t="s">
        <v>36</v>
      </c>
      <c r="W447">
        <v>4000</v>
      </c>
      <c r="X447" t="s">
        <v>49</v>
      </c>
      <c r="Y447" t="s">
        <v>50</v>
      </c>
      <c r="Z447" t="s">
        <v>51</v>
      </c>
      <c r="AA447" t="s">
        <v>37</v>
      </c>
      <c r="AB447" t="s">
        <v>52</v>
      </c>
      <c r="AC447" t="s">
        <v>53</v>
      </c>
      <c r="AD447" t="s">
        <v>54</v>
      </c>
      <c r="AE447">
        <v>17.969571850800001</v>
      </c>
      <c r="AF447">
        <v>3019</v>
      </c>
      <c r="AG447">
        <v>3018.9337329300001</v>
      </c>
      <c r="AH447">
        <v>179698.58984900001</v>
      </c>
      <c r="AI447">
        <v>51</v>
      </c>
      <c r="AJ447">
        <v>22482.614031706002</v>
      </c>
      <c r="AK447" s="1">
        <f>intersection_ss_Lden___surface[[#This Row],[surf m2 bout ss]]/intersection_ss_Lden___surface[[#This Row],[Shape_Area]]</f>
        <v>0.12511291296497123</v>
      </c>
      <c r="AL447">
        <v>409</v>
      </c>
      <c r="AM447">
        <f>intersection_ss_Lden___surface[[#This Row],[Population totale 2024 ss]]*intersection_ss_Lden___surface[[#This Row],[Part de la surface du qs dans le noise contour]]</f>
        <v>51.171181402673234</v>
      </c>
    </row>
    <row r="448" spans="1:39" x14ac:dyDescent="0.3">
      <c r="A448">
        <v>478</v>
      </c>
      <c r="B448" t="s">
        <v>674</v>
      </c>
      <c r="C448" t="s">
        <v>675</v>
      </c>
      <c r="D448" t="s">
        <v>676</v>
      </c>
      <c r="E448" t="s">
        <v>676</v>
      </c>
      <c r="F448" t="s">
        <v>661</v>
      </c>
      <c r="G448" t="s">
        <v>621</v>
      </c>
      <c r="H448" t="s">
        <v>622</v>
      </c>
      <c r="I448" t="s">
        <v>622</v>
      </c>
      <c r="J448" t="s">
        <v>36</v>
      </c>
      <c r="K448">
        <v>21006</v>
      </c>
      <c r="L448" t="s">
        <v>623</v>
      </c>
      <c r="M448" t="s">
        <v>623</v>
      </c>
      <c r="N448" t="s">
        <v>623</v>
      </c>
      <c r="O448">
        <v>21000</v>
      </c>
      <c r="P448" t="s">
        <v>46</v>
      </c>
      <c r="Q448" t="s">
        <v>47</v>
      </c>
      <c r="R448" t="s">
        <v>48</v>
      </c>
      <c r="T448" t="s">
        <v>36</v>
      </c>
      <c r="U448" t="s">
        <v>36</v>
      </c>
      <c r="V448" t="s">
        <v>36</v>
      </c>
      <c r="W448">
        <v>4000</v>
      </c>
      <c r="X448" t="s">
        <v>49</v>
      </c>
      <c r="Y448" t="s">
        <v>50</v>
      </c>
      <c r="Z448" t="s">
        <v>51</v>
      </c>
      <c r="AA448" t="s">
        <v>37</v>
      </c>
      <c r="AB448" t="s">
        <v>52</v>
      </c>
      <c r="AC448" t="s">
        <v>53</v>
      </c>
      <c r="AD448" t="s">
        <v>54</v>
      </c>
      <c r="AE448">
        <v>17.969571850800001</v>
      </c>
      <c r="AF448">
        <v>3019</v>
      </c>
      <c r="AG448">
        <v>3018.9337329300001</v>
      </c>
      <c r="AH448">
        <v>179698.58984900001</v>
      </c>
      <c r="AI448">
        <v>52</v>
      </c>
      <c r="AJ448">
        <v>130910.499679264</v>
      </c>
      <c r="AK448" s="1">
        <f>intersection_ss_Lden___surface[[#This Row],[surf m2 bout ss]]/intersection_ss_Lden___surface[[#This Row],[Shape_Area]]</f>
        <v>0.72850042835209539</v>
      </c>
      <c r="AL448">
        <v>409</v>
      </c>
      <c r="AM448">
        <f>intersection_ss_Lden___surface[[#This Row],[Population totale 2024 ss]]*intersection_ss_Lden___surface[[#This Row],[Part de la surface du qs dans le noise contour]]</f>
        <v>297.95667519600704</v>
      </c>
    </row>
    <row r="449" spans="1:39" x14ac:dyDescent="0.3">
      <c r="A449">
        <v>479</v>
      </c>
      <c r="B449" t="s">
        <v>674</v>
      </c>
      <c r="C449" t="s">
        <v>675</v>
      </c>
      <c r="D449" t="s">
        <v>676</v>
      </c>
      <c r="E449" t="s">
        <v>676</v>
      </c>
      <c r="F449" t="s">
        <v>661</v>
      </c>
      <c r="G449" t="s">
        <v>621</v>
      </c>
      <c r="H449" t="s">
        <v>622</v>
      </c>
      <c r="I449" t="s">
        <v>622</v>
      </c>
      <c r="J449" t="s">
        <v>36</v>
      </c>
      <c r="K449">
        <v>21006</v>
      </c>
      <c r="L449" t="s">
        <v>623</v>
      </c>
      <c r="M449" t="s">
        <v>623</v>
      </c>
      <c r="N449" t="s">
        <v>623</v>
      </c>
      <c r="O449">
        <v>21000</v>
      </c>
      <c r="P449" t="s">
        <v>46</v>
      </c>
      <c r="Q449" t="s">
        <v>47</v>
      </c>
      <c r="R449" t="s">
        <v>48</v>
      </c>
      <c r="T449" t="s">
        <v>36</v>
      </c>
      <c r="U449" t="s">
        <v>36</v>
      </c>
      <c r="V449" t="s">
        <v>36</v>
      </c>
      <c r="W449">
        <v>4000</v>
      </c>
      <c r="X449" t="s">
        <v>49</v>
      </c>
      <c r="Y449" t="s">
        <v>50</v>
      </c>
      <c r="Z449" t="s">
        <v>51</v>
      </c>
      <c r="AA449" t="s">
        <v>37</v>
      </c>
      <c r="AB449" t="s">
        <v>52</v>
      </c>
      <c r="AC449" t="s">
        <v>53</v>
      </c>
      <c r="AD449" t="s">
        <v>54</v>
      </c>
      <c r="AE449">
        <v>17.969571850800001</v>
      </c>
      <c r="AF449">
        <v>3019</v>
      </c>
      <c r="AG449">
        <v>3018.9337329300001</v>
      </c>
      <c r="AH449">
        <v>179698.58984900001</v>
      </c>
      <c r="AI449">
        <v>53</v>
      </c>
      <c r="AJ449">
        <v>26322.864658006001</v>
      </c>
      <c r="AK449" s="1">
        <f>intersection_ss_Lden___surface[[#This Row],[surf m2 bout ss]]/intersection_ss_Lden___surface[[#This Row],[Shape_Area]]</f>
        <v>0.14648342360463149</v>
      </c>
      <c r="AL449">
        <v>409</v>
      </c>
      <c r="AM449">
        <f>intersection_ss_Lden___surface[[#This Row],[Population totale 2024 ss]]*intersection_ss_Lden___surface[[#This Row],[Part de la surface du qs dans le noise contour]]</f>
        <v>59.911720254294281</v>
      </c>
    </row>
    <row r="450" spans="1:39" x14ac:dyDescent="0.3">
      <c r="A450">
        <v>480</v>
      </c>
      <c r="B450" t="s">
        <v>677</v>
      </c>
      <c r="C450" t="s">
        <v>678</v>
      </c>
      <c r="D450" t="s">
        <v>679</v>
      </c>
      <c r="E450" t="s">
        <v>679</v>
      </c>
      <c r="F450" t="s">
        <v>680</v>
      </c>
      <c r="G450" t="s">
        <v>621</v>
      </c>
      <c r="H450" t="s">
        <v>622</v>
      </c>
      <c r="I450" t="s">
        <v>622</v>
      </c>
      <c r="J450" t="s">
        <v>36</v>
      </c>
      <c r="K450">
        <v>21006</v>
      </c>
      <c r="L450" t="s">
        <v>623</v>
      </c>
      <c r="M450" t="s">
        <v>623</v>
      </c>
      <c r="N450" t="s">
        <v>623</v>
      </c>
      <c r="O450">
        <v>21000</v>
      </c>
      <c r="P450" t="s">
        <v>46</v>
      </c>
      <c r="Q450" t="s">
        <v>47</v>
      </c>
      <c r="R450" t="s">
        <v>48</v>
      </c>
      <c r="T450" t="s">
        <v>36</v>
      </c>
      <c r="U450" t="s">
        <v>36</v>
      </c>
      <c r="V450" t="s">
        <v>36</v>
      </c>
      <c r="W450">
        <v>4000</v>
      </c>
      <c r="X450" t="s">
        <v>49</v>
      </c>
      <c r="Y450" t="s">
        <v>50</v>
      </c>
      <c r="Z450" t="s">
        <v>51</v>
      </c>
      <c r="AA450" t="s">
        <v>37</v>
      </c>
      <c r="AB450" t="s">
        <v>52</v>
      </c>
      <c r="AC450" t="s">
        <v>53</v>
      </c>
      <c r="AD450" t="s">
        <v>54</v>
      </c>
      <c r="AE450">
        <v>10.2490648707</v>
      </c>
      <c r="AF450">
        <v>2873</v>
      </c>
      <c r="AG450">
        <v>2872.9712627099998</v>
      </c>
      <c r="AH450">
        <v>102492.28723099999</v>
      </c>
      <c r="AI450">
        <v>56</v>
      </c>
      <c r="AJ450">
        <v>30750.317596498899</v>
      </c>
      <c r="AK450" s="1">
        <f>intersection_ss_Lden___surface[[#This Row],[surf m2 bout ss]]/intersection_ss_Lden___surface[[#This Row],[Shape_Area]]</f>
        <v>0.30002567439238592</v>
      </c>
      <c r="AL450">
        <v>794</v>
      </c>
      <c r="AM450">
        <f>intersection_ss_Lden___surface[[#This Row],[Population totale 2024 ss]]*intersection_ss_Lden___surface[[#This Row],[Part de la surface du qs dans le noise contour]]</f>
        <v>238.22038546755442</v>
      </c>
    </row>
    <row r="451" spans="1:39" x14ac:dyDescent="0.3">
      <c r="A451">
        <v>481</v>
      </c>
      <c r="B451" t="s">
        <v>677</v>
      </c>
      <c r="C451" t="s">
        <v>678</v>
      </c>
      <c r="D451" t="s">
        <v>679</v>
      </c>
      <c r="E451" t="s">
        <v>679</v>
      </c>
      <c r="F451" t="s">
        <v>680</v>
      </c>
      <c r="G451" t="s">
        <v>621</v>
      </c>
      <c r="H451" t="s">
        <v>622</v>
      </c>
      <c r="I451" t="s">
        <v>622</v>
      </c>
      <c r="J451" t="s">
        <v>36</v>
      </c>
      <c r="K451">
        <v>21006</v>
      </c>
      <c r="L451" t="s">
        <v>623</v>
      </c>
      <c r="M451" t="s">
        <v>623</v>
      </c>
      <c r="N451" t="s">
        <v>623</v>
      </c>
      <c r="O451">
        <v>21000</v>
      </c>
      <c r="P451" t="s">
        <v>46</v>
      </c>
      <c r="Q451" t="s">
        <v>47</v>
      </c>
      <c r="R451" t="s">
        <v>48</v>
      </c>
      <c r="T451" t="s">
        <v>36</v>
      </c>
      <c r="U451" t="s">
        <v>36</v>
      </c>
      <c r="V451" t="s">
        <v>36</v>
      </c>
      <c r="W451">
        <v>4000</v>
      </c>
      <c r="X451" t="s">
        <v>49</v>
      </c>
      <c r="Y451" t="s">
        <v>50</v>
      </c>
      <c r="Z451" t="s">
        <v>51</v>
      </c>
      <c r="AA451" t="s">
        <v>37</v>
      </c>
      <c r="AB451" t="s">
        <v>52</v>
      </c>
      <c r="AC451" t="s">
        <v>53</v>
      </c>
      <c r="AD451" t="s">
        <v>54</v>
      </c>
      <c r="AE451">
        <v>10.2490648707</v>
      </c>
      <c r="AF451">
        <v>2873</v>
      </c>
      <c r="AG451">
        <v>2872.9712627099998</v>
      </c>
      <c r="AH451">
        <v>102492.28723099999</v>
      </c>
      <c r="AI451">
        <v>57</v>
      </c>
      <c r="AJ451">
        <v>71751.4720231104</v>
      </c>
      <c r="AK451" s="1">
        <f>intersection_ss_Lden___surface[[#This Row],[surf m2 bout ss]]/intersection_ss_Lden___surface[[#This Row],[Shape_Area]]</f>
        <v>0.70006703881429555</v>
      </c>
      <c r="AL451">
        <v>794</v>
      </c>
      <c r="AM451">
        <f>intersection_ss_Lden___surface[[#This Row],[Population totale 2024 ss]]*intersection_ss_Lden___surface[[#This Row],[Part de la surface du qs dans le noise contour]]</f>
        <v>555.85322881855063</v>
      </c>
    </row>
    <row r="452" spans="1:39" x14ac:dyDescent="0.3">
      <c r="A452">
        <v>482</v>
      </c>
      <c r="B452" t="s">
        <v>681</v>
      </c>
      <c r="C452" t="s">
        <v>682</v>
      </c>
      <c r="D452" t="s">
        <v>682</v>
      </c>
      <c r="E452" t="s">
        <v>682</v>
      </c>
      <c r="F452" t="s">
        <v>680</v>
      </c>
      <c r="G452" t="s">
        <v>621</v>
      </c>
      <c r="H452" t="s">
        <v>622</v>
      </c>
      <c r="I452" t="s">
        <v>622</v>
      </c>
      <c r="J452" t="s">
        <v>36</v>
      </c>
      <c r="K452">
        <v>21006</v>
      </c>
      <c r="L452" t="s">
        <v>623</v>
      </c>
      <c r="M452" t="s">
        <v>623</v>
      </c>
      <c r="N452" t="s">
        <v>623</v>
      </c>
      <c r="O452">
        <v>21000</v>
      </c>
      <c r="P452" t="s">
        <v>46</v>
      </c>
      <c r="Q452" t="s">
        <v>47</v>
      </c>
      <c r="R452" t="s">
        <v>48</v>
      </c>
      <c r="T452" t="s">
        <v>36</v>
      </c>
      <c r="U452" t="s">
        <v>36</v>
      </c>
      <c r="V452" t="s">
        <v>36</v>
      </c>
      <c r="W452">
        <v>4000</v>
      </c>
      <c r="X452" t="s">
        <v>49</v>
      </c>
      <c r="Y452" t="s">
        <v>50</v>
      </c>
      <c r="Z452" t="s">
        <v>51</v>
      </c>
      <c r="AA452" t="s">
        <v>37</v>
      </c>
      <c r="AB452" t="s">
        <v>52</v>
      </c>
      <c r="AC452" t="s">
        <v>53</v>
      </c>
      <c r="AD452" t="s">
        <v>54</v>
      </c>
      <c r="AE452">
        <v>8.6478549299999994</v>
      </c>
      <c r="AF452">
        <v>1535</v>
      </c>
      <c r="AG452">
        <v>1535.0935940899999</v>
      </c>
      <c r="AH452">
        <v>86479.945148700004</v>
      </c>
      <c r="AI452">
        <v>56</v>
      </c>
      <c r="AJ452">
        <v>40448.139500928999</v>
      </c>
      <c r="AK452" s="1">
        <f>intersection_ss_Lden___surface[[#This Row],[surf m2 bout ss]]/intersection_ss_Lden___surface[[#This Row],[Shape_Area]]</f>
        <v>0.46771698838822667</v>
      </c>
      <c r="AL452">
        <v>983</v>
      </c>
      <c r="AM452">
        <f>intersection_ss_Lden___surface[[#This Row],[Population totale 2024 ss]]*intersection_ss_Lden___surface[[#This Row],[Part de la surface du qs dans le noise contour]]</f>
        <v>459.76579958562684</v>
      </c>
    </row>
    <row r="453" spans="1:39" x14ac:dyDescent="0.3">
      <c r="A453">
        <v>483</v>
      </c>
      <c r="B453" t="s">
        <v>681</v>
      </c>
      <c r="C453" t="s">
        <v>682</v>
      </c>
      <c r="D453" t="s">
        <v>682</v>
      </c>
      <c r="E453" t="s">
        <v>682</v>
      </c>
      <c r="F453" t="s">
        <v>680</v>
      </c>
      <c r="G453" t="s">
        <v>621</v>
      </c>
      <c r="H453" t="s">
        <v>622</v>
      </c>
      <c r="I453" t="s">
        <v>622</v>
      </c>
      <c r="J453" t="s">
        <v>36</v>
      </c>
      <c r="K453">
        <v>21006</v>
      </c>
      <c r="L453" t="s">
        <v>623</v>
      </c>
      <c r="M453" t="s">
        <v>623</v>
      </c>
      <c r="N453" t="s">
        <v>623</v>
      </c>
      <c r="O453">
        <v>21000</v>
      </c>
      <c r="P453" t="s">
        <v>46</v>
      </c>
      <c r="Q453" t="s">
        <v>47</v>
      </c>
      <c r="R453" t="s">
        <v>48</v>
      </c>
      <c r="T453" t="s">
        <v>36</v>
      </c>
      <c r="U453" t="s">
        <v>36</v>
      </c>
      <c r="V453" t="s">
        <v>36</v>
      </c>
      <c r="W453">
        <v>4000</v>
      </c>
      <c r="X453" t="s">
        <v>49</v>
      </c>
      <c r="Y453" t="s">
        <v>50</v>
      </c>
      <c r="Z453" t="s">
        <v>51</v>
      </c>
      <c r="AA453" t="s">
        <v>37</v>
      </c>
      <c r="AB453" t="s">
        <v>52</v>
      </c>
      <c r="AC453" t="s">
        <v>53</v>
      </c>
      <c r="AD453" t="s">
        <v>54</v>
      </c>
      <c r="AE453">
        <v>8.6478549299999994</v>
      </c>
      <c r="AF453">
        <v>1535</v>
      </c>
      <c r="AG453">
        <v>1535.0935940899999</v>
      </c>
      <c r="AH453">
        <v>86479.945148700004</v>
      </c>
      <c r="AI453">
        <v>57</v>
      </c>
      <c r="AJ453">
        <v>46039.841608371396</v>
      </c>
      <c r="AK453" s="1">
        <f>intersection_ss_Lden___surface[[#This Row],[surf m2 bout ss]]/intersection_ss_Lden___surface[[#This Row],[Shape_Area]]</f>
        <v>0.53237593443436038</v>
      </c>
      <c r="AL453">
        <v>983</v>
      </c>
      <c r="AM453">
        <f>intersection_ss_Lden___surface[[#This Row],[Population totale 2024 ss]]*intersection_ss_Lden___surface[[#This Row],[Part de la surface du qs dans le noise contour]]</f>
        <v>523.32554354897627</v>
      </c>
    </row>
    <row r="454" spans="1:39" x14ac:dyDescent="0.3">
      <c r="A454">
        <v>484</v>
      </c>
      <c r="B454" t="s">
        <v>683</v>
      </c>
      <c r="C454" t="s">
        <v>684</v>
      </c>
      <c r="D454" t="s">
        <v>685</v>
      </c>
      <c r="E454" t="s">
        <v>685</v>
      </c>
      <c r="F454" t="s">
        <v>680</v>
      </c>
      <c r="G454" t="s">
        <v>621</v>
      </c>
      <c r="H454" t="s">
        <v>622</v>
      </c>
      <c r="I454" t="s">
        <v>622</v>
      </c>
      <c r="J454" t="s">
        <v>36</v>
      </c>
      <c r="K454">
        <v>21006</v>
      </c>
      <c r="L454" t="s">
        <v>623</v>
      </c>
      <c r="M454" t="s">
        <v>623</v>
      </c>
      <c r="N454" t="s">
        <v>623</v>
      </c>
      <c r="O454">
        <v>21000</v>
      </c>
      <c r="P454" t="s">
        <v>46</v>
      </c>
      <c r="Q454" t="s">
        <v>47</v>
      </c>
      <c r="R454" t="s">
        <v>48</v>
      </c>
      <c r="T454" t="s">
        <v>36</v>
      </c>
      <c r="U454" t="s">
        <v>36</v>
      </c>
      <c r="V454" t="s">
        <v>36</v>
      </c>
      <c r="W454">
        <v>4000</v>
      </c>
      <c r="X454" t="s">
        <v>49</v>
      </c>
      <c r="Y454" t="s">
        <v>50</v>
      </c>
      <c r="Z454" t="s">
        <v>51</v>
      </c>
      <c r="AA454" t="s">
        <v>37</v>
      </c>
      <c r="AB454" t="s">
        <v>52</v>
      </c>
      <c r="AC454" t="s">
        <v>53</v>
      </c>
      <c r="AD454" t="s">
        <v>54</v>
      </c>
      <c r="AE454">
        <v>33.561404000700001</v>
      </c>
      <c r="AF454">
        <v>2827</v>
      </c>
      <c r="AG454">
        <v>2827.11879813</v>
      </c>
      <c r="AH454">
        <v>335619.44981899997</v>
      </c>
      <c r="AI454">
        <v>56</v>
      </c>
      <c r="AJ454">
        <v>31393.911995411901</v>
      </c>
      <c r="AK454" s="1">
        <f>intersection_ss_Lden___surface[[#This Row],[surf m2 bout ss]]/intersection_ss_Lden___surface[[#This Row],[Shape_Area]]</f>
        <v>9.3540204574981217E-2</v>
      </c>
      <c r="AL454">
        <v>178</v>
      </c>
      <c r="AM454">
        <f>intersection_ss_Lden___surface[[#This Row],[Population totale 2024 ss]]*intersection_ss_Lden___surface[[#This Row],[Part de la surface du qs dans le noise contour]]</f>
        <v>16.650156414346657</v>
      </c>
    </row>
    <row r="455" spans="1:39" x14ac:dyDescent="0.3">
      <c r="A455">
        <v>485</v>
      </c>
      <c r="B455" t="s">
        <v>683</v>
      </c>
      <c r="C455" t="s">
        <v>684</v>
      </c>
      <c r="D455" t="s">
        <v>685</v>
      </c>
      <c r="E455" t="s">
        <v>685</v>
      </c>
      <c r="F455" t="s">
        <v>680</v>
      </c>
      <c r="G455" t="s">
        <v>621</v>
      </c>
      <c r="H455" t="s">
        <v>622</v>
      </c>
      <c r="I455" t="s">
        <v>622</v>
      </c>
      <c r="J455" t="s">
        <v>36</v>
      </c>
      <c r="K455">
        <v>21006</v>
      </c>
      <c r="L455" t="s">
        <v>623</v>
      </c>
      <c r="M455" t="s">
        <v>623</v>
      </c>
      <c r="N455" t="s">
        <v>623</v>
      </c>
      <c r="O455">
        <v>21000</v>
      </c>
      <c r="P455" t="s">
        <v>46</v>
      </c>
      <c r="Q455" t="s">
        <v>47</v>
      </c>
      <c r="R455" t="s">
        <v>48</v>
      </c>
      <c r="T455" t="s">
        <v>36</v>
      </c>
      <c r="U455" t="s">
        <v>36</v>
      </c>
      <c r="V455" t="s">
        <v>36</v>
      </c>
      <c r="W455">
        <v>4000</v>
      </c>
      <c r="X455" t="s">
        <v>49</v>
      </c>
      <c r="Y455" t="s">
        <v>50</v>
      </c>
      <c r="Z455" t="s">
        <v>51</v>
      </c>
      <c r="AA455" t="s">
        <v>37</v>
      </c>
      <c r="AB455" t="s">
        <v>52</v>
      </c>
      <c r="AC455" t="s">
        <v>53</v>
      </c>
      <c r="AD455" t="s">
        <v>54</v>
      </c>
      <c r="AE455">
        <v>33.561404000700001</v>
      </c>
      <c r="AF455">
        <v>2827</v>
      </c>
      <c r="AG455">
        <v>2827.11879813</v>
      </c>
      <c r="AH455">
        <v>335619.44981899997</v>
      </c>
      <c r="AI455">
        <v>57</v>
      </c>
      <c r="AJ455">
        <v>273292.55670483602</v>
      </c>
      <c r="AK455" s="1">
        <f>intersection_ss_Lden___surface[[#This Row],[surf m2 bout ss]]/intersection_ss_Lden___surface[[#This Row],[Shape_Area]]</f>
        <v>0.81429296440424737</v>
      </c>
      <c r="AL455">
        <v>178</v>
      </c>
      <c r="AM455">
        <f>intersection_ss_Lden___surface[[#This Row],[Population totale 2024 ss]]*intersection_ss_Lden___surface[[#This Row],[Part de la surface du qs dans le noise contour]]</f>
        <v>144.94414766395604</v>
      </c>
    </row>
    <row r="456" spans="1:39" x14ac:dyDescent="0.3">
      <c r="A456">
        <v>486</v>
      </c>
      <c r="B456" t="s">
        <v>683</v>
      </c>
      <c r="C456" t="s">
        <v>684</v>
      </c>
      <c r="D456" t="s">
        <v>685</v>
      </c>
      <c r="E456" t="s">
        <v>685</v>
      </c>
      <c r="F456" t="s">
        <v>680</v>
      </c>
      <c r="G456" t="s">
        <v>621</v>
      </c>
      <c r="H456" t="s">
        <v>622</v>
      </c>
      <c r="I456" t="s">
        <v>622</v>
      </c>
      <c r="J456" t="s">
        <v>36</v>
      </c>
      <c r="K456">
        <v>21006</v>
      </c>
      <c r="L456" t="s">
        <v>623</v>
      </c>
      <c r="M456" t="s">
        <v>623</v>
      </c>
      <c r="N456" t="s">
        <v>623</v>
      </c>
      <c r="O456">
        <v>21000</v>
      </c>
      <c r="P456" t="s">
        <v>46</v>
      </c>
      <c r="Q456" t="s">
        <v>47</v>
      </c>
      <c r="R456" t="s">
        <v>48</v>
      </c>
      <c r="T456" t="s">
        <v>36</v>
      </c>
      <c r="U456" t="s">
        <v>36</v>
      </c>
      <c r="V456" t="s">
        <v>36</v>
      </c>
      <c r="W456">
        <v>4000</v>
      </c>
      <c r="X456" t="s">
        <v>49</v>
      </c>
      <c r="Y456" t="s">
        <v>50</v>
      </c>
      <c r="Z456" t="s">
        <v>51</v>
      </c>
      <c r="AA456" t="s">
        <v>37</v>
      </c>
      <c r="AB456" t="s">
        <v>52</v>
      </c>
      <c r="AC456" t="s">
        <v>53</v>
      </c>
      <c r="AD456" t="s">
        <v>54</v>
      </c>
      <c r="AE456">
        <v>33.561404000700001</v>
      </c>
      <c r="AF456">
        <v>2827</v>
      </c>
      <c r="AG456">
        <v>2827.11879813</v>
      </c>
      <c r="AH456">
        <v>335619.44981899997</v>
      </c>
      <c r="AI456">
        <v>58</v>
      </c>
      <c r="AJ456">
        <v>30964.070735047098</v>
      </c>
      <c r="AK456" s="1">
        <f>intersection_ss_Lden___surface[[#This Row],[surf m2 bout ss]]/intersection_ss_Lden___surface[[#This Row],[Shape_Area]]</f>
        <v>9.2259464556497139E-2</v>
      </c>
      <c r="AL456">
        <v>178</v>
      </c>
      <c r="AM456">
        <f>intersection_ss_Lden___surface[[#This Row],[Population totale 2024 ss]]*intersection_ss_Lden___surface[[#This Row],[Part de la surface du qs dans le noise contour]]</f>
        <v>16.42218469105649</v>
      </c>
    </row>
    <row r="457" spans="1:39" x14ac:dyDescent="0.3">
      <c r="A457">
        <v>487</v>
      </c>
      <c r="B457" t="s">
        <v>686</v>
      </c>
      <c r="C457" t="s">
        <v>687</v>
      </c>
      <c r="D457" t="s">
        <v>688</v>
      </c>
      <c r="E457" t="s">
        <v>688</v>
      </c>
      <c r="F457" t="s">
        <v>689</v>
      </c>
      <c r="G457" t="s">
        <v>621</v>
      </c>
      <c r="H457" t="s">
        <v>622</v>
      </c>
      <c r="I457" t="s">
        <v>622</v>
      </c>
      <c r="J457" t="s">
        <v>36</v>
      </c>
      <c r="K457">
        <v>21006</v>
      </c>
      <c r="L457" t="s">
        <v>623</v>
      </c>
      <c r="M457" t="s">
        <v>623</v>
      </c>
      <c r="N457" t="s">
        <v>623</v>
      </c>
      <c r="O457">
        <v>21000</v>
      </c>
      <c r="P457" t="s">
        <v>46</v>
      </c>
      <c r="Q457" t="s">
        <v>47</v>
      </c>
      <c r="R457" t="s">
        <v>48</v>
      </c>
      <c r="T457" t="s">
        <v>36</v>
      </c>
      <c r="U457" t="s">
        <v>36</v>
      </c>
      <c r="V457" t="s">
        <v>36</v>
      </c>
      <c r="W457">
        <v>4000</v>
      </c>
      <c r="X457" t="s">
        <v>49</v>
      </c>
      <c r="Y457" t="s">
        <v>50</v>
      </c>
      <c r="Z457" t="s">
        <v>51</v>
      </c>
      <c r="AA457" t="s">
        <v>37</v>
      </c>
      <c r="AB457" t="s">
        <v>52</v>
      </c>
      <c r="AC457" t="s">
        <v>53</v>
      </c>
      <c r="AD457" t="s">
        <v>54</v>
      </c>
      <c r="AE457">
        <v>9.4270228723800003</v>
      </c>
      <c r="AF457">
        <v>1932</v>
      </c>
      <c r="AG457">
        <v>1932.4788979499999</v>
      </c>
      <c r="AH457">
        <v>94271.740273599993</v>
      </c>
      <c r="AI457">
        <v>53</v>
      </c>
      <c r="AJ457">
        <v>11708.300673535099</v>
      </c>
      <c r="AK457" s="1">
        <f>intersection_ss_Lden___surface[[#This Row],[surf m2 bout ss]]/intersection_ss_Lden___surface[[#This Row],[Shape_Area]]</f>
        <v>0.12419735373034065</v>
      </c>
      <c r="AL457">
        <v>1824</v>
      </c>
      <c r="AM457">
        <f>intersection_ss_Lden___surface[[#This Row],[Population totale 2024 ss]]*intersection_ss_Lden___surface[[#This Row],[Part de la surface du qs dans le noise contour]]</f>
        <v>226.53597320414133</v>
      </c>
    </row>
    <row r="458" spans="1:39" x14ac:dyDescent="0.3">
      <c r="A458">
        <v>488</v>
      </c>
      <c r="B458" t="s">
        <v>686</v>
      </c>
      <c r="C458" t="s">
        <v>687</v>
      </c>
      <c r="D458" t="s">
        <v>688</v>
      </c>
      <c r="E458" t="s">
        <v>688</v>
      </c>
      <c r="F458" t="s">
        <v>689</v>
      </c>
      <c r="G458" t="s">
        <v>621</v>
      </c>
      <c r="H458" t="s">
        <v>622</v>
      </c>
      <c r="I458" t="s">
        <v>622</v>
      </c>
      <c r="J458" t="s">
        <v>36</v>
      </c>
      <c r="K458">
        <v>21006</v>
      </c>
      <c r="L458" t="s">
        <v>623</v>
      </c>
      <c r="M458" t="s">
        <v>623</v>
      </c>
      <c r="N458" t="s">
        <v>623</v>
      </c>
      <c r="O458">
        <v>21000</v>
      </c>
      <c r="P458" t="s">
        <v>46</v>
      </c>
      <c r="Q458" t="s">
        <v>47</v>
      </c>
      <c r="R458" t="s">
        <v>48</v>
      </c>
      <c r="T458" t="s">
        <v>36</v>
      </c>
      <c r="U458" t="s">
        <v>36</v>
      </c>
      <c r="V458" t="s">
        <v>36</v>
      </c>
      <c r="W458">
        <v>4000</v>
      </c>
      <c r="X458" t="s">
        <v>49</v>
      </c>
      <c r="Y458" t="s">
        <v>50</v>
      </c>
      <c r="Z458" t="s">
        <v>51</v>
      </c>
      <c r="AA458" t="s">
        <v>37</v>
      </c>
      <c r="AB458" t="s">
        <v>52</v>
      </c>
      <c r="AC458" t="s">
        <v>53</v>
      </c>
      <c r="AD458" t="s">
        <v>54</v>
      </c>
      <c r="AE458">
        <v>9.4270228723800003</v>
      </c>
      <c r="AF458">
        <v>1932</v>
      </c>
      <c r="AG458">
        <v>1932.4788979499999</v>
      </c>
      <c r="AH458">
        <v>94271.740273599993</v>
      </c>
      <c r="AI458">
        <v>54</v>
      </c>
      <c r="AJ458">
        <v>80406.879785588695</v>
      </c>
      <c r="AK458" s="1">
        <f>intersection_ss_Lden___surface[[#This Row],[surf m2 bout ss]]/intersection_ss_Lden___surface[[#This Row],[Shape_Area]]</f>
        <v>0.8529266517434384</v>
      </c>
      <c r="AL458">
        <v>1824</v>
      </c>
      <c r="AM458">
        <f>intersection_ss_Lden___surface[[#This Row],[Population totale 2024 ss]]*intersection_ss_Lden___surface[[#This Row],[Part de la surface du qs dans le noise contour]]</f>
        <v>1555.7382127800317</v>
      </c>
    </row>
    <row r="459" spans="1:39" x14ac:dyDescent="0.3">
      <c r="A459">
        <v>489</v>
      </c>
      <c r="B459" t="s">
        <v>686</v>
      </c>
      <c r="C459" t="s">
        <v>687</v>
      </c>
      <c r="D459" t="s">
        <v>688</v>
      </c>
      <c r="E459" t="s">
        <v>688</v>
      </c>
      <c r="F459" t="s">
        <v>689</v>
      </c>
      <c r="G459" t="s">
        <v>621</v>
      </c>
      <c r="H459" t="s">
        <v>622</v>
      </c>
      <c r="I459" t="s">
        <v>622</v>
      </c>
      <c r="J459" t="s">
        <v>36</v>
      </c>
      <c r="K459">
        <v>21006</v>
      </c>
      <c r="L459" t="s">
        <v>623</v>
      </c>
      <c r="M459" t="s">
        <v>623</v>
      </c>
      <c r="N459" t="s">
        <v>623</v>
      </c>
      <c r="O459">
        <v>21000</v>
      </c>
      <c r="P459" t="s">
        <v>46</v>
      </c>
      <c r="Q459" t="s">
        <v>47</v>
      </c>
      <c r="R459" t="s">
        <v>48</v>
      </c>
      <c r="T459" t="s">
        <v>36</v>
      </c>
      <c r="U459" t="s">
        <v>36</v>
      </c>
      <c r="V459" t="s">
        <v>36</v>
      </c>
      <c r="W459">
        <v>4000</v>
      </c>
      <c r="X459" t="s">
        <v>49</v>
      </c>
      <c r="Y459" t="s">
        <v>50</v>
      </c>
      <c r="Z459" t="s">
        <v>51</v>
      </c>
      <c r="AA459" t="s">
        <v>37</v>
      </c>
      <c r="AB459" t="s">
        <v>52</v>
      </c>
      <c r="AC459" t="s">
        <v>53</v>
      </c>
      <c r="AD459" t="s">
        <v>54</v>
      </c>
      <c r="AE459">
        <v>9.4270228723800003</v>
      </c>
      <c r="AF459">
        <v>1932</v>
      </c>
      <c r="AG459">
        <v>1932.4788979499999</v>
      </c>
      <c r="AH459">
        <v>94271.740273599993</v>
      </c>
      <c r="AI459">
        <v>55</v>
      </c>
      <c r="AJ459">
        <v>2165.5456316627101</v>
      </c>
      <c r="AK459" s="1">
        <f>intersection_ss_Lden___surface[[#This Row],[surf m2 bout ss]]/intersection_ss_Lden___surface[[#This Row],[Shape_Area]]</f>
        <v>2.2971312774939332E-2</v>
      </c>
      <c r="AL459">
        <v>1824</v>
      </c>
      <c r="AM459">
        <f>intersection_ss_Lden___surface[[#This Row],[Population totale 2024 ss]]*intersection_ss_Lden___surface[[#This Row],[Part de la surface du qs dans le noise contour]]</f>
        <v>41.899674501489343</v>
      </c>
    </row>
    <row r="460" spans="1:39" x14ac:dyDescent="0.3">
      <c r="A460">
        <v>490</v>
      </c>
      <c r="B460" t="s">
        <v>690</v>
      </c>
      <c r="C460" t="s">
        <v>691</v>
      </c>
      <c r="D460" t="s">
        <v>692</v>
      </c>
      <c r="E460" t="s">
        <v>692</v>
      </c>
      <c r="F460" t="s">
        <v>689</v>
      </c>
      <c r="G460" t="s">
        <v>621</v>
      </c>
      <c r="H460" t="s">
        <v>622</v>
      </c>
      <c r="I460" t="s">
        <v>622</v>
      </c>
      <c r="J460" t="s">
        <v>36</v>
      </c>
      <c r="K460">
        <v>21006</v>
      </c>
      <c r="L460" t="s">
        <v>623</v>
      </c>
      <c r="M460" t="s">
        <v>623</v>
      </c>
      <c r="N460" t="s">
        <v>623</v>
      </c>
      <c r="O460">
        <v>21000</v>
      </c>
      <c r="P460" t="s">
        <v>46</v>
      </c>
      <c r="Q460" t="s">
        <v>47</v>
      </c>
      <c r="R460" t="s">
        <v>48</v>
      </c>
      <c r="T460" t="s">
        <v>36</v>
      </c>
      <c r="U460" t="s">
        <v>36</v>
      </c>
      <c r="V460" t="s">
        <v>36</v>
      </c>
      <c r="W460">
        <v>4000</v>
      </c>
      <c r="X460" t="s">
        <v>49</v>
      </c>
      <c r="Y460" t="s">
        <v>50</v>
      </c>
      <c r="Z460" t="s">
        <v>51</v>
      </c>
      <c r="AA460" t="s">
        <v>37</v>
      </c>
      <c r="AB460" t="s">
        <v>52</v>
      </c>
      <c r="AC460" t="s">
        <v>53</v>
      </c>
      <c r="AD460" t="s">
        <v>54</v>
      </c>
      <c r="AE460">
        <v>24.636288072900001</v>
      </c>
      <c r="AF460">
        <v>2954</v>
      </c>
      <c r="AG460">
        <v>2954.16791917</v>
      </c>
      <c r="AH460">
        <v>246366.84708199999</v>
      </c>
      <c r="AI460">
        <v>52</v>
      </c>
      <c r="AJ460">
        <v>10581.862450844899</v>
      </c>
      <c r="AK460" s="1">
        <f>intersection_ss_Lden___surface[[#This Row],[surf m2 bout ss]]/intersection_ss_Lden___surface[[#This Row],[Shape_Area]]</f>
        <v>4.2951649445442081E-2</v>
      </c>
      <c r="AL460">
        <v>3459</v>
      </c>
      <c r="AM460">
        <f>intersection_ss_Lden___surface[[#This Row],[Population totale 2024 ss]]*intersection_ss_Lden___surface[[#This Row],[Part de la surface du qs dans le noise contour]]</f>
        <v>148.56975543178416</v>
      </c>
    </row>
    <row r="461" spans="1:39" x14ac:dyDescent="0.3">
      <c r="A461">
        <v>491</v>
      </c>
      <c r="B461" t="s">
        <v>690</v>
      </c>
      <c r="C461" t="s">
        <v>691</v>
      </c>
      <c r="D461" t="s">
        <v>692</v>
      </c>
      <c r="E461" t="s">
        <v>692</v>
      </c>
      <c r="F461" t="s">
        <v>689</v>
      </c>
      <c r="G461" t="s">
        <v>621</v>
      </c>
      <c r="H461" t="s">
        <v>622</v>
      </c>
      <c r="I461" t="s">
        <v>622</v>
      </c>
      <c r="J461" t="s">
        <v>36</v>
      </c>
      <c r="K461">
        <v>21006</v>
      </c>
      <c r="L461" t="s">
        <v>623</v>
      </c>
      <c r="M461" t="s">
        <v>623</v>
      </c>
      <c r="N461" t="s">
        <v>623</v>
      </c>
      <c r="O461">
        <v>21000</v>
      </c>
      <c r="P461" t="s">
        <v>46</v>
      </c>
      <c r="Q461" t="s">
        <v>47</v>
      </c>
      <c r="R461" t="s">
        <v>48</v>
      </c>
      <c r="T461" t="s">
        <v>36</v>
      </c>
      <c r="U461" t="s">
        <v>36</v>
      </c>
      <c r="V461" t="s">
        <v>36</v>
      </c>
      <c r="W461">
        <v>4000</v>
      </c>
      <c r="X461" t="s">
        <v>49</v>
      </c>
      <c r="Y461" t="s">
        <v>50</v>
      </c>
      <c r="Z461" t="s">
        <v>51</v>
      </c>
      <c r="AA461" t="s">
        <v>37</v>
      </c>
      <c r="AB461" t="s">
        <v>52</v>
      </c>
      <c r="AC461" t="s">
        <v>53</v>
      </c>
      <c r="AD461" t="s">
        <v>54</v>
      </c>
      <c r="AE461">
        <v>24.636288072900001</v>
      </c>
      <c r="AF461">
        <v>2954</v>
      </c>
      <c r="AG461">
        <v>2954.16791917</v>
      </c>
      <c r="AH461">
        <v>246366.84708199999</v>
      </c>
      <c r="AI461">
        <v>53</v>
      </c>
      <c r="AJ461">
        <v>109380.125409203</v>
      </c>
      <c r="AK461" s="1">
        <f>intersection_ss_Lden___surface[[#This Row],[surf m2 bout ss]]/intersection_ss_Lden___surface[[#This Row],[Shape_Area]]</f>
        <v>0.44397258277530033</v>
      </c>
      <c r="AL461">
        <v>3459</v>
      </c>
      <c r="AM461">
        <f>intersection_ss_Lden___surface[[#This Row],[Population totale 2024 ss]]*intersection_ss_Lden___surface[[#This Row],[Part de la surface du qs dans le noise contour]]</f>
        <v>1535.7011638197639</v>
      </c>
    </row>
    <row r="462" spans="1:39" x14ac:dyDescent="0.3">
      <c r="A462">
        <v>492</v>
      </c>
      <c r="B462" t="s">
        <v>690</v>
      </c>
      <c r="C462" t="s">
        <v>691</v>
      </c>
      <c r="D462" t="s">
        <v>692</v>
      </c>
      <c r="E462" t="s">
        <v>692</v>
      </c>
      <c r="F462" t="s">
        <v>689</v>
      </c>
      <c r="G462" t="s">
        <v>621</v>
      </c>
      <c r="H462" t="s">
        <v>622</v>
      </c>
      <c r="I462" t="s">
        <v>622</v>
      </c>
      <c r="J462" t="s">
        <v>36</v>
      </c>
      <c r="K462">
        <v>21006</v>
      </c>
      <c r="L462" t="s">
        <v>623</v>
      </c>
      <c r="M462" t="s">
        <v>623</v>
      </c>
      <c r="N462" t="s">
        <v>623</v>
      </c>
      <c r="O462">
        <v>21000</v>
      </c>
      <c r="P462" t="s">
        <v>46</v>
      </c>
      <c r="Q462" t="s">
        <v>47</v>
      </c>
      <c r="R462" t="s">
        <v>48</v>
      </c>
      <c r="T462" t="s">
        <v>36</v>
      </c>
      <c r="U462" t="s">
        <v>36</v>
      </c>
      <c r="V462" t="s">
        <v>36</v>
      </c>
      <c r="W462">
        <v>4000</v>
      </c>
      <c r="X462" t="s">
        <v>49</v>
      </c>
      <c r="Y462" t="s">
        <v>50</v>
      </c>
      <c r="Z462" t="s">
        <v>51</v>
      </c>
      <c r="AA462" t="s">
        <v>37</v>
      </c>
      <c r="AB462" t="s">
        <v>52</v>
      </c>
      <c r="AC462" t="s">
        <v>53</v>
      </c>
      <c r="AD462" t="s">
        <v>54</v>
      </c>
      <c r="AE462">
        <v>24.636288072900001</v>
      </c>
      <c r="AF462">
        <v>2954</v>
      </c>
      <c r="AG462">
        <v>2954.16791917</v>
      </c>
      <c r="AH462">
        <v>246366.84708199999</v>
      </c>
      <c r="AI462">
        <v>54</v>
      </c>
      <c r="AJ462">
        <v>121517.66060222501</v>
      </c>
      <c r="AK462" s="1">
        <f>intersection_ss_Lden___surface[[#This Row],[surf m2 bout ss]]/intersection_ss_Lden___surface[[#This Row],[Shape_Area]]</f>
        <v>0.49323868873387594</v>
      </c>
      <c r="AL462">
        <v>3459</v>
      </c>
      <c r="AM462">
        <f>intersection_ss_Lden___surface[[#This Row],[Population totale 2024 ss]]*intersection_ss_Lden___surface[[#This Row],[Part de la surface du qs dans le noise contour]]</f>
        <v>1706.1126243304768</v>
      </c>
    </row>
    <row r="463" spans="1:39" x14ac:dyDescent="0.3">
      <c r="A463">
        <v>493</v>
      </c>
      <c r="B463" t="s">
        <v>690</v>
      </c>
      <c r="C463" t="s">
        <v>691</v>
      </c>
      <c r="D463" t="s">
        <v>692</v>
      </c>
      <c r="E463" t="s">
        <v>692</v>
      </c>
      <c r="F463" t="s">
        <v>689</v>
      </c>
      <c r="G463" t="s">
        <v>621</v>
      </c>
      <c r="H463" t="s">
        <v>622</v>
      </c>
      <c r="I463" t="s">
        <v>622</v>
      </c>
      <c r="J463" t="s">
        <v>36</v>
      </c>
      <c r="K463">
        <v>21006</v>
      </c>
      <c r="L463" t="s">
        <v>623</v>
      </c>
      <c r="M463" t="s">
        <v>623</v>
      </c>
      <c r="N463" t="s">
        <v>623</v>
      </c>
      <c r="O463">
        <v>21000</v>
      </c>
      <c r="P463" t="s">
        <v>46</v>
      </c>
      <c r="Q463" t="s">
        <v>47</v>
      </c>
      <c r="R463" t="s">
        <v>48</v>
      </c>
      <c r="T463" t="s">
        <v>36</v>
      </c>
      <c r="U463" t="s">
        <v>36</v>
      </c>
      <c r="V463" t="s">
        <v>36</v>
      </c>
      <c r="W463">
        <v>4000</v>
      </c>
      <c r="X463" t="s">
        <v>49</v>
      </c>
      <c r="Y463" t="s">
        <v>50</v>
      </c>
      <c r="Z463" t="s">
        <v>51</v>
      </c>
      <c r="AA463" t="s">
        <v>37</v>
      </c>
      <c r="AB463" t="s">
        <v>52</v>
      </c>
      <c r="AC463" t="s">
        <v>53</v>
      </c>
      <c r="AD463" t="s">
        <v>54</v>
      </c>
      <c r="AE463">
        <v>24.636288072900001</v>
      </c>
      <c r="AF463">
        <v>2954</v>
      </c>
      <c r="AG463">
        <v>2954.16791917</v>
      </c>
      <c r="AH463">
        <v>246366.84708199999</v>
      </c>
      <c r="AI463">
        <v>55</v>
      </c>
      <c r="AJ463">
        <v>4910.5543617308103</v>
      </c>
      <c r="AK463" s="1">
        <f>intersection_ss_Lden___surface[[#This Row],[surf m2 bout ss]]/intersection_ss_Lden___surface[[#This Row],[Shape_Area]]</f>
        <v>1.9931879714710138E-2</v>
      </c>
      <c r="AL463">
        <v>3459</v>
      </c>
      <c r="AM463">
        <f>intersection_ss_Lden___surface[[#This Row],[Population totale 2024 ss]]*intersection_ss_Lden___surface[[#This Row],[Part de la surface du qs dans le noise contour]]</f>
        <v>68.944371933182367</v>
      </c>
    </row>
    <row r="464" spans="1:39" x14ac:dyDescent="0.3">
      <c r="A464">
        <v>494</v>
      </c>
      <c r="B464" t="s">
        <v>693</v>
      </c>
      <c r="C464" t="s">
        <v>694</v>
      </c>
      <c r="D464" t="s">
        <v>695</v>
      </c>
      <c r="E464" t="s">
        <v>695</v>
      </c>
      <c r="F464" t="s">
        <v>689</v>
      </c>
      <c r="G464" t="s">
        <v>621</v>
      </c>
      <c r="H464" t="s">
        <v>622</v>
      </c>
      <c r="I464" t="s">
        <v>622</v>
      </c>
      <c r="J464" t="s">
        <v>36</v>
      </c>
      <c r="K464">
        <v>21006</v>
      </c>
      <c r="L464" t="s">
        <v>623</v>
      </c>
      <c r="M464" t="s">
        <v>623</v>
      </c>
      <c r="N464" t="s">
        <v>623</v>
      </c>
      <c r="O464">
        <v>21000</v>
      </c>
      <c r="P464" t="s">
        <v>46</v>
      </c>
      <c r="Q464" t="s">
        <v>47</v>
      </c>
      <c r="R464" t="s">
        <v>48</v>
      </c>
      <c r="T464" t="s">
        <v>36</v>
      </c>
      <c r="U464" t="s">
        <v>36</v>
      </c>
      <c r="V464" t="s">
        <v>36</v>
      </c>
      <c r="W464">
        <v>4000</v>
      </c>
      <c r="X464" t="s">
        <v>49</v>
      </c>
      <c r="Y464" t="s">
        <v>50</v>
      </c>
      <c r="Z464" t="s">
        <v>51</v>
      </c>
      <c r="AA464" t="s">
        <v>37</v>
      </c>
      <c r="AB464" t="s">
        <v>52</v>
      </c>
      <c r="AC464" t="s">
        <v>53</v>
      </c>
      <c r="AD464" t="s">
        <v>54</v>
      </c>
      <c r="AE464">
        <v>15.7903915589</v>
      </c>
      <c r="AF464">
        <v>2071</v>
      </c>
      <c r="AG464">
        <v>2071.4740983299998</v>
      </c>
      <c r="AH464">
        <v>157906.45212900001</v>
      </c>
      <c r="AI464">
        <v>53</v>
      </c>
      <c r="AJ464">
        <v>7554.5801546038101</v>
      </c>
      <c r="AK464" s="1">
        <f>intersection_ss_Lden___surface[[#This Row],[surf m2 bout ss]]/intersection_ss_Lden___surface[[#This Row],[Shape_Area]]</f>
        <v>4.7842124579128502E-2</v>
      </c>
      <c r="AL464">
        <v>1533</v>
      </c>
      <c r="AM464">
        <f>intersection_ss_Lden___surface[[#This Row],[Population totale 2024 ss]]*intersection_ss_Lden___surface[[#This Row],[Part de la surface du qs dans le noise contour]]</f>
        <v>73.341976979803988</v>
      </c>
    </row>
    <row r="465" spans="1:39" x14ac:dyDescent="0.3">
      <c r="A465">
        <v>495</v>
      </c>
      <c r="B465" t="s">
        <v>693</v>
      </c>
      <c r="C465" t="s">
        <v>694</v>
      </c>
      <c r="D465" t="s">
        <v>695</v>
      </c>
      <c r="E465" t="s">
        <v>695</v>
      </c>
      <c r="F465" t="s">
        <v>689</v>
      </c>
      <c r="G465" t="s">
        <v>621</v>
      </c>
      <c r="H465" t="s">
        <v>622</v>
      </c>
      <c r="I465" t="s">
        <v>622</v>
      </c>
      <c r="J465" t="s">
        <v>36</v>
      </c>
      <c r="K465">
        <v>21006</v>
      </c>
      <c r="L465" t="s">
        <v>623</v>
      </c>
      <c r="M465" t="s">
        <v>623</v>
      </c>
      <c r="N465" t="s">
        <v>623</v>
      </c>
      <c r="O465">
        <v>21000</v>
      </c>
      <c r="P465" t="s">
        <v>46</v>
      </c>
      <c r="Q465" t="s">
        <v>47</v>
      </c>
      <c r="R465" t="s">
        <v>48</v>
      </c>
      <c r="T465" t="s">
        <v>36</v>
      </c>
      <c r="U465" t="s">
        <v>36</v>
      </c>
      <c r="V465" t="s">
        <v>36</v>
      </c>
      <c r="W465">
        <v>4000</v>
      </c>
      <c r="X465" t="s">
        <v>49</v>
      </c>
      <c r="Y465" t="s">
        <v>50</v>
      </c>
      <c r="Z465" t="s">
        <v>51</v>
      </c>
      <c r="AA465" t="s">
        <v>37</v>
      </c>
      <c r="AB465" t="s">
        <v>52</v>
      </c>
      <c r="AC465" t="s">
        <v>53</v>
      </c>
      <c r="AD465" t="s">
        <v>54</v>
      </c>
      <c r="AE465">
        <v>15.7903915589</v>
      </c>
      <c r="AF465">
        <v>2071</v>
      </c>
      <c r="AG465">
        <v>2071.4740983299998</v>
      </c>
      <c r="AH465">
        <v>157906.45212900001</v>
      </c>
      <c r="AI465">
        <v>54</v>
      </c>
      <c r="AJ465">
        <v>150366.989562884</v>
      </c>
      <c r="AK465" s="1">
        <f>intersection_ss_Lden___surface[[#This Row],[surf m2 bout ss]]/intersection_ss_Lden___surface[[#This Row],[Shape_Area]]</f>
        <v>0.95225361304453393</v>
      </c>
      <c r="AL465">
        <v>1533</v>
      </c>
      <c r="AM465">
        <f>intersection_ss_Lden___surface[[#This Row],[Population totale 2024 ss]]*intersection_ss_Lden___surface[[#This Row],[Part de la surface du qs dans le noise contour]]</f>
        <v>1459.8047887972705</v>
      </c>
    </row>
    <row r="466" spans="1:39" x14ac:dyDescent="0.3">
      <c r="A466">
        <v>496</v>
      </c>
      <c r="B466" t="s">
        <v>696</v>
      </c>
      <c r="C466" t="s">
        <v>697</v>
      </c>
      <c r="D466" t="s">
        <v>698</v>
      </c>
      <c r="E466" t="s">
        <v>698</v>
      </c>
      <c r="F466" t="s">
        <v>689</v>
      </c>
      <c r="G466" t="s">
        <v>621</v>
      </c>
      <c r="H466" t="s">
        <v>622</v>
      </c>
      <c r="I466" t="s">
        <v>622</v>
      </c>
      <c r="J466" t="s">
        <v>36</v>
      </c>
      <c r="K466">
        <v>21006</v>
      </c>
      <c r="L466" t="s">
        <v>623</v>
      </c>
      <c r="M466" t="s">
        <v>623</v>
      </c>
      <c r="N466" t="s">
        <v>623</v>
      </c>
      <c r="O466">
        <v>21000</v>
      </c>
      <c r="P466" t="s">
        <v>46</v>
      </c>
      <c r="Q466" t="s">
        <v>47</v>
      </c>
      <c r="R466" t="s">
        <v>48</v>
      </c>
      <c r="T466" t="s">
        <v>36</v>
      </c>
      <c r="U466" t="s">
        <v>36</v>
      </c>
      <c r="V466" t="s">
        <v>36</v>
      </c>
      <c r="W466">
        <v>4000</v>
      </c>
      <c r="X466" t="s">
        <v>49</v>
      </c>
      <c r="Y466" t="s">
        <v>50</v>
      </c>
      <c r="Z466" t="s">
        <v>51</v>
      </c>
      <c r="AA466" t="s">
        <v>37</v>
      </c>
      <c r="AB466" t="s">
        <v>52</v>
      </c>
      <c r="AC466" t="s">
        <v>53</v>
      </c>
      <c r="AD466" t="s">
        <v>54</v>
      </c>
      <c r="AE466">
        <v>49.062508416999997</v>
      </c>
      <c r="AF466">
        <v>3262</v>
      </c>
      <c r="AG466">
        <v>3261.5878196600002</v>
      </c>
      <c r="AH466">
        <v>490632.96187499998</v>
      </c>
      <c r="AI466">
        <v>55</v>
      </c>
      <c r="AJ466">
        <v>258180.29631908101</v>
      </c>
      <c r="AK466" s="1">
        <f>intersection_ss_Lden___surface[[#This Row],[surf m2 bout ss]]/intersection_ss_Lden___surface[[#This Row],[Shape_Area]]</f>
        <v>0.5262188160624609</v>
      </c>
      <c r="AL466">
        <v>22</v>
      </c>
      <c r="AM466">
        <f>intersection_ss_Lden___surface[[#This Row],[Population totale 2024 ss]]*intersection_ss_Lden___surface[[#This Row],[Part de la surface du qs dans le noise contour]]</f>
        <v>11.57681395337414</v>
      </c>
    </row>
    <row r="467" spans="1:39" x14ac:dyDescent="0.3">
      <c r="A467">
        <v>497</v>
      </c>
      <c r="B467" t="s">
        <v>696</v>
      </c>
      <c r="C467" t="s">
        <v>697</v>
      </c>
      <c r="D467" t="s">
        <v>698</v>
      </c>
      <c r="E467" t="s">
        <v>698</v>
      </c>
      <c r="F467" t="s">
        <v>689</v>
      </c>
      <c r="G467" t="s">
        <v>621</v>
      </c>
      <c r="H467" t="s">
        <v>622</v>
      </c>
      <c r="I467" t="s">
        <v>622</v>
      </c>
      <c r="J467" t="s">
        <v>36</v>
      </c>
      <c r="K467">
        <v>21006</v>
      </c>
      <c r="L467" t="s">
        <v>623</v>
      </c>
      <c r="M467" t="s">
        <v>623</v>
      </c>
      <c r="N467" t="s">
        <v>623</v>
      </c>
      <c r="O467">
        <v>21000</v>
      </c>
      <c r="P467" t="s">
        <v>46</v>
      </c>
      <c r="Q467" t="s">
        <v>47</v>
      </c>
      <c r="R467" t="s">
        <v>48</v>
      </c>
      <c r="T467" t="s">
        <v>36</v>
      </c>
      <c r="U467" t="s">
        <v>36</v>
      </c>
      <c r="V467" t="s">
        <v>36</v>
      </c>
      <c r="W467">
        <v>4000</v>
      </c>
      <c r="X467" t="s">
        <v>49</v>
      </c>
      <c r="Y467" t="s">
        <v>50</v>
      </c>
      <c r="Z467" t="s">
        <v>51</v>
      </c>
      <c r="AA467" t="s">
        <v>37</v>
      </c>
      <c r="AB467" t="s">
        <v>52</v>
      </c>
      <c r="AC467" t="s">
        <v>53</v>
      </c>
      <c r="AD467" t="s">
        <v>54</v>
      </c>
      <c r="AE467">
        <v>49.062508416999997</v>
      </c>
      <c r="AF467">
        <v>3262</v>
      </c>
      <c r="AG467">
        <v>3261.5878196600002</v>
      </c>
      <c r="AH467">
        <v>490632.96187499998</v>
      </c>
      <c r="AI467">
        <v>56</v>
      </c>
      <c r="AJ467">
        <v>232498.74967019801</v>
      </c>
      <c r="AK467" s="1">
        <f>intersection_ss_Lden___surface[[#This Row],[surf m2 bout ss]]/intersection_ss_Lden___surface[[#This Row],[Shape_Area]]</f>
        <v>0.47387511181817499</v>
      </c>
      <c r="AL467">
        <v>22</v>
      </c>
      <c r="AM467">
        <f>intersection_ss_Lden___surface[[#This Row],[Population totale 2024 ss]]*intersection_ss_Lden___surface[[#This Row],[Part de la surface du qs dans le noise contour]]</f>
        <v>10.42525245999985</v>
      </c>
    </row>
    <row r="468" spans="1:39" x14ac:dyDescent="0.3">
      <c r="A468">
        <v>498</v>
      </c>
      <c r="B468" t="s">
        <v>699</v>
      </c>
      <c r="C468" t="s">
        <v>700</v>
      </c>
      <c r="D468" t="s">
        <v>700</v>
      </c>
      <c r="E468" t="s">
        <v>700</v>
      </c>
      <c r="F468" t="s">
        <v>701</v>
      </c>
      <c r="G468" t="s">
        <v>621</v>
      </c>
      <c r="H468" t="s">
        <v>622</v>
      </c>
      <c r="I468" t="s">
        <v>622</v>
      </c>
      <c r="J468" t="s">
        <v>36</v>
      </c>
      <c r="K468">
        <v>21006</v>
      </c>
      <c r="L468" t="s">
        <v>623</v>
      </c>
      <c r="M468" t="s">
        <v>623</v>
      </c>
      <c r="N468" t="s">
        <v>623</v>
      </c>
      <c r="O468">
        <v>21000</v>
      </c>
      <c r="P468" t="s">
        <v>46</v>
      </c>
      <c r="Q468" t="s">
        <v>47</v>
      </c>
      <c r="R468" t="s">
        <v>48</v>
      </c>
      <c r="T468" t="s">
        <v>36</v>
      </c>
      <c r="U468" t="s">
        <v>36</v>
      </c>
      <c r="V468" t="s">
        <v>36</v>
      </c>
      <c r="W468">
        <v>4000</v>
      </c>
      <c r="X468" t="s">
        <v>49</v>
      </c>
      <c r="Y468" t="s">
        <v>50</v>
      </c>
      <c r="Z468" t="s">
        <v>51</v>
      </c>
      <c r="AA468" t="s">
        <v>37</v>
      </c>
      <c r="AB468" t="s">
        <v>52</v>
      </c>
      <c r="AC468" t="s">
        <v>53</v>
      </c>
      <c r="AD468" t="s">
        <v>54</v>
      </c>
      <c r="AE468">
        <v>13.041837878200001</v>
      </c>
      <c r="AF468">
        <v>1859</v>
      </c>
      <c r="AG468">
        <v>1859.23504144</v>
      </c>
      <c r="AH468">
        <v>130420.474696</v>
      </c>
      <c r="AI468">
        <v>53</v>
      </c>
      <c r="AJ468">
        <v>3851.1408394016298</v>
      </c>
      <c r="AK468" s="1">
        <f>intersection_ss_Lden___surface[[#This Row],[surf m2 bout ss]]/intersection_ss_Lden___surface[[#This Row],[Shape_Area]]</f>
        <v>2.9528652217976816E-2</v>
      </c>
      <c r="AL468">
        <v>1048</v>
      </c>
      <c r="AM468">
        <f>intersection_ss_Lden___surface[[#This Row],[Population totale 2024 ss]]*intersection_ss_Lden___surface[[#This Row],[Part de la surface du qs dans le noise contour]]</f>
        <v>30.946027524439703</v>
      </c>
    </row>
    <row r="469" spans="1:39" x14ac:dyDescent="0.3">
      <c r="A469">
        <v>499</v>
      </c>
      <c r="B469" t="s">
        <v>699</v>
      </c>
      <c r="C469" t="s">
        <v>700</v>
      </c>
      <c r="D469" t="s">
        <v>700</v>
      </c>
      <c r="E469" t="s">
        <v>700</v>
      </c>
      <c r="F469" t="s">
        <v>701</v>
      </c>
      <c r="G469" t="s">
        <v>621</v>
      </c>
      <c r="H469" t="s">
        <v>622</v>
      </c>
      <c r="I469" t="s">
        <v>622</v>
      </c>
      <c r="J469" t="s">
        <v>36</v>
      </c>
      <c r="K469">
        <v>21006</v>
      </c>
      <c r="L469" t="s">
        <v>623</v>
      </c>
      <c r="M469" t="s">
        <v>623</v>
      </c>
      <c r="N469" t="s">
        <v>623</v>
      </c>
      <c r="O469">
        <v>21000</v>
      </c>
      <c r="P469" t="s">
        <v>46</v>
      </c>
      <c r="Q469" t="s">
        <v>47</v>
      </c>
      <c r="R469" t="s">
        <v>48</v>
      </c>
      <c r="T469" t="s">
        <v>36</v>
      </c>
      <c r="U469" t="s">
        <v>36</v>
      </c>
      <c r="V469" t="s">
        <v>36</v>
      </c>
      <c r="W469">
        <v>4000</v>
      </c>
      <c r="X469" t="s">
        <v>49</v>
      </c>
      <c r="Y469" t="s">
        <v>50</v>
      </c>
      <c r="Z469" t="s">
        <v>51</v>
      </c>
      <c r="AA469" t="s">
        <v>37</v>
      </c>
      <c r="AB469" t="s">
        <v>52</v>
      </c>
      <c r="AC469" t="s">
        <v>53</v>
      </c>
      <c r="AD469" t="s">
        <v>54</v>
      </c>
      <c r="AE469">
        <v>13.041837878200001</v>
      </c>
      <c r="AF469">
        <v>1859</v>
      </c>
      <c r="AG469">
        <v>1859.23504144</v>
      </c>
      <c r="AH469">
        <v>130420.474696</v>
      </c>
      <c r="AI469">
        <v>54</v>
      </c>
      <c r="AJ469">
        <v>125382.739577245</v>
      </c>
      <c r="AK469" s="1">
        <f>intersection_ss_Lden___surface[[#This Row],[surf m2 bout ss]]/intersection_ss_Lden___surface[[#This Row],[Shape_Area]]</f>
        <v>0.96137312695343602</v>
      </c>
      <c r="AL469">
        <v>1048</v>
      </c>
      <c r="AM469">
        <f>intersection_ss_Lden___surface[[#This Row],[Population totale 2024 ss]]*intersection_ss_Lden___surface[[#This Row],[Part de la surface du qs dans le noise contour]]</f>
        <v>1007.519037047201</v>
      </c>
    </row>
    <row r="470" spans="1:39" x14ac:dyDescent="0.3">
      <c r="A470">
        <v>500</v>
      </c>
      <c r="B470" t="s">
        <v>699</v>
      </c>
      <c r="C470" t="s">
        <v>700</v>
      </c>
      <c r="D470" t="s">
        <v>700</v>
      </c>
      <c r="E470" t="s">
        <v>700</v>
      </c>
      <c r="F470" t="s">
        <v>701</v>
      </c>
      <c r="G470" t="s">
        <v>621</v>
      </c>
      <c r="H470" t="s">
        <v>622</v>
      </c>
      <c r="I470" t="s">
        <v>622</v>
      </c>
      <c r="J470" t="s">
        <v>36</v>
      </c>
      <c r="K470">
        <v>21006</v>
      </c>
      <c r="L470" t="s">
        <v>623</v>
      </c>
      <c r="M470" t="s">
        <v>623</v>
      </c>
      <c r="N470" t="s">
        <v>623</v>
      </c>
      <c r="O470">
        <v>21000</v>
      </c>
      <c r="P470" t="s">
        <v>46</v>
      </c>
      <c r="Q470" t="s">
        <v>47</v>
      </c>
      <c r="R470" t="s">
        <v>48</v>
      </c>
      <c r="T470" t="s">
        <v>36</v>
      </c>
      <c r="U470" t="s">
        <v>36</v>
      </c>
      <c r="V470" t="s">
        <v>36</v>
      </c>
      <c r="W470">
        <v>4000</v>
      </c>
      <c r="X470" t="s">
        <v>49</v>
      </c>
      <c r="Y470" t="s">
        <v>50</v>
      </c>
      <c r="Z470" t="s">
        <v>51</v>
      </c>
      <c r="AA470" t="s">
        <v>37</v>
      </c>
      <c r="AB470" t="s">
        <v>52</v>
      </c>
      <c r="AC470" t="s">
        <v>53</v>
      </c>
      <c r="AD470" t="s">
        <v>54</v>
      </c>
      <c r="AE470">
        <v>13.041837878200001</v>
      </c>
      <c r="AF470">
        <v>1859</v>
      </c>
      <c r="AG470">
        <v>1859.23504144</v>
      </c>
      <c r="AH470">
        <v>130420.474696</v>
      </c>
      <c r="AI470">
        <v>55</v>
      </c>
      <c r="AJ470">
        <v>1198.5237009637101</v>
      </c>
      <c r="AK470" s="1">
        <f>intersection_ss_Lden___surface[[#This Row],[surf m2 bout ss]]/intersection_ss_Lden___surface[[#This Row],[Shape_Area]]</f>
        <v>9.1896897611926029E-3</v>
      </c>
      <c r="AL470">
        <v>1048</v>
      </c>
      <c r="AM470">
        <f>intersection_ss_Lden___surface[[#This Row],[Population totale 2024 ss]]*intersection_ss_Lden___surface[[#This Row],[Part de la surface du qs dans le noise contour]]</f>
        <v>9.6307948697298471</v>
      </c>
    </row>
    <row r="471" spans="1:39" x14ac:dyDescent="0.3">
      <c r="A471">
        <v>501</v>
      </c>
      <c r="B471" t="s">
        <v>702</v>
      </c>
      <c r="C471" t="s">
        <v>703</v>
      </c>
      <c r="D471" t="s">
        <v>703</v>
      </c>
      <c r="E471" t="s">
        <v>703</v>
      </c>
      <c r="F471" t="s">
        <v>704</v>
      </c>
      <c r="G471" t="s">
        <v>705</v>
      </c>
      <c r="H471" t="s">
        <v>706</v>
      </c>
      <c r="I471" t="s">
        <v>707</v>
      </c>
      <c r="J471" t="s">
        <v>36</v>
      </c>
      <c r="K471">
        <v>21007</v>
      </c>
      <c r="L471" t="s">
        <v>708</v>
      </c>
      <c r="M471" t="s">
        <v>709</v>
      </c>
      <c r="N471" t="s">
        <v>709</v>
      </c>
      <c r="O471">
        <v>21000</v>
      </c>
      <c r="P471" t="s">
        <v>46</v>
      </c>
      <c r="Q471" t="s">
        <v>47</v>
      </c>
      <c r="R471" t="s">
        <v>48</v>
      </c>
      <c r="T471" t="s">
        <v>36</v>
      </c>
      <c r="U471" t="s">
        <v>36</v>
      </c>
      <c r="V471" t="s">
        <v>36</v>
      </c>
      <c r="W471">
        <v>4000</v>
      </c>
      <c r="X471" t="s">
        <v>49</v>
      </c>
      <c r="Y471" t="s">
        <v>50</v>
      </c>
      <c r="Z471" t="s">
        <v>51</v>
      </c>
      <c r="AA471" t="s">
        <v>37</v>
      </c>
      <c r="AB471" t="s">
        <v>52</v>
      </c>
      <c r="AC471" t="s">
        <v>53</v>
      </c>
      <c r="AD471" t="s">
        <v>54</v>
      </c>
      <c r="AE471">
        <v>124.99013341</v>
      </c>
      <c r="AF471">
        <v>7407</v>
      </c>
      <c r="AG471">
        <v>7407.4988240900002</v>
      </c>
      <c r="AH471">
        <v>1249921.42451</v>
      </c>
      <c r="AI471">
        <v>45</v>
      </c>
      <c r="AJ471">
        <v>228317.96654929599</v>
      </c>
      <c r="AK471" s="1">
        <f>intersection_ss_Lden___surface[[#This Row],[surf m2 bout ss]]/intersection_ss_Lden___surface[[#This Row],[Shape_Area]]</f>
        <v>0.18266585568673027</v>
      </c>
      <c r="AL471">
        <v>1753</v>
      </c>
      <c r="AM471">
        <f>intersection_ss_Lden___surface[[#This Row],[Population totale 2024 ss]]*intersection_ss_Lden___surface[[#This Row],[Part de la surface du qs dans le noise contour]]</f>
        <v>320.21324501883817</v>
      </c>
    </row>
    <row r="472" spans="1:39" x14ac:dyDescent="0.3">
      <c r="A472">
        <v>502</v>
      </c>
      <c r="B472" t="s">
        <v>710</v>
      </c>
      <c r="C472" t="s">
        <v>711</v>
      </c>
      <c r="D472" t="s">
        <v>712</v>
      </c>
      <c r="E472" t="s">
        <v>712</v>
      </c>
      <c r="F472" t="s">
        <v>713</v>
      </c>
      <c r="G472" t="s">
        <v>705</v>
      </c>
      <c r="H472" t="s">
        <v>706</v>
      </c>
      <c r="I472" t="s">
        <v>707</v>
      </c>
      <c r="J472" t="s">
        <v>36</v>
      </c>
      <c r="K472">
        <v>21007</v>
      </c>
      <c r="L472" t="s">
        <v>708</v>
      </c>
      <c r="M472" t="s">
        <v>709</v>
      </c>
      <c r="N472" t="s">
        <v>709</v>
      </c>
      <c r="O472">
        <v>21000</v>
      </c>
      <c r="P472" t="s">
        <v>46</v>
      </c>
      <c r="Q472" t="s">
        <v>47</v>
      </c>
      <c r="R472" t="s">
        <v>48</v>
      </c>
      <c r="T472" t="s">
        <v>36</v>
      </c>
      <c r="U472" t="s">
        <v>36</v>
      </c>
      <c r="V472" t="s">
        <v>36</v>
      </c>
      <c r="W472">
        <v>4000</v>
      </c>
      <c r="X472" t="s">
        <v>49</v>
      </c>
      <c r="Y472" t="s">
        <v>50</v>
      </c>
      <c r="Z472" t="s">
        <v>51</v>
      </c>
      <c r="AA472" t="s">
        <v>37</v>
      </c>
      <c r="AB472" t="s">
        <v>52</v>
      </c>
      <c r="AC472" t="s">
        <v>53</v>
      </c>
      <c r="AD472" t="s">
        <v>54</v>
      </c>
      <c r="AE472">
        <v>24.369062117399999</v>
      </c>
      <c r="AF472">
        <v>3021</v>
      </c>
      <c r="AG472">
        <v>3021.2274178799998</v>
      </c>
      <c r="AH472">
        <v>243694.565126</v>
      </c>
      <c r="AI472">
        <v>45</v>
      </c>
      <c r="AJ472">
        <v>243719.59839962001</v>
      </c>
      <c r="AK472" s="1">
        <f>intersection_ss_Lden___surface[[#This Row],[surf m2 bout ss]]/intersection_ss_Lden___surface[[#This Row],[Shape_Area]]</f>
        <v>1.0001027239717351</v>
      </c>
      <c r="AL472">
        <v>16</v>
      </c>
      <c r="AM472">
        <f>intersection_ss_Lden___surface[[#This Row],[Population totale 2024 ss]]*intersection_ss_Lden___surface[[#This Row],[Part de la surface du qs dans le noise contour]]</f>
        <v>16.001643583547761</v>
      </c>
    </row>
    <row r="473" spans="1:39" x14ac:dyDescent="0.3">
      <c r="A473">
        <v>503</v>
      </c>
      <c r="B473" t="s">
        <v>714</v>
      </c>
      <c r="C473" t="s">
        <v>715</v>
      </c>
      <c r="D473" t="s">
        <v>716</v>
      </c>
      <c r="E473" t="s">
        <v>716</v>
      </c>
      <c r="F473" t="s">
        <v>717</v>
      </c>
      <c r="G473" t="s">
        <v>705</v>
      </c>
      <c r="H473" t="s">
        <v>706</v>
      </c>
      <c r="I473" t="s">
        <v>707</v>
      </c>
      <c r="J473" t="s">
        <v>36</v>
      </c>
      <c r="K473">
        <v>21007</v>
      </c>
      <c r="L473" t="s">
        <v>708</v>
      </c>
      <c r="M473" t="s">
        <v>709</v>
      </c>
      <c r="N473" t="s">
        <v>709</v>
      </c>
      <c r="O473">
        <v>21000</v>
      </c>
      <c r="P473" t="s">
        <v>46</v>
      </c>
      <c r="Q473" t="s">
        <v>47</v>
      </c>
      <c r="R473" t="s">
        <v>48</v>
      </c>
      <c r="T473" t="s">
        <v>36</v>
      </c>
      <c r="U473" t="s">
        <v>36</v>
      </c>
      <c r="V473" t="s">
        <v>36</v>
      </c>
      <c r="W473">
        <v>4000</v>
      </c>
      <c r="X473" t="s">
        <v>49</v>
      </c>
      <c r="Y473" t="s">
        <v>50</v>
      </c>
      <c r="Z473" t="s">
        <v>51</v>
      </c>
      <c r="AA473" t="s">
        <v>37</v>
      </c>
      <c r="AB473" t="s">
        <v>52</v>
      </c>
      <c r="AC473" t="s">
        <v>53</v>
      </c>
      <c r="AD473" t="s">
        <v>54</v>
      </c>
      <c r="AE473">
        <v>9.4172776041499997</v>
      </c>
      <c r="AF473">
        <v>1610</v>
      </c>
      <c r="AG473">
        <v>1610.2820025399999</v>
      </c>
      <c r="AH473">
        <v>94174.322002800007</v>
      </c>
      <c r="AI473">
        <v>45</v>
      </c>
      <c r="AJ473">
        <v>43053.408525015599</v>
      </c>
      <c r="AK473" s="1">
        <f>intersection_ss_Lden___surface[[#This Row],[surf m2 bout ss]]/intersection_ss_Lden___surface[[#This Row],[Shape_Area]]</f>
        <v>0.45716717263688428</v>
      </c>
      <c r="AL473">
        <v>2141</v>
      </c>
      <c r="AM473">
        <f>intersection_ss_Lden___surface[[#This Row],[Population totale 2024 ss]]*intersection_ss_Lden___surface[[#This Row],[Part de la surface du qs dans le noise contour]]</f>
        <v>978.79491661556926</v>
      </c>
    </row>
    <row r="474" spans="1:39" x14ac:dyDescent="0.3">
      <c r="A474">
        <v>504</v>
      </c>
      <c r="B474" t="s">
        <v>718</v>
      </c>
      <c r="C474" t="s">
        <v>719</v>
      </c>
      <c r="D474" t="s">
        <v>720</v>
      </c>
      <c r="E474" t="s">
        <v>720</v>
      </c>
      <c r="F474" t="s">
        <v>717</v>
      </c>
      <c r="G474" t="s">
        <v>705</v>
      </c>
      <c r="H474" t="s">
        <v>706</v>
      </c>
      <c r="I474" t="s">
        <v>707</v>
      </c>
      <c r="J474" t="s">
        <v>36</v>
      </c>
      <c r="K474">
        <v>21007</v>
      </c>
      <c r="L474" t="s">
        <v>708</v>
      </c>
      <c r="M474" t="s">
        <v>709</v>
      </c>
      <c r="N474" t="s">
        <v>709</v>
      </c>
      <c r="O474">
        <v>21000</v>
      </c>
      <c r="P474" t="s">
        <v>46</v>
      </c>
      <c r="Q474" t="s">
        <v>47</v>
      </c>
      <c r="R474" t="s">
        <v>48</v>
      </c>
      <c r="T474" t="s">
        <v>36</v>
      </c>
      <c r="U474" t="s">
        <v>36</v>
      </c>
      <c r="V474" t="s">
        <v>36</v>
      </c>
      <c r="W474">
        <v>4000</v>
      </c>
      <c r="X474" t="s">
        <v>49</v>
      </c>
      <c r="Y474" t="s">
        <v>50</v>
      </c>
      <c r="Z474" t="s">
        <v>51</v>
      </c>
      <c r="AA474" t="s">
        <v>37</v>
      </c>
      <c r="AB474" t="s">
        <v>52</v>
      </c>
      <c r="AC474" t="s">
        <v>53</v>
      </c>
      <c r="AD474" t="s">
        <v>54</v>
      </c>
      <c r="AE474">
        <v>5.0546585997299998</v>
      </c>
      <c r="AF474">
        <v>1433</v>
      </c>
      <c r="AG474">
        <v>1433.21136978</v>
      </c>
      <c r="AH474">
        <v>50547.389777199998</v>
      </c>
      <c r="AI474">
        <v>45</v>
      </c>
      <c r="AJ474">
        <v>50552.614561484901</v>
      </c>
      <c r="AK474" s="1">
        <f>intersection_ss_Lden___surface[[#This Row],[surf m2 bout ss]]/intersection_ss_Lden___surface[[#This Row],[Shape_Area]]</f>
        <v>1.0001033640769175</v>
      </c>
      <c r="AL474">
        <v>494</v>
      </c>
      <c r="AM474">
        <f>intersection_ss_Lden___surface[[#This Row],[Population totale 2024 ss]]*intersection_ss_Lden___surface[[#This Row],[Part de la surface du qs dans le noise contour]]</f>
        <v>494.05106185399723</v>
      </c>
    </row>
    <row r="475" spans="1:39" x14ac:dyDescent="0.3">
      <c r="A475">
        <v>505</v>
      </c>
      <c r="B475" t="s">
        <v>721</v>
      </c>
      <c r="C475" t="s">
        <v>722</v>
      </c>
      <c r="D475" t="s">
        <v>722</v>
      </c>
      <c r="E475" t="s">
        <v>722</v>
      </c>
      <c r="F475" t="s">
        <v>723</v>
      </c>
      <c r="G475" t="s">
        <v>705</v>
      </c>
      <c r="H475" t="s">
        <v>706</v>
      </c>
      <c r="I475" t="s">
        <v>707</v>
      </c>
      <c r="J475" t="s">
        <v>36</v>
      </c>
      <c r="K475">
        <v>21007</v>
      </c>
      <c r="L475" t="s">
        <v>708</v>
      </c>
      <c r="M475" t="s">
        <v>709</v>
      </c>
      <c r="N475" t="s">
        <v>709</v>
      </c>
      <c r="O475">
        <v>21000</v>
      </c>
      <c r="P475" t="s">
        <v>46</v>
      </c>
      <c r="Q475" t="s">
        <v>47</v>
      </c>
      <c r="R475" t="s">
        <v>48</v>
      </c>
      <c r="T475" t="s">
        <v>36</v>
      </c>
      <c r="U475" t="s">
        <v>36</v>
      </c>
      <c r="V475" t="s">
        <v>36</v>
      </c>
      <c r="W475">
        <v>4000</v>
      </c>
      <c r="X475" t="s">
        <v>49</v>
      </c>
      <c r="Y475" t="s">
        <v>50</v>
      </c>
      <c r="Z475" t="s">
        <v>51</v>
      </c>
      <c r="AA475" t="s">
        <v>37</v>
      </c>
      <c r="AB475" t="s">
        <v>52</v>
      </c>
      <c r="AC475" t="s">
        <v>53</v>
      </c>
      <c r="AD475" t="s">
        <v>54</v>
      </c>
      <c r="AE475">
        <v>14.494051578900001</v>
      </c>
      <c r="AF475">
        <v>2080</v>
      </c>
      <c r="AG475">
        <v>2080.4420425200001</v>
      </c>
      <c r="AH475">
        <v>144942.83093699999</v>
      </c>
      <c r="AI475">
        <v>45</v>
      </c>
      <c r="AJ475">
        <v>13998.1522479093</v>
      </c>
      <c r="AK475" s="1">
        <f>intersection_ss_Lden___surface[[#This Row],[surf m2 bout ss]]/intersection_ss_Lden___surface[[#This Row],[Shape_Area]]</f>
        <v>9.6577058398932852E-2</v>
      </c>
      <c r="AL475">
        <v>3020</v>
      </c>
      <c r="AM475">
        <f>intersection_ss_Lden___surface[[#This Row],[Population totale 2024 ss]]*intersection_ss_Lden___surface[[#This Row],[Part de la surface du qs dans le noise contour]]</f>
        <v>291.66271636477722</v>
      </c>
    </row>
    <row r="476" spans="1:39" x14ac:dyDescent="0.3">
      <c r="A476">
        <v>506</v>
      </c>
      <c r="B476" t="s">
        <v>724</v>
      </c>
      <c r="C476" t="s">
        <v>725</v>
      </c>
      <c r="D476" t="s">
        <v>726</v>
      </c>
      <c r="E476" t="s">
        <v>726</v>
      </c>
      <c r="F476" t="s">
        <v>723</v>
      </c>
      <c r="G476" t="s">
        <v>705</v>
      </c>
      <c r="H476" t="s">
        <v>706</v>
      </c>
      <c r="I476" t="s">
        <v>707</v>
      </c>
      <c r="J476" t="s">
        <v>36</v>
      </c>
      <c r="K476">
        <v>21007</v>
      </c>
      <c r="L476" t="s">
        <v>708</v>
      </c>
      <c r="M476" t="s">
        <v>709</v>
      </c>
      <c r="N476" t="s">
        <v>709</v>
      </c>
      <c r="O476">
        <v>21000</v>
      </c>
      <c r="P476" t="s">
        <v>46</v>
      </c>
      <c r="Q476" t="s">
        <v>47</v>
      </c>
      <c r="R476" t="s">
        <v>48</v>
      </c>
      <c r="T476" t="s">
        <v>36</v>
      </c>
      <c r="U476" t="s">
        <v>36</v>
      </c>
      <c r="V476" t="s">
        <v>36</v>
      </c>
      <c r="W476">
        <v>4000</v>
      </c>
      <c r="X476" t="s">
        <v>49</v>
      </c>
      <c r="Y476" t="s">
        <v>50</v>
      </c>
      <c r="Z476" t="s">
        <v>51</v>
      </c>
      <c r="AA476" t="s">
        <v>37</v>
      </c>
      <c r="AB476" t="s">
        <v>52</v>
      </c>
      <c r="AC476" t="s">
        <v>53</v>
      </c>
      <c r="AD476" t="s">
        <v>54</v>
      </c>
      <c r="AE476">
        <v>9.6586837550899993</v>
      </c>
      <c r="AF476">
        <v>1964</v>
      </c>
      <c r="AG476">
        <v>1963.7882192</v>
      </c>
      <c r="AH476">
        <v>96588.371840199994</v>
      </c>
      <c r="AI476">
        <v>45</v>
      </c>
      <c r="AJ476">
        <v>27931.224503727401</v>
      </c>
      <c r="AK476" s="1">
        <f>intersection_ss_Lden___surface[[#This Row],[surf m2 bout ss]]/intersection_ss_Lden___surface[[#This Row],[Shape_Area]]</f>
        <v>0.28917792040161971</v>
      </c>
      <c r="AL476">
        <v>1134</v>
      </c>
      <c r="AM476">
        <f>intersection_ss_Lden___surface[[#This Row],[Population totale 2024 ss]]*intersection_ss_Lden___surface[[#This Row],[Part de la surface du qs dans le noise contour]]</f>
        <v>327.92776173543677</v>
      </c>
    </row>
    <row r="477" spans="1:39" x14ac:dyDescent="0.3">
      <c r="A477">
        <v>507</v>
      </c>
      <c r="B477" t="s">
        <v>727</v>
      </c>
      <c r="C477" t="s">
        <v>728</v>
      </c>
      <c r="D477" t="s">
        <v>728</v>
      </c>
      <c r="E477" t="s">
        <v>728</v>
      </c>
      <c r="F477" t="s">
        <v>723</v>
      </c>
      <c r="G477" t="s">
        <v>705</v>
      </c>
      <c r="H477" t="s">
        <v>706</v>
      </c>
      <c r="I477" t="s">
        <v>707</v>
      </c>
      <c r="J477" t="s">
        <v>36</v>
      </c>
      <c r="K477">
        <v>21007</v>
      </c>
      <c r="L477" t="s">
        <v>708</v>
      </c>
      <c r="M477" t="s">
        <v>709</v>
      </c>
      <c r="N477" t="s">
        <v>709</v>
      </c>
      <c r="O477">
        <v>21000</v>
      </c>
      <c r="P477" t="s">
        <v>46</v>
      </c>
      <c r="Q477" t="s">
        <v>47</v>
      </c>
      <c r="R477" t="s">
        <v>48</v>
      </c>
      <c r="T477" t="s">
        <v>36</v>
      </c>
      <c r="U477" t="s">
        <v>36</v>
      </c>
      <c r="V477" t="s">
        <v>36</v>
      </c>
      <c r="W477">
        <v>4000</v>
      </c>
      <c r="X477" t="s">
        <v>49</v>
      </c>
      <c r="Y477" t="s">
        <v>50</v>
      </c>
      <c r="Z477" t="s">
        <v>51</v>
      </c>
      <c r="AA477" t="s">
        <v>37</v>
      </c>
      <c r="AB477" t="s">
        <v>52</v>
      </c>
      <c r="AC477" t="s">
        <v>53</v>
      </c>
      <c r="AD477" t="s">
        <v>54</v>
      </c>
      <c r="AE477">
        <v>15.0725465746</v>
      </c>
      <c r="AF477">
        <v>1737</v>
      </c>
      <c r="AG477">
        <v>1736.99825609</v>
      </c>
      <c r="AH477">
        <v>150727.89404399999</v>
      </c>
      <c r="AI477">
        <v>45</v>
      </c>
      <c r="AJ477">
        <v>3684.0078837573501</v>
      </c>
      <c r="AK477" s="1">
        <f>intersection_ss_Lden___surface[[#This Row],[surf m2 bout ss]]/intersection_ss_Lden___surface[[#This Row],[Shape_Area]]</f>
        <v>2.4441447332117085E-2</v>
      </c>
      <c r="AL477">
        <v>2745</v>
      </c>
      <c r="AM477">
        <f>intersection_ss_Lden___surface[[#This Row],[Population totale 2024 ss]]*intersection_ss_Lden___surface[[#This Row],[Part de la surface du qs dans le noise contour]]</f>
        <v>67.091772926661406</v>
      </c>
    </row>
    <row r="478" spans="1:39" x14ac:dyDescent="0.3">
      <c r="A478">
        <v>508</v>
      </c>
      <c r="B478" t="s">
        <v>729</v>
      </c>
      <c r="C478" t="s">
        <v>730</v>
      </c>
      <c r="D478" t="s">
        <v>731</v>
      </c>
      <c r="E478" t="s">
        <v>731</v>
      </c>
      <c r="F478" t="s">
        <v>732</v>
      </c>
      <c r="G478" t="s">
        <v>705</v>
      </c>
      <c r="H478" t="s">
        <v>706</v>
      </c>
      <c r="I478" t="s">
        <v>707</v>
      </c>
      <c r="J478" t="s">
        <v>36</v>
      </c>
      <c r="K478">
        <v>21007</v>
      </c>
      <c r="L478" t="s">
        <v>708</v>
      </c>
      <c r="M478" t="s">
        <v>709</v>
      </c>
      <c r="N478" t="s">
        <v>709</v>
      </c>
      <c r="O478">
        <v>21000</v>
      </c>
      <c r="P478" t="s">
        <v>46</v>
      </c>
      <c r="Q478" t="s">
        <v>47</v>
      </c>
      <c r="R478" t="s">
        <v>48</v>
      </c>
      <c r="T478" t="s">
        <v>36</v>
      </c>
      <c r="U478" t="s">
        <v>36</v>
      </c>
      <c r="V478" t="s">
        <v>36</v>
      </c>
      <c r="W478">
        <v>4000</v>
      </c>
      <c r="X478" t="s">
        <v>49</v>
      </c>
      <c r="Y478" t="s">
        <v>50</v>
      </c>
      <c r="Z478" t="s">
        <v>51</v>
      </c>
      <c r="AA478" t="s">
        <v>37</v>
      </c>
      <c r="AB478" t="s">
        <v>52</v>
      </c>
      <c r="AC478" t="s">
        <v>53</v>
      </c>
      <c r="AD478" t="s">
        <v>54</v>
      </c>
      <c r="AE478">
        <v>14.4503107305</v>
      </c>
      <c r="AF478">
        <v>1932</v>
      </c>
      <c r="AG478">
        <v>1932.0881254000001</v>
      </c>
      <c r="AH478">
        <v>144505.42361100001</v>
      </c>
      <c r="AI478">
        <v>45</v>
      </c>
      <c r="AJ478">
        <v>128010.021172894</v>
      </c>
      <c r="AK478" s="1">
        <f>intersection_ss_Lden___surface[[#This Row],[surf m2 bout ss]]/intersection_ss_Lden___surface[[#This Row],[Shape_Area]]</f>
        <v>0.88584925031941608</v>
      </c>
      <c r="AL478">
        <v>4221</v>
      </c>
      <c r="AM478">
        <f>intersection_ss_Lden___surface[[#This Row],[Population totale 2024 ss]]*intersection_ss_Lden___surface[[#This Row],[Part de la surface du qs dans le noise contour]]</f>
        <v>3739.1696855982555</v>
      </c>
    </row>
    <row r="479" spans="1:39" x14ac:dyDescent="0.3">
      <c r="A479">
        <v>509</v>
      </c>
      <c r="B479" t="s">
        <v>733</v>
      </c>
      <c r="C479" t="s">
        <v>734</v>
      </c>
      <c r="D479" t="s">
        <v>735</v>
      </c>
      <c r="E479" t="s">
        <v>735</v>
      </c>
      <c r="F479" t="s">
        <v>732</v>
      </c>
      <c r="G479" t="s">
        <v>705</v>
      </c>
      <c r="H479" t="s">
        <v>706</v>
      </c>
      <c r="I479" t="s">
        <v>707</v>
      </c>
      <c r="J479" t="s">
        <v>36</v>
      </c>
      <c r="K479">
        <v>21007</v>
      </c>
      <c r="L479" t="s">
        <v>708</v>
      </c>
      <c r="M479" t="s">
        <v>709</v>
      </c>
      <c r="N479" t="s">
        <v>709</v>
      </c>
      <c r="O479">
        <v>21000</v>
      </c>
      <c r="P479" t="s">
        <v>46</v>
      </c>
      <c r="Q479" t="s">
        <v>47</v>
      </c>
      <c r="R479" t="s">
        <v>48</v>
      </c>
      <c r="T479" t="s">
        <v>36</v>
      </c>
      <c r="U479" t="s">
        <v>36</v>
      </c>
      <c r="V479" t="s">
        <v>36</v>
      </c>
      <c r="W479">
        <v>4000</v>
      </c>
      <c r="X479" t="s">
        <v>49</v>
      </c>
      <c r="Y479" t="s">
        <v>50</v>
      </c>
      <c r="Z479" t="s">
        <v>51</v>
      </c>
      <c r="AA479" t="s">
        <v>37</v>
      </c>
      <c r="AB479" t="s">
        <v>52</v>
      </c>
      <c r="AC479" t="s">
        <v>53</v>
      </c>
      <c r="AD479" t="s">
        <v>54</v>
      </c>
      <c r="AE479">
        <v>17.227599321</v>
      </c>
      <c r="AF479">
        <v>1931</v>
      </c>
      <c r="AG479">
        <v>1930.6843959299999</v>
      </c>
      <c r="AH479">
        <v>172278.77369100001</v>
      </c>
      <c r="AI479">
        <v>45</v>
      </c>
      <c r="AJ479">
        <v>55121.804932035498</v>
      </c>
      <c r="AK479" s="1">
        <f>intersection_ss_Lden___surface[[#This Row],[surf m2 bout ss]]/intersection_ss_Lden___surface[[#This Row],[Shape_Area]]</f>
        <v>0.31995703098573375</v>
      </c>
      <c r="AL479">
        <v>4925</v>
      </c>
      <c r="AM479">
        <f>intersection_ss_Lden___surface[[#This Row],[Population totale 2024 ss]]*intersection_ss_Lden___surface[[#This Row],[Part de la surface du qs dans le noise contour]]</f>
        <v>1575.7883776047388</v>
      </c>
    </row>
    <row r="480" spans="1:39" x14ac:dyDescent="0.3">
      <c r="A480">
        <v>510</v>
      </c>
      <c r="B480" t="s">
        <v>736</v>
      </c>
      <c r="C480" t="s">
        <v>246</v>
      </c>
      <c r="D480" t="s">
        <v>247</v>
      </c>
      <c r="E480" t="s">
        <v>247</v>
      </c>
      <c r="F480" t="s">
        <v>737</v>
      </c>
      <c r="G480" t="s">
        <v>738</v>
      </c>
      <c r="H480" t="s">
        <v>739</v>
      </c>
      <c r="I480" t="s">
        <v>739</v>
      </c>
      <c r="J480" t="s">
        <v>36</v>
      </c>
      <c r="K480">
        <v>21008</v>
      </c>
      <c r="L480" t="s">
        <v>740</v>
      </c>
      <c r="M480" t="s">
        <v>740</v>
      </c>
      <c r="N480" t="s">
        <v>740</v>
      </c>
      <c r="O480">
        <v>21000</v>
      </c>
      <c r="P480" t="s">
        <v>46</v>
      </c>
      <c r="Q480" t="s">
        <v>47</v>
      </c>
      <c r="R480" t="s">
        <v>48</v>
      </c>
      <c r="T480" t="s">
        <v>36</v>
      </c>
      <c r="U480" t="s">
        <v>36</v>
      </c>
      <c r="V480" t="s">
        <v>36</v>
      </c>
      <c r="W480">
        <v>4000</v>
      </c>
      <c r="X480" t="s">
        <v>49</v>
      </c>
      <c r="Y480" t="s">
        <v>50</v>
      </c>
      <c r="Z480" t="s">
        <v>51</v>
      </c>
      <c r="AA480" t="s">
        <v>37</v>
      </c>
      <c r="AB480" t="s">
        <v>52</v>
      </c>
      <c r="AC480" t="s">
        <v>53</v>
      </c>
      <c r="AD480" t="s">
        <v>54</v>
      </c>
      <c r="AE480">
        <v>9.4548800854900001</v>
      </c>
      <c r="AF480">
        <v>1769</v>
      </c>
      <c r="AG480">
        <v>1768.9549753399999</v>
      </c>
      <c r="AH480">
        <v>94550.318929400004</v>
      </c>
      <c r="AI480">
        <v>46</v>
      </c>
      <c r="AJ480">
        <v>295.65835306979699</v>
      </c>
      <c r="AK480" s="1">
        <f>intersection_ss_Lden___surface[[#This Row],[surf m2 bout ss]]/intersection_ss_Lden___surface[[#This Row],[Shape_Area]]</f>
        <v>3.1269947729162372E-3</v>
      </c>
      <c r="AL480">
        <v>1146</v>
      </c>
      <c r="AM480">
        <f>intersection_ss_Lden___surface[[#This Row],[Population totale 2024 ss]]*intersection_ss_Lden___surface[[#This Row],[Part de la surface du qs dans le noise contour]]</f>
        <v>3.5835360097620077</v>
      </c>
    </row>
    <row r="481" spans="1:39" x14ac:dyDescent="0.3">
      <c r="A481">
        <v>511</v>
      </c>
      <c r="B481" t="s">
        <v>736</v>
      </c>
      <c r="C481" t="s">
        <v>246</v>
      </c>
      <c r="D481" t="s">
        <v>247</v>
      </c>
      <c r="E481" t="s">
        <v>247</v>
      </c>
      <c r="F481" t="s">
        <v>737</v>
      </c>
      <c r="G481" t="s">
        <v>738</v>
      </c>
      <c r="H481" t="s">
        <v>739</v>
      </c>
      <c r="I481" t="s">
        <v>739</v>
      </c>
      <c r="J481" t="s">
        <v>36</v>
      </c>
      <c r="K481">
        <v>21008</v>
      </c>
      <c r="L481" t="s">
        <v>740</v>
      </c>
      <c r="M481" t="s">
        <v>740</v>
      </c>
      <c r="N481" t="s">
        <v>740</v>
      </c>
      <c r="O481">
        <v>21000</v>
      </c>
      <c r="P481" t="s">
        <v>46</v>
      </c>
      <c r="Q481" t="s">
        <v>47</v>
      </c>
      <c r="R481" t="s">
        <v>48</v>
      </c>
      <c r="T481" t="s">
        <v>36</v>
      </c>
      <c r="U481" t="s">
        <v>36</v>
      </c>
      <c r="V481" t="s">
        <v>36</v>
      </c>
      <c r="W481">
        <v>4000</v>
      </c>
      <c r="X481" t="s">
        <v>49</v>
      </c>
      <c r="Y481" t="s">
        <v>50</v>
      </c>
      <c r="Z481" t="s">
        <v>51</v>
      </c>
      <c r="AA481" t="s">
        <v>37</v>
      </c>
      <c r="AB481" t="s">
        <v>52</v>
      </c>
      <c r="AC481" t="s">
        <v>53</v>
      </c>
      <c r="AD481" t="s">
        <v>54</v>
      </c>
      <c r="AE481">
        <v>9.4548800854900001</v>
      </c>
      <c r="AF481">
        <v>1769</v>
      </c>
      <c r="AG481">
        <v>1768.9549753399999</v>
      </c>
      <c r="AH481">
        <v>94550.318929400004</v>
      </c>
      <c r="AI481">
        <v>47</v>
      </c>
      <c r="AJ481">
        <v>92356.660659168803</v>
      </c>
      <c r="AK481" s="1">
        <f>intersection_ss_Lden___surface[[#This Row],[surf m2 bout ss]]/intersection_ss_Lden___surface[[#This Row],[Shape_Area]]</f>
        <v>0.97679903891314013</v>
      </c>
      <c r="AL481">
        <v>1146</v>
      </c>
      <c r="AM481">
        <f>intersection_ss_Lden___surface[[#This Row],[Population totale 2024 ss]]*intersection_ss_Lden___surface[[#This Row],[Part de la surface du qs dans le noise contour]]</f>
        <v>1119.4116985944586</v>
      </c>
    </row>
    <row r="482" spans="1:39" x14ac:dyDescent="0.3">
      <c r="A482">
        <v>512</v>
      </c>
      <c r="B482" t="s">
        <v>736</v>
      </c>
      <c r="C482" t="s">
        <v>246</v>
      </c>
      <c r="D482" t="s">
        <v>247</v>
      </c>
      <c r="E482" t="s">
        <v>247</v>
      </c>
      <c r="F482" t="s">
        <v>737</v>
      </c>
      <c r="G482" t="s">
        <v>738</v>
      </c>
      <c r="H482" t="s">
        <v>739</v>
      </c>
      <c r="I482" t="s">
        <v>739</v>
      </c>
      <c r="J482" t="s">
        <v>36</v>
      </c>
      <c r="K482">
        <v>21008</v>
      </c>
      <c r="L482" t="s">
        <v>740</v>
      </c>
      <c r="M482" t="s">
        <v>740</v>
      </c>
      <c r="N482" t="s">
        <v>740</v>
      </c>
      <c r="O482">
        <v>21000</v>
      </c>
      <c r="P482" t="s">
        <v>46</v>
      </c>
      <c r="Q482" t="s">
        <v>47</v>
      </c>
      <c r="R482" t="s">
        <v>48</v>
      </c>
      <c r="T482" t="s">
        <v>36</v>
      </c>
      <c r="U482" t="s">
        <v>36</v>
      </c>
      <c r="V482" t="s">
        <v>36</v>
      </c>
      <c r="W482">
        <v>4000</v>
      </c>
      <c r="X482" t="s">
        <v>49</v>
      </c>
      <c r="Y482" t="s">
        <v>50</v>
      </c>
      <c r="Z482" t="s">
        <v>51</v>
      </c>
      <c r="AA482" t="s">
        <v>37</v>
      </c>
      <c r="AB482" t="s">
        <v>52</v>
      </c>
      <c r="AC482" t="s">
        <v>53</v>
      </c>
      <c r="AD482" t="s">
        <v>54</v>
      </c>
      <c r="AE482">
        <v>9.4548800854900001</v>
      </c>
      <c r="AF482">
        <v>1769</v>
      </c>
      <c r="AG482">
        <v>1768.9549753399999</v>
      </c>
      <c r="AH482">
        <v>94550.318929400004</v>
      </c>
      <c r="AI482">
        <v>48</v>
      </c>
      <c r="AJ482">
        <v>1906.78064388037</v>
      </c>
      <c r="AK482" s="1">
        <f>intersection_ss_Lden___surface[[#This Row],[surf m2 bout ss]]/intersection_ss_Lden___surface[[#This Row],[Shape_Area]]</f>
        <v>2.0166834606916012E-2</v>
      </c>
      <c r="AL482">
        <v>1146</v>
      </c>
      <c r="AM482">
        <f>intersection_ss_Lden___surface[[#This Row],[Population totale 2024 ss]]*intersection_ss_Lden___surface[[#This Row],[Part de la surface du qs dans le noise contour]]</f>
        <v>23.11119245952575</v>
      </c>
    </row>
    <row r="483" spans="1:39" x14ac:dyDescent="0.3">
      <c r="A483">
        <v>513</v>
      </c>
      <c r="B483" t="s">
        <v>741</v>
      </c>
      <c r="C483" t="s">
        <v>742</v>
      </c>
      <c r="D483" t="s">
        <v>743</v>
      </c>
      <c r="E483" t="s">
        <v>743</v>
      </c>
      <c r="F483" t="s">
        <v>737</v>
      </c>
      <c r="G483" t="s">
        <v>738</v>
      </c>
      <c r="H483" t="s">
        <v>739</v>
      </c>
      <c r="I483" t="s">
        <v>739</v>
      </c>
      <c r="J483" t="s">
        <v>36</v>
      </c>
      <c r="K483">
        <v>21008</v>
      </c>
      <c r="L483" t="s">
        <v>740</v>
      </c>
      <c r="M483" t="s">
        <v>740</v>
      </c>
      <c r="N483" t="s">
        <v>740</v>
      </c>
      <c r="O483">
        <v>21000</v>
      </c>
      <c r="P483" t="s">
        <v>46</v>
      </c>
      <c r="Q483" t="s">
        <v>47</v>
      </c>
      <c r="R483" t="s">
        <v>48</v>
      </c>
      <c r="T483" t="s">
        <v>36</v>
      </c>
      <c r="U483" t="s">
        <v>36</v>
      </c>
      <c r="V483" t="s">
        <v>36</v>
      </c>
      <c r="W483">
        <v>4000</v>
      </c>
      <c r="X483" t="s">
        <v>49</v>
      </c>
      <c r="Y483" t="s">
        <v>50</v>
      </c>
      <c r="Z483" t="s">
        <v>51</v>
      </c>
      <c r="AA483" t="s">
        <v>37</v>
      </c>
      <c r="AB483" t="s">
        <v>52</v>
      </c>
      <c r="AC483" t="s">
        <v>53</v>
      </c>
      <c r="AD483" t="s">
        <v>54</v>
      </c>
      <c r="AE483">
        <v>4.8411670035599998</v>
      </c>
      <c r="AF483">
        <v>977</v>
      </c>
      <c r="AG483">
        <v>977.29463114600003</v>
      </c>
      <c r="AH483">
        <v>48412.436327199997</v>
      </c>
      <c r="AI483">
        <v>46</v>
      </c>
      <c r="AJ483">
        <v>28089.765941509999</v>
      </c>
      <c r="AK483" s="1">
        <f>intersection_ss_Lden___surface[[#This Row],[surf m2 bout ss]]/intersection_ss_Lden___surface[[#This Row],[Shape_Area]]</f>
        <v>0.58021797853061308</v>
      </c>
      <c r="AL483">
        <v>671</v>
      </c>
      <c r="AM483">
        <f>intersection_ss_Lden___surface[[#This Row],[Population totale 2024 ss]]*intersection_ss_Lden___surface[[#This Row],[Part de la surface du qs dans le noise contour]]</f>
        <v>389.32626359404139</v>
      </c>
    </row>
    <row r="484" spans="1:39" x14ac:dyDescent="0.3">
      <c r="A484">
        <v>514</v>
      </c>
      <c r="B484" t="s">
        <v>741</v>
      </c>
      <c r="C484" t="s">
        <v>742</v>
      </c>
      <c r="D484" t="s">
        <v>743</v>
      </c>
      <c r="E484" t="s">
        <v>743</v>
      </c>
      <c r="F484" t="s">
        <v>737</v>
      </c>
      <c r="G484" t="s">
        <v>738</v>
      </c>
      <c r="H484" t="s">
        <v>739</v>
      </c>
      <c r="I484" t="s">
        <v>739</v>
      </c>
      <c r="J484" t="s">
        <v>36</v>
      </c>
      <c r="K484">
        <v>21008</v>
      </c>
      <c r="L484" t="s">
        <v>740</v>
      </c>
      <c r="M484" t="s">
        <v>740</v>
      </c>
      <c r="N484" t="s">
        <v>740</v>
      </c>
      <c r="O484">
        <v>21000</v>
      </c>
      <c r="P484" t="s">
        <v>46</v>
      </c>
      <c r="Q484" t="s">
        <v>47</v>
      </c>
      <c r="R484" t="s">
        <v>48</v>
      </c>
      <c r="T484" t="s">
        <v>36</v>
      </c>
      <c r="U484" t="s">
        <v>36</v>
      </c>
      <c r="V484" t="s">
        <v>36</v>
      </c>
      <c r="W484">
        <v>4000</v>
      </c>
      <c r="X484" t="s">
        <v>49</v>
      </c>
      <c r="Y484" t="s">
        <v>50</v>
      </c>
      <c r="Z484" t="s">
        <v>51</v>
      </c>
      <c r="AA484" t="s">
        <v>37</v>
      </c>
      <c r="AB484" t="s">
        <v>52</v>
      </c>
      <c r="AC484" t="s">
        <v>53</v>
      </c>
      <c r="AD484" t="s">
        <v>54</v>
      </c>
      <c r="AE484">
        <v>4.8411670035599998</v>
      </c>
      <c r="AF484">
        <v>977</v>
      </c>
      <c r="AG484">
        <v>977.29463114600003</v>
      </c>
      <c r="AH484">
        <v>48412.436327199997</v>
      </c>
      <c r="AI484">
        <v>47</v>
      </c>
      <c r="AJ484">
        <v>20327.188119527</v>
      </c>
      <c r="AK484" s="1">
        <f>intersection_ss_Lden___surface[[#This Row],[surf m2 bout ss]]/intersection_ss_Lden___surface[[#This Row],[Shape_Area]]</f>
        <v>0.41987533909972613</v>
      </c>
      <c r="AL484">
        <v>671</v>
      </c>
      <c r="AM484">
        <f>intersection_ss_Lden___surface[[#This Row],[Population totale 2024 ss]]*intersection_ss_Lden___surface[[#This Row],[Part de la surface du qs dans le noise contour]]</f>
        <v>281.73635253591624</v>
      </c>
    </row>
    <row r="485" spans="1:39" x14ac:dyDescent="0.3">
      <c r="A485">
        <v>515</v>
      </c>
      <c r="B485" t="s">
        <v>744</v>
      </c>
      <c r="C485" t="s">
        <v>745</v>
      </c>
      <c r="D485" t="s">
        <v>745</v>
      </c>
      <c r="E485" t="s">
        <v>745</v>
      </c>
      <c r="F485" t="s">
        <v>737</v>
      </c>
      <c r="G485" t="s">
        <v>738</v>
      </c>
      <c r="H485" t="s">
        <v>739</v>
      </c>
      <c r="I485" t="s">
        <v>739</v>
      </c>
      <c r="J485" t="s">
        <v>36</v>
      </c>
      <c r="K485">
        <v>21008</v>
      </c>
      <c r="L485" t="s">
        <v>740</v>
      </c>
      <c r="M485" t="s">
        <v>740</v>
      </c>
      <c r="N485" t="s">
        <v>740</v>
      </c>
      <c r="O485">
        <v>21000</v>
      </c>
      <c r="P485" t="s">
        <v>46</v>
      </c>
      <c r="Q485" t="s">
        <v>47</v>
      </c>
      <c r="R485" t="s">
        <v>48</v>
      </c>
      <c r="T485" t="s">
        <v>36</v>
      </c>
      <c r="U485" t="s">
        <v>36</v>
      </c>
      <c r="V485" t="s">
        <v>36</v>
      </c>
      <c r="W485">
        <v>4000</v>
      </c>
      <c r="X485" t="s">
        <v>49</v>
      </c>
      <c r="Y485" t="s">
        <v>50</v>
      </c>
      <c r="Z485" t="s">
        <v>51</v>
      </c>
      <c r="AA485" t="s">
        <v>37</v>
      </c>
      <c r="AB485" t="s">
        <v>52</v>
      </c>
      <c r="AC485" t="s">
        <v>53</v>
      </c>
      <c r="AD485" t="s">
        <v>54</v>
      </c>
      <c r="AE485">
        <v>18.023668183800002</v>
      </c>
      <c r="AF485">
        <v>1936</v>
      </c>
      <c r="AG485">
        <v>1935.6494709399999</v>
      </c>
      <c r="AH485">
        <v>180239.58681400001</v>
      </c>
      <c r="AI485">
        <v>46</v>
      </c>
      <c r="AJ485">
        <v>157539.15458439299</v>
      </c>
      <c r="AK485" s="1">
        <f>intersection_ss_Lden___surface[[#This Row],[surf m2 bout ss]]/intersection_ss_Lden___surface[[#This Row],[Shape_Area]]</f>
        <v>0.87405412633888835</v>
      </c>
      <c r="AL485">
        <v>3165</v>
      </c>
      <c r="AM485">
        <f>intersection_ss_Lden___surface[[#This Row],[Population totale 2024 ss]]*intersection_ss_Lden___surface[[#This Row],[Part de la surface du qs dans le noise contour]]</f>
        <v>2766.3813098625815</v>
      </c>
    </row>
    <row r="486" spans="1:39" x14ac:dyDescent="0.3">
      <c r="A486">
        <v>516</v>
      </c>
      <c r="B486" t="s">
        <v>744</v>
      </c>
      <c r="C486" t="s">
        <v>745</v>
      </c>
      <c r="D486" t="s">
        <v>745</v>
      </c>
      <c r="E486" t="s">
        <v>745</v>
      </c>
      <c r="F486" t="s">
        <v>737</v>
      </c>
      <c r="G486" t="s">
        <v>738</v>
      </c>
      <c r="H486" t="s">
        <v>739</v>
      </c>
      <c r="I486" t="s">
        <v>739</v>
      </c>
      <c r="J486" t="s">
        <v>36</v>
      </c>
      <c r="K486">
        <v>21008</v>
      </c>
      <c r="L486" t="s">
        <v>740</v>
      </c>
      <c r="M486" t="s">
        <v>740</v>
      </c>
      <c r="N486" t="s">
        <v>740</v>
      </c>
      <c r="O486">
        <v>21000</v>
      </c>
      <c r="P486" t="s">
        <v>46</v>
      </c>
      <c r="Q486" t="s">
        <v>47</v>
      </c>
      <c r="R486" t="s">
        <v>48</v>
      </c>
      <c r="T486" t="s">
        <v>36</v>
      </c>
      <c r="U486" t="s">
        <v>36</v>
      </c>
      <c r="V486" t="s">
        <v>36</v>
      </c>
      <c r="W486">
        <v>4000</v>
      </c>
      <c r="X486" t="s">
        <v>49</v>
      </c>
      <c r="Y486" t="s">
        <v>50</v>
      </c>
      <c r="Z486" t="s">
        <v>51</v>
      </c>
      <c r="AA486" t="s">
        <v>37</v>
      </c>
      <c r="AB486" t="s">
        <v>52</v>
      </c>
      <c r="AC486" t="s">
        <v>53</v>
      </c>
      <c r="AD486" t="s">
        <v>54</v>
      </c>
      <c r="AE486">
        <v>18.023668183800002</v>
      </c>
      <c r="AF486">
        <v>1936</v>
      </c>
      <c r="AG486">
        <v>1935.6494709399999</v>
      </c>
      <c r="AH486">
        <v>180239.58681400001</v>
      </c>
      <c r="AI486">
        <v>47</v>
      </c>
      <c r="AJ486">
        <v>22717.303879146901</v>
      </c>
      <c r="AK486" s="1">
        <f>intersection_ss_Lden___surface[[#This Row],[surf m2 bout ss]]/intersection_ss_Lden___surface[[#This Row],[Shape_Area]]</f>
        <v>0.12603948045326049</v>
      </c>
      <c r="AL486">
        <v>3165</v>
      </c>
      <c r="AM486">
        <f>intersection_ss_Lden___surface[[#This Row],[Population totale 2024 ss]]*intersection_ss_Lden___surface[[#This Row],[Part de la surface du qs dans le noise contour]]</f>
        <v>398.91495563456948</v>
      </c>
    </row>
    <row r="487" spans="1:39" x14ac:dyDescent="0.3">
      <c r="A487">
        <v>517</v>
      </c>
      <c r="B487" t="s">
        <v>746</v>
      </c>
      <c r="C487" t="s">
        <v>747</v>
      </c>
      <c r="D487" t="s">
        <v>747</v>
      </c>
      <c r="E487" t="s">
        <v>747</v>
      </c>
      <c r="F487" t="s">
        <v>748</v>
      </c>
      <c r="G487" t="s">
        <v>738</v>
      </c>
      <c r="H487" t="s">
        <v>739</v>
      </c>
      <c r="I487" t="s">
        <v>739</v>
      </c>
      <c r="J487" t="s">
        <v>36</v>
      </c>
      <c r="K487">
        <v>21008</v>
      </c>
      <c r="L487" t="s">
        <v>740</v>
      </c>
      <c r="M487" t="s">
        <v>740</v>
      </c>
      <c r="N487" t="s">
        <v>740</v>
      </c>
      <c r="O487">
        <v>21000</v>
      </c>
      <c r="P487" t="s">
        <v>46</v>
      </c>
      <c r="Q487" t="s">
        <v>47</v>
      </c>
      <c r="R487" t="s">
        <v>48</v>
      </c>
      <c r="T487" t="s">
        <v>36</v>
      </c>
      <c r="U487" t="s">
        <v>36</v>
      </c>
      <c r="V487" t="s">
        <v>36</v>
      </c>
      <c r="W487">
        <v>4000</v>
      </c>
      <c r="X487" t="s">
        <v>49</v>
      </c>
      <c r="Y487" t="s">
        <v>50</v>
      </c>
      <c r="Z487" t="s">
        <v>51</v>
      </c>
      <c r="AA487" t="s">
        <v>37</v>
      </c>
      <c r="AB487" t="s">
        <v>52</v>
      </c>
      <c r="AC487" t="s">
        <v>53</v>
      </c>
      <c r="AD487" t="s">
        <v>54</v>
      </c>
      <c r="AE487">
        <v>21.519971888200001</v>
      </c>
      <c r="AF487">
        <v>2324</v>
      </c>
      <c r="AG487">
        <v>2323.8751186999998</v>
      </c>
      <c r="AH487">
        <v>215203.17932900001</v>
      </c>
      <c r="AI487">
        <v>46</v>
      </c>
      <c r="AJ487">
        <v>162016.99432114</v>
      </c>
      <c r="AK487" s="1">
        <f>intersection_ss_Lden___surface[[#This Row],[surf m2 bout ss]]/intersection_ss_Lden___surface[[#This Row],[Shape_Area]]</f>
        <v>0.75285595141440909</v>
      </c>
      <c r="AL487">
        <v>3291</v>
      </c>
      <c r="AM487">
        <f>intersection_ss_Lden___surface[[#This Row],[Population totale 2024 ss]]*intersection_ss_Lden___surface[[#This Row],[Part de la surface du qs dans le noise contour]]</f>
        <v>2477.6489361048202</v>
      </c>
    </row>
    <row r="488" spans="1:39" x14ac:dyDescent="0.3">
      <c r="A488">
        <v>518</v>
      </c>
      <c r="B488" t="s">
        <v>746</v>
      </c>
      <c r="C488" t="s">
        <v>747</v>
      </c>
      <c r="D488" t="s">
        <v>747</v>
      </c>
      <c r="E488" t="s">
        <v>747</v>
      </c>
      <c r="F488" t="s">
        <v>748</v>
      </c>
      <c r="G488" t="s">
        <v>738</v>
      </c>
      <c r="H488" t="s">
        <v>739</v>
      </c>
      <c r="I488" t="s">
        <v>739</v>
      </c>
      <c r="J488" t="s">
        <v>36</v>
      </c>
      <c r="K488">
        <v>21008</v>
      </c>
      <c r="L488" t="s">
        <v>740</v>
      </c>
      <c r="M488" t="s">
        <v>740</v>
      </c>
      <c r="N488" t="s">
        <v>740</v>
      </c>
      <c r="O488">
        <v>21000</v>
      </c>
      <c r="P488" t="s">
        <v>46</v>
      </c>
      <c r="Q488" t="s">
        <v>47</v>
      </c>
      <c r="R488" t="s">
        <v>48</v>
      </c>
      <c r="T488" t="s">
        <v>36</v>
      </c>
      <c r="U488" t="s">
        <v>36</v>
      </c>
      <c r="V488" t="s">
        <v>36</v>
      </c>
      <c r="W488">
        <v>4000</v>
      </c>
      <c r="X488" t="s">
        <v>49</v>
      </c>
      <c r="Y488" t="s">
        <v>50</v>
      </c>
      <c r="Z488" t="s">
        <v>51</v>
      </c>
      <c r="AA488" t="s">
        <v>37</v>
      </c>
      <c r="AB488" t="s">
        <v>52</v>
      </c>
      <c r="AC488" t="s">
        <v>53</v>
      </c>
      <c r="AD488" t="s">
        <v>54</v>
      </c>
      <c r="AE488">
        <v>21.519971888200001</v>
      </c>
      <c r="AF488">
        <v>2324</v>
      </c>
      <c r="AG488">
        <v>2323.8751186999998</v>
      </c>
      <c r="AH488">
        <v>215203.17932900001</v>
      </c>
      <c r="AI488">
        <v>47</v>
      </c>
      <c r="AJ488">
        <v>53206.387099978398</v>
      </c>
      <c r="AK488" s="1">
        <f>intersection_ss_Lden___surface[[#This Row],[surf m2 bout ss]]/intersection_ss_Lden___surface[[#This Row],[Shape_Area]]</f>
        <v>0.24723792309144801</v>
      </c>
      <c r="AL488">
        <v>3291</v>
      </c>
      <c r="AM488">
        <f>intersection_ss_Lden___surface[[#This Row],[Population totale 2024 ss]]*intersection_ss_Lden___surface[[#This Row],[Part de la surface du qs dans le noise contour]]</f>
        <v>813.66000489395537</v>
      </c>
    </row>
    <row r="489" spans="1:39" x14ac:dyDescent="0.3">
      <c r="A489">
        <v>519</v>
      </c>
      <c r="B489" t="s">
        <v>749</v>
      </c>
      <c r="C489" t="s">
        <v>750</v>
      </c>
      <c r="D489" t="s">
        <v>751</v>
      </c>
      <c r="E489" t="s">
        <v>751</v>
      </c>
      <c r="F489" t="s">
        <v>748</v>
      </c>
      <c r="G489" t="s">
        <v>738</v>
      </c>
      <c r="H489" t="s">
        <v>739</v>
      </c>
      <c r="I489" t="s">
        <v>739</v>
      </c>
      <c r="J489" t="s">
        <v>36</v>
      </c>
      <c r="K489">
        <v>21008</v>
      </c>
      <c r="L489" t="s">
        <v>740</v>
      </c>
      <c r="M489" t="s">
        <v>740</v>
      </c>
      <c r="N489" t="s">
        <v>740</v>
      </c>
      <c r="O489">
        <v>21000</v>
      </c>
      <c r="P489" t="s">
        <v>46</v>
      </c>
      <c r="Q489" t="s">
        <v>47</v>
      </c>
      <c r="R489" t="s">
        <v>48</v>
      </c>
      <c r="T489" t="s">
        <v>36</v>
      </c>
      <c r="U489" t="s">
        <v>36</v>
      </c>
      <c r="V489" t="s">
        <v>36</v>
      </c>
      <c r="W489">
        <v>4000</v>
      </c>
      <c r="X489" t="s">
        <v>49</v>
      </c>
      <c r="Y489" t="s">
        <v>50</v>
      </c>
      <c r="Z489" t="s">
        <v>51</v>
      </c>
      <c r="AA489" t="s">
        <v>37</v>
      </c>
      <c r="AB489" t="s">
        <v>52</v>
      </c>
      <c r="AC489" t="s">
        <v>53</v>
      </c>
      <c r="AD489" t="s">
        <v>54</v>
      </c>
      <c r="AE489">
        <v>4.71280354606</v>
      </c>
      <c r="AF489">
        <v>1176</v>
      </c>
      <c r="AG489">
        <v>1176.4044851799999</v>
      </c>
      <c r="AH489">
        <v>47128.784686200001</v>
      </c>
      <c r="AI489">
        <v>46</v>
      </c>
      <c r="AJ489">
        <v>47133.221437845699</v>
      </c>
      <c r="AK489" s="1">
        <f>intersection_ss_Lden___surface[[#This Row],[surf m2 bout ss]]/intersection_ss_Lden___surface[[#This Row],[Shape_Area]]</f>
        <v>1.0000941410154163</v>
      </c>
      <c r="AL489">
        <v>1</v>
      </c>
      <c r="AM489">
        <f>intersection_ss_Lden___surface[[#This Row],[Population totale 2024 ss]]*intersection_ss_Lden___surface[[#This Row],[Part de la surface du qs dans le noise contour]]</f>
        <v>1.0000941410154163</v>
      </c>
    </row>
    <row r="490" spans="1:39" x14ac:dyDescent="0.3">
      <c r="A490">
        <v>520</v>
      </c>
      <c r="B490" t="s">
        <v>752</v>
      </c>
      <c r="C490" t="s">
        <v>753</v>
      </c>
      <c r="D490" t="s">
        <v>754</v>
      </c>
      <c r="E490" t="s">
        <v>754</v>
      </c>
      <c r="F490" t="s">
        <v>755</v>
      </c>
      <c r="G490" t="s">
        <v>738</v>
      </c>
      <c r="H490" t="s">
        <v>739</v>
      </c>
      <c r="I490" t="s">
        <v>739</v>
      </c>
      <c r="J490" t="s">
        <v>36</v>
      </c>
      <c r="K490">
        <v>21008</v>
      </c>
      <c r="L490" t="s">
        <v>740</v>
      </c>
      <c r="M490" t="s">
        <v>740</v>
      </c>
      <c r="N490" t="s">
        <v>740</v>
      </c>
      <c r="O490">
        <v>21000</v>
      </c>
      <c r="P490" t="s">
        <v>46</v>
      </c>
      <c r="Q490" t="s">
        <v>47</v>
      </c>
      <c r="R490" t="s">
        <v>48</v>
      </c>
      <c r="T490" t="s">
        <v>36</v>
      </c>
      <c r="U490" t="s">
        <v>36</v>
      </c>
      <c r="V490" t="s">
        <v>36</v>
      </c>
      <c r="W490">
        <v>4000</v>
      </c>
      <c r="X490" t="s">
        <v>49</v>
      </c>
      <c r="Y490" t="s">
        <v>50</v>
      </c>
      <c r="Z490" t="s">
        <v>51</v>
      </c>
      <c r="AA490" t="s">
        <v>37</v>
      </c>
      <c r="AB490" t="s">
        <v>52</v>
      </c>
      <c r="AC490" t="s">
        <v>53</v>
      </c>
      <c r="AD490" t="s">
        <v>54</v>
      </c>
      <c r="AE490">
        <v>17.953301761500001</v>
      </c>
      <c r="AF490">
        <v>2133</v>
      </c>
      <c r="AG490">
        <v>2132.87855231</v>
      </c>
      <c r="AH490">
        <v>179535.90666800001</v>
      </c>
      <c r="AI490">
        <v>46</v>
      </c>
      <c r="AJ490">
        <v>79568.993416070603</v>
      </c>
      <c r="AK490" s="1">
        <f>intersection_ss_Lden___surface[[#This Row],[surf m2 bout ss]]/intersection_ss_Lden___surface[[#This Row],[Shape_Area]]</f>
        <v>0.44319264537544878</v>
      </c>
      <c r="AL490">
        <v>4238</v>
      </c>
      <c r="AM490">
        <f>intersection_ss_Lden___surface[[#This Row],[Population totale 2024 ss]]*intersection_ss_Lden___surface[[#This Row],[Part de la surface du qs dans le noise contour]]</f>
        <v>1878.2504311011519</v>
      </c>
    </row>
    <row r="491" spans="1:39" x14ac:dyDescent="0.3">
      <c r="A491">
        <v>521</v>
      </c>
      <c r="B491" t="s">
        <v>752</v>
      </c>
      <c r="C491" t="s">
        <v>753</v>
      </c>
      <c r="D491" t="s">
        <v>754</v>
      </c>
      <c r="E491" t="s">
        <v>754</v>
      </c>
      <c r="F491" t="s">
        <v>755</v>
      </c>
      <c r="G491" t="s">
        <v>738</v>
      </c>
      <c r="H491" t="s">
        <v>739</v>
      </c>
      <c r="I491" t="s">
        <v>739</v>
      </c>
      <c r="J491" t="s">
        <v>36</v>
      </c>
      <c r="K491">
        <v>21008</v>
      </c>
      <c r="L491" t="s">
        <v>740</v>
      </c>
      <c r="M491" t="s">
        <v>740</v>
      </c>
      <c r="N491" t="s">
        <v>740</v>
      </c>
      <c r="O491">
        <v>21000</v>
      </c>
      <c r="P491" t="s">
        <v>46</v>
      </c>
      <c r="Q491" t="s">
        <v>47</v>
      </c>
      <c r="R491" t="s">
        <v>48</v>
      </c>
      <c r="T491" t="s">
        <v>36</v>
      </c>
      <c r="U491" t="s">
        <v>36</v>
      </c>
      <c r="V491" t="s">
        <v>36</v>
      </c>
      <c r="W491">
        <v>4000</v>
      </c>
      <c r="X491" t="s">
        <v>49</v>
      </c>
      <c r="Y491" t="s">
        <v>50</v>
      </c>
      <c r="Z491" t="s">
        <v>51</v>
      </c>
      <c r="AA491" t="s">
        <v>37</v>
      </c>
      <c r="AB491" t="s">
        <v>52</v>
      </c>
      <c r="AC491" t="s">
        <v>53</v>
      </c>
      <c r="AD491" t="s">
        <v>54</v>
      </c>
      <c r="AE491">
        <v>17.953301761500001</v>
      </c>
      <c r="AF491">
        <v>2133</v>
      </c>
      <c r="AG491">
        <v>2132.87855231</v>
      </c>
      <c r="AH491">
        <v>179535.90666800001</v>
      </c>
      <c r="AI491">
        <v>47</v>
      </c>
      <c r="AJ491">
        <v>99983.673091207194</v>
      </c>
      <c r="AK491" s="1">
        <f>intersection_ss_Lden___surface[[#This Row],[surf m2 bout ss]]/intersection_ss_Lden___surface[[#This Row],[Shape_Area]]</f>
        <v>0.5569007055290518</v>
      </c>
      <c r="AL491">
        <v>4238</v>
      </c>
      <c r="AM491">
        <f>intersection_ss_Lden___surface[[#This Row],[Population totale 2024 ss]]*intersection_ss_Lden___surface[[#This Row],[Part de la surface du qs dans le noise contour]]</f>
        <v>2360.1451900321217</v>
      </c>
    </row>
    <row r="492" spans="1:39" x14ac:dyDescent="0.3">
      <c r="A492">
        <v>522</v>
      </c>
      <c r="B492" t="s">
        <v>756</v>
      </c>
      <c r="C492" t="s">
        <v>757</v>
      </c>
      <c r="D492" t="s">
        <v>757</v>
      </c>
      <c r="E492" t="s">
        <v>757</v>
      </c>
      <c r="F492" t="s">
        <v>755</v>
      </c>
      <c r="G492" t="s">
        <v>738</v>
      </c>
      <c r="H492" t="s">
        <v>739</v>
      </c>
      <c r="I492" t="s">
        <v>739</v>
      </c>
      <c r="J492" t="s">
        <v>36</v>
      </c>
      <c r="K492">
        <v>21008</v>
      </c>
      <c r="L492" t="s">
        <v>740</v>
      </c>
      <c r="M492" t="s">
        <v>740</v>
      </c>
      <c r="N492" t="s">
        <v>740</v>
      </c>
      <c r="O492">
        <v>21000</v>
      </c>
      <c r="P492" t="s">
        <v>46</v>
      </c>
      <c r="Q492" t="s">
        <v>47</v>
      </c>
      <c r="R492" t="s">
        <v>48</v>
      </c>
      <c r="T492" t="s">
        <v>36</v>
      </c>
      <c r="U492" t="s">
        <v>36</v>
      </c>
      <c r="V492" t="s">
        <v>36</v>
      </c>
      <c r="W492">
        <v>4000</v>
      </c>
      <c r="X492" t="s">
        <v>49</v>
      </c>
      <c r="Y492" t="s">
        <v>50</v>
      </c>
      <c r="Z492" t="s">
        <v>51</v>
      </c>
      <c r="AA492" t="s">
        <v>37</v>
      </c>
      <c r="AB492" t="s">
        <v>52</v>
      </c>
      <c r="AC492" t="s">
        <v>53</v>
      </c>
      <c r="AD492" t="s">
        <v>54</v>
      </c>
      <c r="AE492">
        <v>15.179303130699999</v>
      </c>
      <c r="AF492">
        <v>2087</v>
      </c>
      <c r="AG492">
        <v>2086.54079675</v>
      </c>
      <c r="AH492">
        <v>151795.475661</v>
      </c>
      <c r="AI492">
        <v>47</v>
      </c>
      <c r="AJ492">
        <v>31245.1721137194</v>
      </c>
      <c r="AK492" s="1">
        <f>intersection_ss_Lden___surface[[#This Row],[surf m2 bout ss]]/intersection_ss_Lden___surface[[#This Row],[Shape_Area]]</f>
        <v>0.20583730824427368</v>
      </c>
      <c r="AL492">
        <v>2587</v>
      </c>
      <c r="AM492">
        <f>intersection_ss_Lden___surface[[#This Row],[Population totale 2024 ss]]*intersection_ss_Lden___surface[[#This Row],[Part de la surface du qs dans le noise contour]]</f>
        <v>532.50111642793604</v>
      </c>
    </row>
    <row r="493" spans="1:39" x14ac:dyDescent="0.3">
      <c r="A493">
        <v>523</v>
      </c>
      <c r="B493" t="s">
        <v>756</v>
      </c>
      <c r="C493" t="s">
        <v>757</v>
      </c>
      <c r="D493" t="s">
        <v>757</v>
      </c>
      <c r="E493" t="s">
        <v>757</v>
      </c>
      <c r="F493" t="s">
        <v>755</v>
      </c>
      <c r="G493" t="s">
        <v>738</v>
      </c>
      <c r="H493" t="s">
        <v>739</v>
      </c>
      <c r="I493" t="s">
        <v>739</v>
      </c>
      <c r="J493" t="s">
        <v>36</v>
      </c>
      <c r="K493">
        <v>21008</v>
      </c>
      <c r="L493" t="s">
        <v>740</v>
      </c>
      <c r="M493" t="s">
        <v>740</v>
      </c>
      <c r="N493" t="s">
        <v>740</v>
      </c>
      <c r="O493">
        <v>21000</v>
      </c>
      <c r="P493" t="s">
        <v>46</v>
      </c>
      <c r="Q493" t="s">
        <v>47</v>
      </c>
      <c r="R493" t="s">
        <v>48</v>
      </c>
      <c r="T493" t="s">
        <v>36</v>
      </c>
      <c r="U493" t="s">
        <v>36</v>
      </c>
      <c r="V493" t="s">
        <v>36</v>
      </c>
      <c r="W493">
        <v>4000</v>
      </c>
      <c r="X493" t="s">
        <v>49</v>
      </c>
      <c r="Y493" t="s">
        <v>50</v>
      </c>
      <c r="Z493" t="s">
        <v>51</v>
      </c>
      <c r="AA493" t="s">
        <v>37</v>
      </c>
      <c r="AB493" t="s">
        <v>52</v>
      </c>
      <c r="AC493" t="s">
        <v>53</v>
      </c>
      <c r="AD493" t="s">
        <v>54</v>
      </c>
      <c r="AE493">
        <v>15.179303130699999</v>
      </c>
      <c r="AF493">
        <v>2087</v>
      </c>
      <c r="AG493">
        <v>2086.54079675</v>
      </c>
      <c r="AH493">
        <v>151795.475661</v>
      </c>
      <c r="AI493">
        <v>48</v>
      </c>
      <c r="AJ493">
        <v>120564.349419978</v>
      </c>
      <c r="AK493" s="1">
        <f>intersection_ss_Lden___surface[[#This Row],[surf m2 bout ss]]/intersection_ss_Lden___surface[[#This Row],[Shape_Area]]</f>
        <v>0.79425522331924114</v>
      </c>
      <c r="AL493">
        <v>2587</v>
      </c>
      <c r="AM493">
        <f>intersection_ss_Lden___surface[[#This Row],[Population totale 2024 ss]]*intersection_ss_Lden___surface[[#This Row],[Part de la surface du qs dans le noise contour]]</f>
        <v>2054.7382627268767</v>
      </c>
    </row>
    <row r="494" spans="1:39" x14ac:dyDescent="0.3">
      <c r="A494">
        <v>524</v>
      </c>
      <c r="B494" t="s">
        <v>758</v>
      </c>
      <c r="C494" t="s">
        <v>759</v>
      </c>
      <c r="D494" t="s">
        <v>760</v>
      </c>
      <c r="E494" t="s">
        <v>760</v>
      </c>
      <c r="F494" t="s">
        <v>755</v>
      </c>
      <c r="G494" t="s">
        <v>738</v>
      </c>
      <c r="H494" t="s">
        <v>739</v>
      </c>
      <c r="I494" t="s">
        <v>739</v>
      </c>
      <c r="J494" t="s">
        <v>36</v>
      </c>
      <c r="K494">
        <v>21008</v>
      </c>
      <c r="L494" t="s">
        <v>740</v>
      </c>
      <c r="M494" t="s">
        <v>740</v>
      </c>
      <c r="N494" t="s">
        <v>740</v>
      </c>
      <c r="O494">
        <v>21000</v>
      </c>
      <c r="P494" t="s">
        <v>46</v>
      </c>
      <c r="Q494" t="s">
        <v>47</v>
      </c>
      <c r="R494" t="s">
        <v>48</v>
      </c>
      <c r="T494" t="s">
        <v>36</v>
      </c>
      <c r="U494" t="s">
        <v>36</v>
      </c>
      <c r="V494" t="s">
        <v>36</v>
      </c>
      <c r="W494">
        <v>4000</v>
      </c>
      <c r="X494" t="s">
        <v>49</v>
      </c>
      <c r="Y494" t="s">
        <v>50</v>
      </c>
      <c r="Z494" t="s">
        <v>51</v>
      </c>
      <c r="AA494" t="s">
        <v>37</v>
      </c>
      <c r="AB494" t="s">
        <v>52</v>
      </c>
      <c r="AC494" t="s">
        <v>53</v>
      </c>
      <c r="AD494" t="s">
        <v>54</v>
      </c>
      <c r="AE494">
        <v>19.703618665099999</v>
      </c>
      <c r="AF494">
        <v>1857</v>
      </c>
      <c r="AG494">
        <v>1857.2067360399999</v>
      </c>
      <c r="AH494">
        <v>197039.36480700001</v>
      </c>
      <c r="AI494">
        <v>48</v>
      </c>
      <c r="AJ494">
        <v>197057.485615702</v>
      </c>
      <c r="AK494" s="1">
        <f>intersection_ss_Lden___surface[[#This Row],[surf m2 bout ss]]/intersection_ss_Lden___surface[[#This Row],[Shape_Area]]</f>
        <v>1.000091965423862</v>
      </c>
      <c r="AL494">
        <v>3002</v>
      </c>
      <c r="AM494">
        <f>intersection_ss_Lden___surface[[#This Row],[Population totale 2024 ss]]*intersection_ss_Lden___surface[[#This Row],[Part de la surface du qs dans le noise contour]]</f>
        <v>3002.2760802024336</v>
      </c>
    </row>
    <row r="495" spans="1:39" x14ac:dyDescent="0.3">
      <c r="A495">
        <v>525</v>
      </c>
      <c r="B495" t="s">
        <v>761</v>
      </c>
      <c r="C495" t="s">
        <v>762</v>
      </c>
      <c r="D495" t="s">
        <v>762</v>
      </c>
      <c r="E495" t="s">
        <v>762</v>
      </c>
      <c r="F495" t="s">
        <v>755</v>
      </c>
      <c r="G495" t="s">
        <v>738</v>
      </c>
      <c r="H495" t="s">
        <v>739</v>
      </c>
      <c r="I495" t="s">
        <v>739</v>
      </c>
      <c r="J495" t="s">
        <v>36</v>
      </c>
      <c r="K495">
        <v>21008</v>
      </c>
      <c r="L495" t="s">
        <v>740</v>
      </c>
      <c r="M495" t="s">
        <v>740</v>
      </c>
      <c r="N495" t="s">
        <v>740</v>
      </c>
      <c r="O495">
        <v>21000</v>
      </c>
      <c r="P495" t="s">
        <v>46</v>
      </c>
      <c r="Q495" t="s">
        <v>47</v>
      </c>
      <c r="R495" t="s">
        <v>48</v>
      </c>
      <c r="T495" t="s">
        <v>36</v>
      </c>
      <c r="U495" t="s">
        <v>36</v>
      </c>
      <c r="V495" t="s">
        <v>36</v>
      </c>
      <c r="W495">
        <v>4000</v>
      </c>
      <c r="X495" t="s">
        <v>49</v>
      </c>
      <c r="Y495" t="s">
        <v>50</v>
      </c>
      <c r="Z495" t="s">
        <v>51</v>
      </c>
      <c r="AA495" t="s">
        <v>37</v>
      </c>
      <c r="AB495" t="s">
        <v>52</v>
      </c>
      <c r="AC495" t="s">
        <v>53</v>
      </c>
      <c r="AD495" t="s">
        <v>54</v>
      </c>
      <c r="AE495">
        <v>15.9971985681</v>
      </c>
      <c r="AF495">
        <v>1849</v>
      </c>
      <c r="AG495">
        <v>1848.7389338999999</v>
      </c>
      <c r="AH495">
        <v>159974.56935100001</v>
      </c>
      <c r="AI495">
        <v>47</v>
      </c>
      <c r="AJ495">
        <v>135035.44279916299</v>
      </c>
      <c r="AK495" s="1">
        <f>intersection_ss_Lden___surface[[#This Row],[surf m2 bout ss]]/intersection_ss_Lden___surface[[#This Row],[Shape_Area]]</f>
        <v>0.84410568096534078</v>
      </c>
      <c r="AL495">
        <v>315</v>
      </c>
      <c r="AM495">
        <f>intersection_ss_Lden___surface[[#This Row],[Population totale 2024 ss]]*intersection_ss_Lden___surface[[#This Row],[Part de la surface du qs dans le noise contour]]</f>
        <v>265.89328950408236</v>
      </c>
    </row>
    <row r="496" spans="1:39" x14ac:dyDescent="0.3">
      <c r="A496">
        <v>526</v>
      </c>
      <c r="B496" t="s">
        <v>761</v>
      </c>
      <c r="C496" t="s">
        <v>762</v>
      </c>
      <c r="D496" t="s">
        <v>762</v>
      </c>
      <c r="E496" t="s">
        <v>762</v>
      </c>
      <c r="F496" t="s">
        <v>755</v>
      </c>
      <c r="G496" t="s">
        <v>738</v>
      </c>
      <c r="H496" t="s">
        <v>739</v>
      </c>
      <c r="I496" t="s">
        <v>739</v>
      </c>
      <c r="J496" t="s">
        <v>36</v>
      </c>
      <c r="K496">
        <v>21008</v>
      </c>
      <c r="L496" t="s">
        <v>740</v>
      </c>
      <c r="M496" t="s">
        <v>740</v>
      </c>
      <c r="N496" t="s">
        <v>740</v>
      </c>
      <c r="O496">
        <v>21000</v>
      </c>
      <c r="P496" t="s">
        <v>46</v>
      </c>
      <c r="Q496" t="s">
        <v>47</v>
      </c>
      <c r="R496" t="s">
        <v>48</v>
      </c>
      <c r="T496" t="s">
        <v>36</v>
      </c>
      <c r="U496" t="s">
        <v>36</v>
      </c>
      <c r="V496" t="s">
        <v>36</v>
      </c>
      <c r="W496">
        <v>4000</v>
      </c>
      <c r="X496" t="s">
        <v>49</v>
      </c>
      <c r="Y496" t="s">
        <v>50</v>
      </c>
      <c r="Z496" t="s">
        <v>51</v>
      </c>
      <c r="AA496" t="s">
        <v>37</v>
      </c>
      <c r="AB496" t="s">
        <v>52</v>
      </c>
      <c r="AC496" t="s">
        <v>53</v>
      </c>
      <c r="AD496" t="s">
        <v>54</v>
      </c>
      <c r="AE496">
        <v>15.9971985681</v>
      </c>
      <c r="AF496">
        <v>1849</v>
      </c>
      <c r="AG496">
        <v>1848.7389338999999</v>
      </c>
      <c r="AH496">
        <v>159974.56935100001</v>
      </c>
      <c r="AI496">
        <v>48</v>
      </c>
      <c r="AJ496">
        <v>24953.983440227799</v>
      </c>
      <c r="AK496" s="1">
        <f>intersection_ss_Lden___surface[[#This Row],[surf m2 bout ss]]/intersection_ss_Lden___surface[[#This Row],[Shape_Area]]</f>
        <v>0.15598718934805378</v>
      </c>
      <c r="AL496">
        <v>315</v>
      </c>
      <c r="AM496">
        <f>intersection_ss_Lden___surface[[#This Row],[Population totale 2024 ss]]*intersection_ss_Lden___surface[[#This Row],[Part de la surface du qs dans le noise contour]]</f>
        <v>49.135964644636942</v>
      </c>
    </row>
    <row r="497" spans="1:39" x14ac:dyDescent="0.3">
      <c r="A497">
        <v>527</v>
      </c>
      <c r="B497" t="s">
        <v>763</v>
      </c>
      <c r="C497" t="s">
        <v>764</v>
      </c>
      <c r="D497" t="s">
        <v>765</v>
      </c>
      <c r="E497" t="s">
        <v>765</v>
      </c>
      <c r="F497" t="s">
        <v>755</v>
      </c>
      <c r="G497" t="s">
        <v>738</v>
      </c>
      <c r="H497" t="s">
        <v>739</v>
      </c>
      <c r="I497" t="s">
        <v>739</v>
      </c>
      <c r="J497" t="s">
        <v>36</v>
      </c>
      <c r="K497">
        <v>21008</v>
      </c>
      <c r="L497" t="s">
        <v>740</v>
      </c>
      <c r="M497" t="s">
        <v>740</v>
      </c>
      <c r="N497" t="s">
        <v>740</v>
      </c>
      <c r="O497">
        <v>21000</v>
      </c>
      <c r="P497" t="s">
        <v>46</v>
      </c>
      <c r="Q497" t="s">
        <v>47</v>
      </c>
      <c r="R497" t="s">
        <v>48</v>
      </c>
      <c r="T497" t="s">
        <v>36</v>
      </c>
      <c r="U497" t="s">
        <v>36</v>
      </c>
      <c r="V497" t="s">
        <v>36</v>
      </c>
      <c r="W497">
        <v>4000</v>
      </c>
      <c r="X497" t="s">
        <v>49</v>
      </c>
      <c r="Y497" t="s">
        <v>50</v>
      </c>
      <c r="Z497" t="s">
        <v>51</v>
      </c>
      <c r="AA497" t="s">
        <v>37</v>
      </c>
      <c r="AB497" t="s">
        <v>52</v>
      </c>
      <c r="AC497" t="s">
        <v>53</v>
      </c>
      <c r="AD497" t="s">
        <v>54</v>
      </c>
      <c r="AE497">
        <v>10.8236694619</v>
      </c>
      <c r="AF497">
        <v>2243</v>
      </c>
      <c r="AG497">
        <v>2243.2324649900002</v>
      </c>
      <c r="AH497">
        <v>108238.43524200001</v>
      </c>
      <c r="AI497">
        <v>47</v>
      </c>
      <c r="AJ497">
        <v>16011.436713889199</v>
      </c>
      <c r="AK497" s="1">
        <f>intersection_ss_Lden___surface[[#This Row],[surf m2 bout ss]]/intersection_ss_Lden___surface[[#This Row],[Shape_Area]]</f>
        <v>0.1479274592069883</v>
      </c>
      <c r="AL497">
        <v>1527</v>
      </c>
      <c r="AM497">
        <f>intersection_ss_Lden___surface[[#This Row],[Population totale 2024 ss]]*intersection_ss_Lden___surface[[#This Row],[Part de la surface du qs dans le noise contour]]</f>
        <v>225.88523020907112</v>
      </c>
    </row>
    <row r="498" spans="1:39" x14ac:dyDescent="0.3">
      <c r="A498">
        <v>528</v>
      </c>
      <c r="B498" t="s">
        <v>763</v>
      </c>
      <c r="C498" t="s">
        <v>764</v>
      </c>
      <c r="D498" t="s">
        <v>765</v>
      </c>
      <c r="E498" t="s">
        <v>765</v>
      </c>
      <c r="F498" t="s">
        <v>755</v>
      </c>
      <c r="G498" t="s">
        <v>738</v>
      </c>
      <c r="H498" t="s">
        <v>739</v>
      </c>
      <c r="I498" t="s">
        <v>739</v>
      </c>
      <c r="J498" t="s">
        <v>36</v>
      </c>
      <c r="K498">
        <v>21008</v>
      </c>
      <c r="L498" t="s">
        <v>740</v>
      </c>
      <c r="M498" t="s">
        <v>740</v>
      </c>
      <c r="N498" t="s">
        <v>740</v>
      </c>
      <c r="O498">
        <v>21000</v>
      </c>
      <c r="P498" t="s">
        <v>46</v>
      </c>
      <c r="Q498" t="s">
        <v>47</v>
      </c>
      <c r="R498" t="s">
        <v>48</v>
      </c>
      <c r="T498" t="s">
        <v>36</v>
      </c>
      <c r="U498" t="s">
        <v>36</v>
      </c>
      <c r="V498" t="s">
        <v>36</v>
      </c>
      <c r="W498">
        <v>4000</v>
      </c>
      <c r="X498" t="s">
        <v>49</v>
      </c>
      <c r="Y498" t="s">
        <v>50</v>
      </c>
      <c r="Z498" t="s">
        <v>51</v>
      </c>
      <c r="AA498" t="s">
        <v>37</v>
      </c>
      <c r="AB498" t="s">
        <v>52</v>
      </c>
      <c r="AC498" t="s">
        <v>53</v>
      </c>
      <c r="AD498" t="s">
        <v>54</v>
      </c>
      <c r="AE498">
        <v>10.8236694619</v>
      </c>
      <c r="AF498">
        <v>2243</v>
      </c>
      <c r="AG498">
        <v>2243.2324649900002</v>
      </c>
      <c r="AH498">
        <v>108238.43524200001</v>
      </c>
      <c r="AI498">
        <v>48</v>
      </c>
      <c r="AJ498">
        <v>92237.003494349396</v>
      </c>
      <c r="AK498" s="1">
        <f>intersection_ss_Lden___surface[[#This Row],[surf m2 bout ss]]/intersection_ss_Lden___surface[[#This Row],[Shape_Area]]</f>
        <v>0.85216497529851998</v>
      </c>
      <c r="AL498">
        <v>1527</v>
      </c>
      <c r="AM498">
        <f>intersection_ss_Lden___surface[[#This Row],[Population totale 2024 ss]]*intersection_ss_Lden___surface[[#This Row],[Part de la surface du qs dans le noise contour]]</f>
        <v>1301.2559172808401</v>
      </c>
    </row>
    <row r="499" spans="1:39" x14ac:dyDescent="0.3">
      <c r="A499">
        <v>529</v>
      </c>
      <c r="B499" t="s">
        <v>766</v>
      </c>
      <c r="C499" t="s">
        <v>767</v>
      </c>
      <c r="D499" t="s">
        <v>767</v>
      </c>
      <c r="E499" t="s">
        <v>767</v>
      </c>
      <c r="F499" t="s">
        <v>755</v>
      </c>
      <c r="G499" t="s">
        <v>738</v>
      </c>
      <c r="H499" t="s">
        <v>739</v>
      </c>
      <c r="I499" t="s">
        <v>739</v>
      </c>
      <c r="J499" t="s">
        <v>36</v>
      </c>
      <c r="K499">
        <v>21008</v>
      </c>
      <c r="L499" t="s">
        <v>740</v>
      </c>
      <c r="M499" t="s">
        <v>740</v>
      </c>
      <c r="N499" t="s">
        <v>740</v>
      </c>
      <c r="O499">
        <v>21000</v>
      </c>
      <c r="P499" t="s">
        <v>46</v>
      </c>
      <c r="Q499" t="s">
        <v>47</v>
      </c>
      <c r="R499" t="s">
        <v>48</v>
      </c>
      <c r="T499" t="s">
        <v>36</v>
      </c>
      <c r="U499" t="s">
        <v>36</v>
      </c>
      <c r="V499" t="s">
        <v>36</v>
      </c>
      <c r="W499">
        <v>4000</v>
      </c>
      <c r="X499" t="s">
        <v>49</v>
      </c>
      <c r="Y499" t="s">
        <v>50</v>
      </c>
      <c r="Z499" t="s">
        <v>51</v>
      </c>
      <c r="AA499" t="s">
        <v>37</v>
      </c>
      <c r="AB499" t="s">
        <v>52</v>
      </c>
      <c r="AC499" t="s">
        <v>53</v>
      </c>
      <c r="AD499" t="s">
        <v>54</v>
      </c>
      <c r="AE499">
        <v>9.2746880039199997</v>
      </c>
      <c r="AF499">
        <v>1283</v>
      </c>
      <c r="AG499">
        <v>1283.1869890099999</v>
      </c>
      <c r="AH499">
        <v>92748.361023999998</v>
      </c>
      <c r="AI499">
        <v>48</v>
      </c>
      <c r="AJ499">
        <v>92756.938523158402</v>
      </c>
      <c r="AK499" s="1">
        <f>intersection_ss_Lden___surface[[#This Row],[surf m2 bout ss]]/intersection_ss_Lden___surface[[#This Row],[Shape_Area]]</f>
        <v>1.0000924814095224</v>
      </c>
      <c r="AL499">
        <v>0</v>
      </c>
      <c r="AM499">
        <f>intersection_ss_Lden___surface[[#This Row],[Population totale 2024 ss]]*intersection_ss_Lden___surface[[#This Row],[Part de la surface du qs dans le noise contour]]</f>
        <v>0</v>
      </c>
    </row>
    <row r="500" spans="1:39" x14ac:dyDescent="0.3">
      <c r="A500">
        <v>530</v>
      </c>
      <c r="B500" t="s">
        <v>768</v>
      </c>
      <c r="C500" t="s">
        <v>769</v>
      </c>
      <c r="D500" t="s">
        <v>770</v>
      </c>
      <c r="E500" t="s">
        <v>770</v>
      </c>
      <c r="F500" t="s">
        <v>755</v>
      </c>
      <c r="G500" t="s">
        <v>738</v>
      </c>
      <c r="H500" t="s">
        <v>739</v>
      </c>
      <c r="I500" t="s">
        <v>739</v>
      </c>
      <c r="J500" t="s">
        <v>36</v>
      </c>
      <c r="K500">
        <v>21008</v>
      </c>
      <c r="L500" t="s">
        <v>740</v>
      </c>
      <c r="M500" t="s">
        <v>740</v>
      </c>
      <c r="N500" t="s">
        <v>740</v>
      </c>
      <c r="O500">
        <v>21000</v>
      </c>
      <c r="P500" t="s">
        <v>46</v>
      </c>
      <c r="Q500" t="s">
        <v>47</v>
      </c>
      <c r="R500" t="s">
        <v>48</v>
      </c>
      <c r="T500" t="s">
        <v>36</v>
      </c>
      <c r="U500" t="s">
        <v>36</v>
      </c>
      <c r="V500" t="s">
        <v>36</v>
      </c>
      <c r="W500">
        <v>4000</v>
      </c>
      <c r="X500" t="s">
        <v>49</v>
      </c>
      <c r="Y500" t="s">
        <v>50</v>
      </c>
      <c r="Z500" t="s">
        <v>51</v>
      </c>
      <c r="AA500" t="s">
        <v>37</v>
      </c>
      <c r="AB500" t="s">
        <v>52</v>
      </c>
      <c r="AC500" t="s">
        <v>53</v>
      </c>
      <c r="AD500" t="s">
        <v>54</v>
      </c>
      <c r="AE500">
        <v>38.8619688008</v>
      </c>
      <c r="AF500">
        <v>3967</v>
      </c>
      <c r="AG500">
        <v>3967.1040902899999</v>
      </c>
      <c r="AH500">
        <v>388625.93974599999</v>
      </c>
      <c r="AI500">
        <v>48</v>
      </c>
      <c r="AJ500">
        <v>388661.50102064101</v>
      </c>
      <c r="AK500" s="1">
        <f>intersection_ss_Lden___surface[[#This Row],[surf m2 bout ss]]/intersection_ss_Lden___surface[[#This Row],[Shape_Area]]</f>
        <v>1.0000915051493069</v>
      </c>
      <c r="AL500">
        <v>0</v>
      </c>
      <c r="AM500">
        <f>intersection_ss_Lden___surface[[#This Row],[Population totale 2024 ss]]*intersection_ss_Lden___surface[[#This Row],[Part de la surface du qs dans le noise contour]]</f>
        <v>0</v>
      </c>
    </row>
    <row r="501" spans="1:39" x14ac:dyDescent="0.3">
      <c r="A501">
        <v>531</v>
      </c>
      <c r="B501" t="s">
        <v>771</v>
      </c>
      <c r="C501" t="s">
        <v>772</v>
      </c>
      <c r="D501" t="s">
        <v>772</v>
      </c>
      <c r="E501" t="s">
        <v>772</v>
      </c>
      <c r="F501" t="s">
        <v>773</v>
      </c>
      <c r="G501" t="s">
        <v>738</v>
      </c>
      <c r="H501" t="s">
        <v>739</v>
      </c>
      <c r="I501" t="s">
        <v>739</v>
      </c>
      <c r="J501" t="s">
        <v>36</v>
      </c>
      <c r="K501">
        <v>21008</v>
      </c>
      <c r="L501" t="s">
        <v>740</v>
      </c>
      <c r="M501" t="s">
        <v>740</v>
      </c>
      <c r="N501" t="s">
        <v>740</v>
      </c>
      <c r="O501">
        <v>21000</v>
      </c>
      <c r="P501" t="s">
        <v>46</v>
      </c>
      <c r="Q501" t="s">
        <v>47</v>
      </c>
      <c r="R501" t="s">
        <v>48</v>
      </c>
      <c r="T501" t="s">
        <v>36</v>
      </c>
      <c r="U501" t="s">
        <v>36</v>
      </c>
      <c r="V501" t="s">
        <v>36</v>
      </c>
      <c r="W501">
        <v>4000</v>
      </c>
      <c r="X501" t="s">
        <v>49</v>
      </c>
      <c r="Y501" t="s">
        <v>50</v>
      </c>
      <c r="Z501" t="s">
        <v>51</v>
      </c>
      <c r="AA501" t="s">
        <v>37</v>
      </c>
      <c r="AB501" t="s">
        <v>52</v>
      </c>
      <c r="AC501" t="s">
        <v>53</v>
      </c>
      <c r="AD501" t="s">
        <v>54</v>
      </c>
      <c r="AE501">
        <v>11.9817982038</v>
      </c>
      <c r="AF501">
        <v>1554</v>
      </c>
      <c r="AG501">
        <v>1554.2890017499999</v>
      </c>
      <c r="AH501">
        <v>119819.90388500001</v>
      </c>
      <c r="AI501">
        <v>47</v>
      </c>
      <c r="AJ501">
        <v>1559.1473653595899</v>
      </c>
      <c r="AK501" s="1">
        <f>intersection_ss_Lden___surface[[#This Row],[surf m2 bout ss]]/intersection_ss_Lden___surface[[#This Row],[Shape_Area]]</f>
        <v>1.301242376939326E-2</v>
      </c>
      <c r="AL501">
        <v>1329</v>
      </c>
      <c r="AM501">
        <f>intersection_ss_Lden___surface[[#This Row],[Population totale 2024 ss]]*intersection_ss_Lden___surface[[#This Row],[Part de la surface du qs dans le noise contour]]</f>
        <v>17.293511189523642</v>
      </c>
    </row>
    <row r="502" spans="1:39" x14ac:dyDescent="0.3">
      <c r="A502">
        <v>532</v>
      </c>
      <c r="B502" t="s">
        <v>771</v>
      </c>
      <c r="C502" t="s">
        <v>772</v>
      </c>
      <c r="D502" t="s">
        <v>772</v>
      </c>
      <c r="E502" t="s">
        <v>772</v>
      </c>
      <c r="F502" t="s">
        <v>773</v>
      </c>
      <c r="G502" t="s">
        <v>738</v>
      </c>
      <c r="H502" t="s">
        <v>739</v>
      </c>
      <c r="I502" t="s">
        <v>739</v>
      </c>
      <c r="J502" t="s">
        <v>36</v>
      </c>
      <c r="K502">
        <v>21008</v>
      </c>
      <c r="L502" t="s">
        <v>740</v>
      </c>
      <c r="M502" t="s">
        <v>740</v>
      </c>
      <c r="N502" t="s">
        <v>740</v>
      </c>
      <c r="O502">
        <v>21000</v>
      </c>
      <c r="P502" t="s">
        <v>46</v>
      </c>
      <c r="Q502" t="s">
        <v>47</v>
      </c>
      <c r="R502" t="s">
        <v>48</v>
      </c>
      <c r="T502" t="s">
        <v>36</v>
      </c>
      <c r="U502" t="s">
        <v>36</v>
      </c>
      <c r="V502" t="s">
        <v>36</v>
      </c>
      <c r="W502">
        <v>4000</v>
      </c>
      <c r="X502" t="s">
        <v>49</v>
      </c>
      <c r="Y502" t="s">
        <v>50</v>
      </c>
      <c r="Z502" t="s">
        <v>51</v>
      </c>
      <c r="AA502" t="s">
        <v>37</v>
      </c>
      <c r="AB502" t="s">
        <v>52</v>
      </c>
      <c r="AC502" t="s">
        <v>53</v>
      </c>
      <c r="AD502" t="s">
        <v>54</v>
      </c>
      <c r="AE502">
        <v>11.9817982038</v>
      </c>
      <c r="AF502">
        <v>1554</v>
      </c>
      <c r="AG502">
        <v>1554.2890017499999</v>
      </c>
      <c r="AH502">
        <v>119819.90388500001</v>
      </c>
      <c r="AI502">
        <v>48</v>
      </c>
      <c r="AJ502">
        <v>118271.78804179899</v>
      </c>
      <c r="AK502" s="1">
        <f>intersection_ss_Lden___surface[[#This Row],[surf m2 bout ss]]/intersection_ss_Lden___surface[[#This Row],[Shape_Area]]</f>
        <v>0.98707964375696</v>
      </c>
      <c r="AL502">
        <v>1329</v>
      </c>
      <c r="AM502">
        <f>intersection_ss_Lden___surface[[#This Row],[Population totale 2024 ss]]*intersection_ss_Lden___surface[[#This Row],[Part de la surface du qs dans le noise contour]]</f>
        <v>1311.8288465529999</v>
      </c>
    </row>
    <row r="503" spans="1:39" x14ac:dyDescent="0.3">
      <c r="A503">
        <v>533</v>
      </c>
      <c r="B503" t="s">
        <v>774</v>
      </c>
      <c r="C503" t="s">
        <v>775</v>
      </c>
      <c r="D503" t="s">
        <v>775</v>
      </c>
      <c r="E503" t="s">
        <v>775</v>
      </c>
      <c r="F503" t="s">
        <v>773</v>
      </c>
      <c r="G503" t="s">
        <v>738</v>
      </c>
      <c r="H503" t="s">
        <v>739</v>
      </c>
      <c r="I503" t="s">
        <v>739</v>
      </c>
      <c r="J503" t="s">
        <v>36</v>
      </c>
      <c r="K503">
        <v>21008</v>
      </c>
      <c r="L503" t="s">
        <v>740</v>
      </c>
      <c r="M503" t="s">
        <v>740</v>
      </c>
      <c r="N503" t="s">
        <v>740</v>
      </c>
      <c r="O503">
        <v>21000</v>
      </c>
      <c r="P503" t="s">
        <v>46</v>
      </c>
      <c r="Q503" t="s">
        <v>47</v>
      </c>
      <c r="R503" t="s">
        <v>48</v>
      </c>
      <c r="T503" t="s">
        <v>36</v>
      </c>
      <c r="U503" t="s">
        <v>36</v>
      </c>
      <c r="V503" t="s">
        <v>36</v>
      </c>
      <c r="W503">
        <v>4000</v>
      </c>
      <c r="X503" t="s">
        <v>49</v>
      </c>
      <c r="Y503" t="s">
        <v>50</v>
      </c>
      <c r="Z503" t="s">
        <v>51</v>
      </c>
      <c r="AA503" t="s">
        <v>37</v>
      </c>
      <c r="AB503" t="s">
        <v>52</v>
      </c>
      <c r="AC503" t="s">
        <v>53</v>
      </c>
      <c r="AD503" t="s">
        <v>54</v>
      </c>
      <c r="AE503">
        <v>3.2659593630399999</v>
      </c>
      <c r="AF503">
        <v>832</v>
      </c>
      <c r="AG503">
        <v>831.83391142300002</v>
      </c>
      <c r="AH503">
        <v>32660.120426000001</v>
      </c>
      <c r="AI503">
        <v>48</v>
      </c>
      <c r="AJ503">
        <v>32663.1250955285</v>
      </c>
      <c r="AK503" s="1">
        <f>intersection_ss_Lden___surface[[#This Row],[surf m2 bout ss]]/intersection_ss_Lden___surface[[#This Row],[Shape_Area]]</f>
        <v>1.0000919981154175</v>
      </c>
      <c r="AL503">
        <v>512</v>
      </c>
      <c r="AM503">
        <f>intersection_ss_Lden___surface[[#This Row],[Population totale 2024 ss]]*intersection_ss_Lden___surface[[#This Row],[Part de la surface du qs dans le noise contour]]</f>
        <v>512.04710303509376</v>
      </c>
    </row>
    <row r="504" spans="1:39" x14ac:dyDescent="0.3">
      <c r="A504">
        <v>534</v>
      </c>
      <c r="B504" t="s">
        <v>776</v>
      </c>
      <c r="C504" t="s">
        <v>777</v>
      </c>
      <c r="D504" t="s">
        <v>777</v>
      </c>
      <c r="E504" t="s">
        <v>777</v>
      </c>
      <c r="F504" t="s">
        <v>773</v>
      </c>
      <c r="G504" t="s">
        <v>738</v>
      </c>
      <c r="H504" t="s">
        <v>739</v>
      </c>
      <c r="I504" t="s">
        <v>739</v>
      </c>
      <c r="J504" t="s">
        <v>36</v>
      </c>
      <c r="K504">
        <v>21008</v>
      </c>
      <c r="L504" t="s">
        <v>740</v>
      </c>
      <c r="M504" t="s">
        <v>740</v>
      </c>
      <c r="N504" t="s">
        <v>740</v>
      </c>
      <c r="O504">
        <v>21000</v>
      </c>
      <c r="P504" t="s">
        <v>46</v>
      </c>
      <c r="Q504" t="s">
        <v>47</v>
      </c>
      <c r="R504" t="s">
        <v>48</v>
      </c>
      <c r="T504" t="s">
        <v>36</v>
      </c>
      <c r="U504" t="s">
        <v>36</v>
      </c>
      <c r="V504" t="s">
        <v>36</v>
      </c>
      <c r="W504">
        <v>4000</v>
      </c>
      <c r="X504" t="s">
        <v>49</v>
      </c>
      <c r="Y504" t="s">
        <v>50</v>
      </c>
      <c r="Z504" t="s">
        <v>51</v>
      </c>
      <c r="AA504" t="s">
        <v>37</v>
      </c>
      <c r="AB504" t="s">
        <v>52</v>
      </c>
      <c r="AC504" t="s">
        <v>53</v>
      </c>
      <c r="AD504" t="s">
        <v>54</v>
      </c>
      <c r="AE504">
        <v>8.3420874215699996</v>
      </c>
      <c r="AF504">
        <v>1224</v>
      </c>
      <c r="AG504">
        <v>1224.1052467</v>
      </c>
      <c r="AH504">
        <v>83422.218384699998</v>
      </c>
      <c r="AI504">
        <v>47</v>
      </c>
      <c r="AJ504">
        <v>60054.315665531401</v>
      </c>
      <c r="AK504" s="1">
        <f>intersection_ss_Lden___surface[[#This Row],[surf m2 bout ss]]/intersection_ss_Lden___surface[[#This Row],[Shape_Area]]</f>
        <v>0.71988394492929986</v>
      </c>
      <c r="AL504">
        <v>1613</v>
      </c>
      <c r="AM504">
        <f>intersection_ss_Lden___surface[[#This Row],[Population totale 2024 ss]]*intersection_ss_Lden___surface[[#This Row],[Part de la surface du qs dans le noise contour]]</f>
        <v>1161.1728031709606</v>
      </c>
    </row>
    <row r="505" spans="1:39" x14ac:dyDescent="0.3">
      <c r="A505">
        <v>535</v>
      </c>
      <c r="B505" t="s">
        <v>776</v>
      </c>
      <c r="C505" t="s">
        <v>777</v>
      </c>
      <c r="D505" t="s">
        <v>777</v>
      </c>
      <c r="E505" t="s">
        <v>777</v>
      </c>
      <c r="F505" t="s">
        <v>773</v>
      </c>
      <c r="G505" t="s">
        <v>738</v>
      </c>
      <c r="H505" t="s">
        <v>739</v>
      </c>
      <c r="I505" t="s">
        <v>739</v>
      </c>
      <c r="J505" t="s">
        <v>36</v>
      </c>
      <c r="K505">
        <v>21008</v>
      </c>
      <c r="L505" t="s">
        <v>740</v>
      </c>
      <c r="M505" t="s">
        <v>740</v>
      </c>
      <c r="N505" t="s">
        <v>740</v>
      </c>
      <c r="O505">
        <v>21000</v>
      </c>
      <c r="P505" t="s">
        <v>46</v>
      </c>
      <c r="Q505" t="s">
        <v>47</v>
      </c>
      <c r="R505" t="s">
        <v>48</v>
      </c>
      <c r="T505" t="s">
        <v>36</v>
      </c>
      <c r="U505" t="s">
        <v>36</v>
      </c>
      <c r="V505" t="s">
        <v>36</v>
      </c>
      <c r="W505">
        <v>4000</v>
      </c>
      <c r="X505" t="s">
        <v>49</v>
      </c>
      <c r="Y505" t="s">
        <v>50</v>
      </c>
      <c r="Z505" t="s">
        <v>51</v>
      </c>
      <c r="AA505" t="s">
        <v>37</v>
      </c>
      <c r="AB505" t="s">
        <v>52</v>
      </c>
      <c r="AC505" t="s">
        <v>53</v>
      </c>
      <c r="AD505" t="s">
        <v>54</v>
      </c>
      <c r="AE505">
        <v>8.3420874215699996</v>
      </c>
      <c r="AF505">
        <v>1224</v>
      </c>
      <c r="AG505">
        <v>1224.1052467</v>
      </c>
      <c r="AH505">
        <v>83422.218384699998</v>
      </c>
      <c r="AI505">
        <v>48</v>
      </c>
      <c r="AJ505">
        <v>23375.632906258099</v>
      </c>
      <c r="AK505" s="1">
        <f>intersection_ss_Lden___surface[[#This Row],[surf m2 bout ss]]/intersection_ss_Lden___surface[[#This Row],[Shape_Area]]</f>
        <v>0.28020871847907242</v>
      </c>
      <c r="AL505">
        <v>1613</v>
      </c>
      <c r="AM505">
        <f>intersection_ss_Lden___surface[[#This Row],[Population totale 2024 ss]]*intersection_ss_Lden___surface[[#This Row],[Part de la surface du qs dans le noise contour]]</f>
        <v>451.9766629067438</v>
      </c>
    </row>
    <row r="506" spans="1:39" x14ac:dyDescent="0.3">
      <c r="A506">
        <v>536</v>
      </c>
      <c r="B506" t="s">
        <v>778</v>
      </c>
      <c r="C506" t="s">
        <v>779</v>
      </c>
      <c r="D506" t="s">
        <v>780</v>
      </c>
      <c r="E506" t="s">
        <v>780</v>
      </c>
      <c r="F506" t="s">
        <v>773</v>
      </c>
      <c r="G506" t="s">
        <v>738</v>
      </c>
      <c r="H506" t="s">
        <v>739</v>
      </c>
      <c r="I506" t="s">
        <v>739</v>
      </c>
      <c r="J506" t="s">
        <v>36</v>
      </c>
      <c r="K506">
        <v>21008</v>
      </c>
      <c r="L506" t="s">
        <v>740</v>
      </c>
      <c r="M506" t="s">
        <v>740</v>
      </c>
      <c r="N506" t="s">
        <v>740</v>
      </c>
      <c r="O506">
        <v>21000</v>
      </c>
      <c r="P506" t="s">
        <v>46</v>
      </c>
      <c r="Q506" t="s">
        <v>47</v>
      </c>
      <c r="R506" t="s">
        <v>48</v>
      </c>
      <c r="T506" t="s">
        <v>36</v>
      </c>
      <c r="U506" t="s">
        <v>36</v>
      </c>
      <c r="V506" t="s">
        <v>36</v>
      </c>
      <c r="W506">
        <v>4000</v>
      </c>
      <c r="X506" t="s">
        <v>49</v>
      </c>
      <c r="Y506" t="s">
        <v>50</v>
      </c>
      <c r="Z506" t="s">
        <v>51</v>
      </c>
      <c r="AA506" t="s">
        <v>37</v>
      </c>
      <c r="AB506" t="s">
        <v>52</v>
      </c>
      <c r="AC506" t="s">
        <v>53</v>
      </c>
      <c r="AD506" t="s">
        <v>54</v>
      </c>
      <c r="AE506">
        <v>9.7877693913300003</v>
      </c>
      <c r="AF506">
        <v>1297</v>
      </c>
      <c r="AG506">
        <v>1296.9381226600001</v>
      </c>
      <c r="AH506">
        <v>97879.268791800001</v>
      </c>
      <c r="AI506">
        <v>46</v>
      </c>
      <c r="AJ506">
        <v>2284.1932482719399</v>
      </c>
      <c r="AK506" s="1">
        <f>intersection_ss_Lden___surface[[#This Row],[surf m2 bout ss]]/intersection_ss_Lden___surface[[#This Row],[Shape_Area]]</f>
        <v>2.3336844221125832E-2</v>
      </c>
      <c r="AL506">
        <v>1188</v>
      </c>
      <c r="AM506">
        <f>intersection_ss_Lden___surface[[#This Row],[Population totale 2024 ss]]*intersection_ss_Lden___surface[[#This Row],[Part de la surface du qs dans le noise contour]]</f>
        <v>27.724170934697487</v>
      </c>
    </row>
    <row r="507" spans="1:39" x14ac:dyDescent="0.3">
      <c r="A507">
        <v>537</v>
      </c>
      <c r="B507" t="s">
        <v>778</v>
      </c>
      <c r="C507" t="s">
        <v>779</v>
      </c>
      <c r="D507" t="s">
        <v>780</v>
      </c>
      <c r="E507" t="s">
        <v>780</v>
      </c>
      <c r="F507" t="s">
        <v>773</v>
      </c>
      <c r="G507" t="s">
        <v>738</v>
      </c>
      <c r="H507" t="s">
        <v>739</v>
      </c>
      <c r="I507" t="s">
        <v>739</v>
      </c>
      <c r="J507" t="s">
        <v>36</v>
      </c>
      <c r="K507">
        <v>21008</v>
      </c>
      <c r="L507" t="s">
        <v>740</v>
      </c>
      <c r="M507" t="s">
        <v>740</v>
      </c>
      <c r="N507" t="s">
        <v>740</v>
      </c>
      <c r="O507">
        <v>21000</v>
      </c>
      <c r="P507" t="s">
        <v>46</v>
      </c>
      <c r="Q507" t="s">
        <v>47</v>
      </c>
      <c r="R507" t="s">
        <v>48</v>
      </c>
      <c r="T507" t="s">
        <v>36</v>
      </c>
      <c r="U507" t="s">
        <v>36</v>
      </c>
      <c r="V507" t="s">
        <v>36</v>
      </c>
      <c r="W507">
        <v>4000</v>
      </c>
      <c r="X507" t="s">
        <v>49</v>
      </c>
      <c r="Y507" t="s">
        <v>50</v>
      </c>
      <c r="Z507" t="s">
        <v>51</v>
      </c>
      <c r="AA507" t="s">
        <v>37</v>
      </c>
      <c r="AB507" t="s">
        <v>52</v>
      </c>
      <c r="AC507" t="s">
        <v>53</v>
      </c>
      <c r="AD507" t="s">
        <v>54</v>
      </c>
      <c r="AE507">
        <v>9.7877693913300003</v>
      </c>
      <c r="AF507">
        <v>1297</v>
      </c>
      <c r="AG507">
        <v>1296.9381226600001</v>
      </c>
      <c r="AH507">
        <v>97879.268791800001</v>
      </c>
      <c r="AI507">
        <v>47</v>
      </c>
      <c r="AJ507">
        <v>94270.918597488198</v>
      </c>
      <c r="AK507" s="1">
        <f>intersection_ss_Lden___surface[[#This Row],[surf m2 bout ss]]/intersection_ss_Lden___surface[[#This Row],[Shape_Area]]</f>
        <v>0.96313468379103684</v>
      </c>
      <c r="AL507">
        <v>1188</v>
      </c>
      <c r="AM507">
        <f>intersection_ss_Lden___surface[[#This Row],[Population totale 2024 ss]]*intersection_ss_Lden___surface[[#This Row],[Part de la surface du qs dans le noise contour]]</f>
        <v>1144.2040043437519</v>
      </c>
    </row>
    <row r="508" spans="1:39" x14ac:dyDescent="0.3">
      <c r="A508">
        <v>538</v>
      </c>
      <c r="B508" t="s">
        <v>778</v>
      </c>
      <c r="C508" t="s">
        <v>779</v>
      </c>
      <c r="D508" t="s">
        <v>780</v>
      </c>
      <c r="E508" t="s">
        <v>780</v>
      </c>
      <c r="F508" t="s">
        <v>773</v>
      </c>
      <c r="G508" t="s">
        <v>738</v>
      </c>
      <c r="H508" t="s">
        <v>739</v>
      </c>
      <c r="I508" t="s">
        <v>739</v>
      </c>
      <c r="J508" t="s">
        <v>36</v>
      </c>
      <c r="K508">
        <v>21008</v>
      </c>
      <c r="L508" t="s">
        <v>740</v>
      </c>
      <c r="M508" t="s">
        <v>740</v>
      </c>
      <c r="N508" t="s">
        <v>740</v>
      </c>
      <c r="O508">
        <v>21000</v>
      </c>
      <c r="P508" t="s">
        <v>46</v>
      </c>
      <c r="Q508" t="s">
        <v>47</v>
      </c>
      <c r="R508" t="s">
        <v>48</v>
      </c>
      <c r="T508" t="s">
        <v>36</v>
      </c>
      <c r="U508" t="s">
        <v>36</v>
      </c>
      <c r="V508" t="s">
        <v>36</v>
      </c>
      <c r="W508">
        <v>4000</v>
      </c>
      <c r="X508" t="s">
        <v>49</v>
      </c>
      <c r="Y508" t="s">
        <v>50</v>
      </c>
      <c r="Z508" t="s">
        <v>51</v>
      </c>
      <c r="AA508" t="s">
        <v>37</v>
      </c>
      <c r="AB508" t="s">
        <v>52</v>
      </c>
      <c r="AC508" t="s">
        <v>53</v>
      </c>
      <c r="AD508" t="s">
        <v>54</v>
      </c>
      <c r="AE508">
        <v>9.7877693913300003</v>
      </c>
      <c r="AF508">
        <v>1297</v>
      </c>
      <c r="AG508">
        <v>1296.9381226600001</v>
      </c>
      <c r="AH508">
        <v>97879.268791800001</v>
      </c>
      <c r="AI508">
        <v>48</v>
      </c>
      <c r="AJ508">
        <v>1333.25452789664</v>
      </c>
      <c r="AK508" s="1">
        <f>intersection_ss_Lden___surface[[#This Row],[surf m2 bout ss]]/intersection_ss_Lden___surface[[#This Row],[Shape_Area]]</f>
        <v>1.3621418961890891E-2</v>
      </c>
      <c r="AL508">
        <v>1188</v>
      </c>
      <c r="AM508">
        <f>intersection_ss_Lden___surface[[#This Row],[Population totale 2024 ss]]*intersection_ss_Lden___surface[[#This Row],[Part de la surface du qs dans le noise contour]]</f>
        <v>16.182245726726379</v>
      </c>
    </row>
    <row r="509" spans="1:39" x14ac:dyDescent="0.3">
      <c r="A509">
        <v>539</v>
      </c>
      <c r="B509" t="s">
        <v>781</v>
      </c>
      <c r="C509" t="s">
        <v>782</v>
      </c>
      <c r="D509" t="s">
        <v>783</v>
      </c>
      <c r="E509" t="s">
        <v>783</v>
      </c>
      <c r="F509" t="s">
        <v>773</v>
      </c>
      <c r="G509" t="s">
        <v>738</v>
      </c>
      <c r="H509" t="s">
        <v>739</v>
      </c>
      <c r="I509" t="s">
        <v>739</v>
      </c>
      <c r="J509" t="s">
        <v>36</v>
      </c>
      <c r="K509">
        <v>21008</v>
      </c>
      <c r="L509" t="s">
        <v>740</v>
      </c>
      <c r="M509" t="s">
        <v>740</v>
      </c>
      <c r="N509" t="s">
        <v>740</v>
      </c>
      <c r="O509">
        <v>21000</v>
      </c>
      <c r="P509" t="s">
        <v>46</v>
      </c>
      <c r="Q509" t="s">
        <v>47</v>
      </c>
      <c r="R509" t="s">
        <v>48</v>
      </c>
      <c r="T509" t="s">
        <v>36</v>
      </c>
      <c r="U509" t="s">
        <v>36</v>
      </c>
      <c r="V509" t="s">
        <v>36</v>
      </c>
      <c r="W509">
        <v>4000</v>
      </c>
      <c r="X509" t="s">
        <v>49</v>
      </c>
      <c r="Y509" t="s">
        <v>50</v>
      </c>
      <c r="Z509" t="s">
        <v>51</v>
      </c>
      <c r="AA509" t="s">
        <v>37</v>
      </c>
      <c r="AB509" t="s">
        <v>52</v>
      </c>
      <c r="AC509" t="s">
        <v>53</v>
      </c>
      <c r="AD509" t="s">
        <v>54</v>
      </c>
      <c r="AE509">
        <v>13.2690274598</v>
      </c>
      <c r="AF509">
        <v>1795</v>
      </c>
      <c r="AG509">
        <v>1794.9632579900001</v>
      </c>
      <c r="AH509">
        <v>132692.39890100001</v>
      </c>
      <c r="AI509">
        <v>48</v>
      </c>
      <c r="AJ509">
        <v>132704.555277548</v>
      </c>
      <c r="AK509" s="1">
        <f>intersection_ss_Lden___surface[[#This Row],[surf m2 bout ss]]/intersection_ss_Lden___surface[[#This Row],[Shape_Area]]</f>
        <v>1.0000916132095634</v>
      </c>
      <c r="AL509">
        <v>589</v>
      </c>
      <c r="AM509">
        <f>intersection_ss_Lden___surface[[#This Row],[Population totale 2024 ss]]*intersection_ss_Lden___surface[[#This Row],[Part de la surface du qs dans le noise contour]]</f>
        <v>589.0539601804328</v>
      </c>
    </row>
    <row r="510" spans="1:39" x14ac:dyDescent="0.3">
      <c r="A510">
        <v>540</v>
      </c>
      <c r="B510" t="s">
        <v>784</v>
      </c>
      <c r="C510" t="s">
        <v>785</v>
      </c>
      <c r="D510" t="s">
        <v>786</v>
      </c>
      <c r="E510" t="s">
        <v>786</v>
      </c>
      <c r="F510" t="s">
        <v>773</v>
      </c>
      <c r="G510" t="s">
        <v>738</v>
      </c>
      <c r="H510" t="s">
        <v>739</v>
      </c>
      <c r="I510" t="s">
        <v>739</v>
      </c>
      <c r="J510" t="s">
        <v>36</v>
      </c>
      <c r="K510">
        <v>21008</v>
      </c>
      <c r="L510" t="s">
        <v>740</v>
      </c>
      <c r="M510" t="s">
        <v>740</v>
      </c>
      <c r="N510" t="s">
        <v>740</v>
      </c>
      <c r="O510">
        <v>21000</v>
      </c>
      <c r="P510" t="s">
        <v>46</v>
      </c>
      <c r="Q510" t="s">
        <v>47</v>
      </c>
      <c r="R510" t="s">
        <v>48</v>
      </c>
      <c r="T510" t="s">
        <v>36</v>
      </c>
      <c r="U510" t="s">
        <v>36</v>
      </c>
      <c r="V510" t="s">
        <v>36</v>
      </c>
      <c r="W510">
        <v>4000</v>
      </c>
      <c r="X510" t="s">
        <v>49</v>
      </c>
      <c r="Y510" t="s">
        <v>50</v>
      </c>
      <c r="Z510" t="s">
        <v>51</v>
      </c>
      <c r="AA510" t="s">
        <v>37</v>
      </c>
      <c r="AB510" t="s">
        <v>52</v>
      </c>
      <c r="AC510" t="s">
        <v>53</v>
      </c>
      <c r="AD510" t="s">
        <v>54</v>
      </c>
      <c r="AE510">
        <v>4.2337673546900003</v>
      </c>
      <c r="AF510">
        <v>839</v>
      </c>
      <c r="AG510">
        <v>839.23406378699997</v>
      </c>
      <c r="AH510">
        <v>42338.352245499998</v>
      </c>
      <c r="AI510">
        <v>48</v>
      </c>
      <c r="AJ510">
        <v>42342.224572477702</v>
      </c>
      <c r="AK510" s="1">
        <f>intersection_ss_Lden___surface[[#This Row],[surf m2 bout ss]]/intersection_ss_Lden___surface[[#This Row],[Shape_Area]]</f>
        <v>1.0000914614474188</v>
      </c>
      <c r="AL510">
        <v>361</v>
      </c>
      <c r="AM510">
        <f>intersection_ss_Lden___surface[[#This Row],[Population totale 2024 ss]]*intersection_ss_Lden___surface[[#This Row],[Part de la surface du qs dans le noise contour]]</f>
        <v>361.0330175825182</v>
      </c>
    </row>
    <row r="511" spans="1:39" x14ac:dyDescent="0.3">
      <c r="A511">
        <v>541</v>
      </c>
      <c r="B511" t="s">
        <v>787</v>
      </c>
      <c r="C511" t="s">
        <v>788</v>
      </c>
      <c r="D511" t="s">
        <v>789</v>
      </c>
      <c r="E511" t="s">
        <v>789</v>
      </c>
      <c r="F511" t="s">
        <v>773</v>
      </c>
      <c r="G511" t="s">
        <v>738</v>
      </c>
      <c r="H511" t="s">
        <v>739</v>
      </c>
      <c r="I511" t="s">
        <v>739</v>
      </c>
      <c r="J511" t="s">
        <v>36</v>
      </c>
      <c r="K511">
        <v>21008</v>
      </c>
      <c r="L511" t="s">
        <v>740</v>
      </c>
      <c r="M511" t="s">
        <v>740</v>
      </c>
      <c r="N511" t="s">
        <v>740</v>
      </c>
      <c r="O511">
        <v>21000</v>
      </c>
      <c r="P511" t="s">
        <v>46</v>
      </c>
      <c r="Q511" t="s">
        <v>47</v>
      </c>
      <c r="R511" t="s">
        <v>48</v>
      </c>
      <c r="T511" t="s">
        <v>36</v>
      </c>
      <c r="U511" t="s">
        <v>36</v>
      </c>
      <c r="V511" t="s">
        <v>36</v>
      </c>
      <c r="W511">
        <v>4000</v>
      </c>
      <c r="X511" t="s">
        <v>49</v>
      </c>
      <c r="Y511" t="s">
        <v>50</v>
      </c>
      <c r="Z511" t="s">
        <v>51</v>
      </c>
      <c r="AA511" t="s">
        <v>37</v>
      </c>
      <c r="AB511" t="s">
        <v>52</v>
      </c>
      <c r="AC511" t="s">
        <v>53</v>
      </c>
      <c r="AD511" t="s">
        <v>54</v>
      </c>
      <c r="AE511">
        <v>6.5400884647900002</v>
      </c>
      <c r="AF511">
        <v>1000</v>
      </c>
      <c r="AG511">
        <v>999.52053284299996</v>
      </c>
      <c r="AH511">
        <v>65401.940822299999</v>
      </c>
      <c r="AI511">
        <v>48</v>
      </c>
      <c r="AJ511">
        <v>65407.963149370597</v>
      </c>
      <c r="AK511" s="1">
        <f>intersection_ss_Lden___surface[[#This Row],[surf m2 bout ss]]/intersection_ss_Lden___surface[[#This Row],[Shape_Area]]</f>
        <v>1.0000920817791472</v>
      </c>
      <c r="AL511">
        <v>0</v>
      </c>
      <c r="AM511">
        <f>intersection_ss_Lden___surface[[#This Row],[Population totale 2024 ss]]*intersection_ss_Lden___surface[[#This Row],[Part de la surface du qs dans le noise contour]]</f>
        <v>0</v>
      </c>
    </row>
    <row r="512" spans="1:39" x14ac:dyDescent="0.3">
      <c r="A512">
        <v>542</v>
      </c>
      <c r="B512" t="s">
        <v>790</v>
      </c>
      <c r="C512" t="s">
        <v>246</v>
      </c>
      <c r="D512" t="s">
        <v>247</v>
      </c>
      <c r="E512" t="s">
        <v>247</v>
      </c>
      <c r="F512" t="s">
        <v>791</v>
      </c>
      <c r="G512" t="s">
        <v>792</v>
      </c>
      <c r="H512" t="s">
        <v>793</v>
      </c>
      <c r="I512" t="s">
        <v>793</v>
      </c>
      <c r="J512" t="s">
        <v>36</v>
      </c>
      <c r="K512">
        <v>21010</v>
      </c>
      <c r="L512" t="s">
        <v>794</v>
      </c>
      <c r="M512" t="s">
        <v>794</v>
      </c>
      <c r="N512" t="s">
        <v>794</v>
      </c>
      <c r="O512">
        <v>21000</v>
      </c>
      <c r="P512" t="s">
        <v>46</v>
      </c>
      <c r="Q512" t="s">
        <v>47</v>
      </c>
      <c r="R512" t="s">
        <v>48</v>
      </c>
      <c r="T512" t="s">
        <v>36</v>
      </c>
      <c r="U512" t="s">
        <v>36</v>
      </c>
      <c r="V512" t="s">
        <v>36</v>
      </c>
      <c r="W512">
        <v>4000</v>
      </c>
      <c r="X512" t="s">
        <v>49</v>
      </c>
      <c r="Y512" t="s">
        <v>50</v>
      </c>
      <c r="Z512" t="s">
        <v>51</v>
      </c>
      <c r="AA512" t="s">
        <v>37</v>
      </c>
      <c r="AB512" t="s">
        <v>52</v>
      </c>
      <c r="AC512" t="s">
        <v>53</v>
      </c>
      <c r="AD512" t="s">
        <v>54</v>
      </c>
      <c r="AE512">
        <v>41.162703842600003</v>
      </c>
      <c r="AF512">
        <v>3040</v>
      </c>
      <c r="AG512">
        <v>3040.0472462100001</v>
      </c>
      <c r="AH512">
        <v>411633.63835299999</v>
      </c>
      <c r="AI512">
        <v>48</v>
      </c>
      <c r="AJ512">
        <v>184885.479260817</v>
      </c>
      <c r="AK512" s="1">
        <f>intersection_ss_Lden___surface[[#This Row],[surf m2 bout ss]]/intersection_ss_Lden___surface[[#This Row],[Shape_Area]]</f>
        <v>0.4491505601936906</v>
      </c>
      <c r="AL512">
        <v>6418</v>
      </c>
      <c r="AM512">
        <f>intersection_ss_Lden___surface[[#This Row],[Population totale 2024 ss]]*intersection_ss_Lden___surface[[#This Row],[Part de la surface du qs dans le noise contour]]</f>
        <v>2882.6482953231061</v>
      </c>
    </row>
    <row r="513" spans="1:39" x14ac:dyDescent="0.3">
      <c r="A513">
        <v>543</v>
      </c>
      <c r="B513" t="s">
        <v>790</v>
      </c>
      <c r="C513" t="s">
        <v>246</v>
      </c>
      <c r="D513" t="s">
        <v>247</v>
      </c>
      <c r="E513" t="s">
        <v>247</v>
      </c>
      <c r="F513" t="s">
        <v>791</v>
      </c>
      <c r="G513" t="s">
        <v>792</v>
      </c>
      <c r="H513" t="s">
        <v>793</v>
      </c>
      <c r="I513" t="s">
        <v>793</v>
      </c>
      <c r="J513" t="s">
        <v>36</v>
      </c>
      <c r="K513">
        <v>21010</v>
      </c>
      <c r="L513" t="s">
        <v>794</v>
      </c>
      <c r="M513" t="s">
        <v>794</v>
      </c>
      <c r="N513" t="s">
        <v>794</v>
      </c>
      <c r="O513">
        <v>21000</v>
      </c>
      <c r="P513" t="s">
        <v>46</v>
      </c>
      <c r="Q513" t="s">
        <v>47</v>
      </c>
      <c r="R513" t="s">
        <v>48</v>
      </c>
      <c r="T513" t="s">
        <v>36</v>
      </c>
      <c r="U513" t="s">
        <v>36</v>
      </c>
      <c r="V513" t="s">
        <v>36</v>
      </c>
      <c r="W513">
        <v>4000</v>
      </c>
      <c r="X513" t="s">
        <v>49</v>
      </c>
      <c r="Y513" t="s">
        <v>50</v>
      </c>
      <c r="Z513" t="s">
        <v>51</v>
      </c>
      <c r="AA513" t="s">
        <v>37</v>
      </c>
      <c r="AB513" t="s">
        <v>52</v>
      </c>
      <c r="AC513" t="s">
        <v>53</v>
      </c>
      <c r="AD513" t="s">
        <v>54</v>
      </c>
      <c r="AE513">
        <v>41.162703842600003</v>
      </c>
      <c r="AF513">
        <v>3040</v>
      </c>
      <c r="AG513">
        <v>3040.0472462100001</v>
      </c>
      <c r="AH513">
        <v>411633.63835299999</v>
      </c>
      <c r="AI513">
        <v>49</v>
      </c>
      <c r="AJ513">
        <v>226785.882298129</v>
      </c>
      <c r="AK513" s="1">
        <f>intersection_ss_Lden___surface[[#This Row],[surf m2 bout ss]]/intersection_ss_Lden___surface[[#This Row],[Shape_Area]]</f>
        <v>0.55094108247695439</v>
      </c>
      <c r="AL513">
        <v>6418</v>
      </c>
      <c r="AM513">
        <f>intersection_ss_Lden___surface[[#This Row],[Population totale 2024 ss]]*intersection_ss_Lden___surface[[#This Row],[Part de la surface du qs dans le noise contour]]</f>
        <v>3535.9398673370933</v>
      </c>
    </row>
    <row r="514" spans="1:39" x14ac:dyDescent="0.3">
      <c r="A514">
        <v>544</v>
      </c>
      <c r="B514" t="s">
        <v>795</v>
      </c>
      <c r="C514" t="s">
        <v>796</v>
      </c>
      <c r="D514" t="s">
        <v>796</v>
      </c>
      <c r="E514" t="s">
        <v>796</v>
      </c>
      <c r="F514" t="s">
        <v>791</v>
      </c>
      <c r="G514" t="s">
        <v>792</v>
      </c>
      <c r="H514" t="s">
        <v>793</v>
      </c>
      <c r="I514" t="s">
        <v>793</v>
      </c>
      <c r="J514" t="s">
        <v>36</v>
      </c>
      <c r="K514">
        <v>21010</v>
      </c>
      <c r="L514" t="s">
        <v>794</v>
      </c>
      <c r="M514" t="s">
        <v>794</v>
      </c>
      <c r="N514" t="s">
        <v>794</v>
      </c>
      <c r="O514">
        <v>21000</v>
      </c>
      <c r="P514" t="s">
        <v>46</v>
      </c>
      <c r="Q514" t="s">
        <v>47</v>
      </c>
      <c r="R514" t="s">
        <v>48</v>
      </c>
      <c r="T514" t="s">
        <v>36</v>
      </c>
      <c r="U514" t="s">
        <v>36</v>
      </c>
      <c r="V514" t="s">
        <v>36</v>
      </c>
      <c r="W514">
        <v>4000</v>
      </c>
      <c r="X514" t="s">
        <v>49</v>
      </c>
      <c r="Y514" t="s">
        <v>50</v>
      </c>
      <c r="Z514" t="s">
        <v>51</v>
      </c>
      <c r="AA514" t="s">
        <v>37</v>
      </c>
      <c r="AB514" t="s">
        <v>52</v>
      </c>
      <c r="AC514" t="s">
        <v>53</v>
      </c>
      <c r="AD514" t="s">
        <v>54</v>
      </c>
      <c r="AE514">
        <v>25.307907688299998</v>
      </c>
      <c r="AF514">
        <v>2238</v>
      </c>
      <c r="AG514">
        <v>2238.1857626800002</v>
      </c>
      <c r="AH514">
        <v>253083.16353600001</v>
      </c>
      <c r="AI514">
        <v>48</v>
      </c>
      <c r="AJ514">
        <v>23103.202839048801</v>
      </c>
      <c r="AK514" s="1">
        <f>intersection_ss_Lden___surface[[#This Row],[surf m2 bout ss]]/intersection_ss_Lden___surface[[#This Row],[Shape_Area]]</f>
        <v>9.1287000352998471E-2</v>
      </c>
      <c r="AL514">
        <v>5111</v>
      </c>
      <c r="AM514">
        <f>intersection_ss_Lden___surface[[#This Row],[Population totale 2024 ss]]*intersection_ss_Lden___surface[[#This Row],[Part de la surface du qs dans le noise contour]]</f>
        <v>466.56785880417516</v>
      </c>
    </row>
    <row r="515" spans="1:39" x14ac:dyDescent="0.3">
      <c r="A515">
        <v>545</v>
      </c>
      <c r="B515" t="s">
        <v>795</v>
      </c>
      <c r="C515" t="s">
        <v>796</v>
      </c>
      <c r="D515" t="s">
        <v>796</v>
      </c>
      <c r="E515" t="s">
        <v>796</v>
      </c>
      <c r="F515" t="s">
        <v>791</v>
      </c>
      <c r="G515" t="s">
        <v>792</v>
      </c>
      <c r="H515" t="s">
        <v>793</v>
      </c>
      <c r="I515" t="s">
        <v>793</v>
      </c>
      <c r="J515" t="s">
        <v>36</v>
      </c>
      <c r="K515">
        <v>21010</v>
      </c>
      <c r="L515" t="s">
        <v>794</v>
      </c>
      <c r="M515" t="s">
        <v>794</v>
      </c>
      <c r="N515" t="s">
        <v>794</v>
      </c>
      <c r="O515">
        <v>21000</v>
      </c>
      <c r="P515" t="s">
        <v>46</v>
      </c>
      <c r="Q515" t="s">
        <v>47</v>
      </c>
      <c r="R515" t="s">
        <v>48</v>
      </c>
      <c r="T515" t="s">
        <v>36</v>
      </c>
      <c r="U515" t="s">
        <v>36</v>
      </c>
      <c r="V515" t="s">
        <v>36</v>
      </c>
      <c r="W515">
        <v>4000</v>
      </c>
      <c r="X515" t="s">
        <v>49</v>
      </c>
      <c r="Y515" t="s">
        <v>50</v>
      </c>
      <c r="Z515" t="s">
        <v>51</v>
      </c>
      <c r="AA515" t="s">
        <v>37</v>
      </c>
      <c r="AB515" t="s">
        <v>52</v>
      </c>
      <c r="AC515" t="s">
        <v>53</v>
      </c>
      <c r="AD515" t="s">
        <v>54</v>
      </c>
      <c r="AE515">
        <v>25.307907688299998</v>
      </c>
      <c r="AF515">
        <v>2238</v>
      </c>
      <c r="AG515">
        <v>2238.1857626800002</v>
      </c>
      <c r="AH515">
        <v>253083.16353600001</v>
      </c>
      <c r="AI515">
        <v>49</v>
      </c>
      <c r="AJ515">
        <v>225721.51293068199</v>
      </c>
      <c r="AK515" s="1">
        <f>intersection_ss_Lden___surface[[#This Row],[surf m2 bout ss]]/intersection_ss_Lden___surface[[#This Row],[Shape_Area]]</f>
        <v>0.89188672125387769</v>
      </c>
      <c r="AL515">
        <v>5111</v>
      </c>
      <c r="AM515">
        <f>intersection_ss_Lden___surface[[#This Row],[Population totale 2024 ss]]*intersection_ss_Lden___surface[[#This Row],[Part de la surface du qs dans le noise contour]]</f>
        <v>4558.4330323285685</v>
      </c>
    </row>
    <row r="516" spans="1:39" x14ac:dyDescent="0.3">
      <c r="A516">
        <v>546</v>
      </c>
      <c r="B516" t="s">
        <v>795</v>
      </c>
      <c r="C516" t="s">
        <v>796</v>
      </c>
      <c r="D516" t="s">
        <v>796</v>
      </c>
      <c r="E516" t="s">
        <v>796</v>
      </c>
      <c r="F516" t="s">
        <v>791</v>
      </c>
      <c r="G516" t="s">
        <v>792</v>
      </c>
      <c r="H516" t="s">
        <v>793</v>
      </c>
      <c r="I516" t="s">
        <v>793</v>
      </c>
      <c r="J516" t="s">
        <v>36</v>
      </c>
      <c r="K516">
        <v>21010</v>
      </c>
      <c r="L516" t="s">
        <v>794</v>
      </c>
      <c r="M516" t="s">
        <v>794</v>
      </c>
      <c r="N516" t="s">
        <v>794</v>
      </c>
      <c r="O516">
        <v>21000</v>
      </c>
      <c r="P516" t="s">
        <v>46</v>
      </c>
      <c r="Q516" t="s">
        <v>47</v>
      </c>
      <c r="R516" t="s">
        <v>48</v>
      </c>
      <c r="T516" t="s">
        <v>36</v>
      </c>
      <c r="U516" t="s">
        <v>36</v>
      </c>
      <c r="V516" t="s">
        <v>36</v>
      </c>
      <c r="W516">
        <v>4000</v>
      </c>
      <c r="X516" t="s">
        <v>49</v>
      </c>
      <c r="Y516" t="s">
        <v>50</v>
      </c>
      <c r="Z516" t="s">
        <v>51</v>
      </c>
      <c r="AA516" t="s">
        <v>37</v>
      </c>
      <c r="AB516" t="s">
        <v>52</v>
      </c>
      <c r="AC516" t="s">
        <v>53</v>
      </c>
      <c r="AD516" t="s">
        <v>54</v>
      </c>
      <c r="AE516">
        <v>25.307907688299998</v>
      </c>
      <c r="AF516">
        <v>2238</v>
      </c>
      <c r="AG516">
        <v>2238.1857626800002</v>
      </c>
      <c r="AH516">
        <v>253083.16353600001</v>
      </c>
      <c r="AI516">
        <v>50</v>
      </c>
      <c r="AJ516">
        <v>4281.6438833656703</v>
      </c>
      <c r="AK516" s="1">
        <f>intersection_ss_Lden___surface[[#This Row],[surf m2 bout ss]]/intersection_ss_Lden___surface[[#This Row],[Shape_Area]]</f>
        <v>1.6917932522827125E-2</v>
      </c>
      <c r="AL516">
        <v>5111</v>
      </c>
      <c r="AM516">
        <f>intersection_ss_Lden___surface[[#This Row],[Population totale 2024 ss]]*intersection_ss_Lden___surface[[#This Row],[Part de la surface du qs dans le noise contour]]</f>
        <v>86.467553124169442</v>
      </c>
    </row>
    <row r="517" spans="1:39" x14ac:dyDescent="0.3">
      <c r="A517">
        <v>547</v>
      </c>
      <c r="B517" t="s">
        <v>797</v>
      </c>
      <c r="C517" t="s">
        <v>798</v>
      </c>
      <c r="D517" t="s">
        <v>798</v>
      </c>
      <c r="E517" t="s">
        <v>798</v>
      </c>
      <c r="F517" t="s">
        <v>791</v>
      </c>
      <c r="G517" t="s">
        <v>792</v>
      </c>
      <c r="H517" t="s">
        <v>793</v>
      </c>
      <c r="I517" t="s">
        <v>793</v>
      </c>
      <c r="J517" t="s">
        <v>36</v>
      </c>
      <c r="K517">
        <v>21010</v>
      </c>
      <c r="L517" t="s">
        <v>794</v>
      </c>
      <c r="M517" t="s">
        <v>794</v>
      </c>
      <c r="N517" t="s">
        <v>794</v>
      </c>
      <c r="O517">
        <v>21000</v>
      </c>
      <c r="P517" t="s">
        <v>46</v>
      </c>
      <c r="Q517" t="s">
        <v>47</v>
      </c>
      <c r="R517" t="s">
        <v>48</v>
      </c>
      <c r="T517" t="s">
        <v>36</v>
      </c>
      <c r="U517" t="s">
        <v>36</v>
      </c>
      <c r="V517" t="s">
        <v>36</v>
      </c>
      <c r="W517">
        <v>4000</v>
      </c>
      <c r="X517" t="s">
        <v>49</v>
      </c>
      <c r="Y517" t="s">
        <v>50</v>
      </c>
      <c r="Z517" t="s">
        <v>51</v>
      </c>
      <c r="AA517" t="s">
        <v>37</v>
      </c>
      <c r="AB517" t="s">
        <v>52</v>
      </c>
      <c r="AC517" t="s">
        <v>53</v>
      </c>
      <c r="AD517" t="s">
        <v>54</v>
      </c>
      <c r="AE517">
        <v>23.284186808600001</v>
      </c>
      <c r="AF517">
        <v>2451</v>
      </c>
      <c r="AG517">
        <v>2450.5935017500001</v>
      </c>
      <c r="AH517">
        <v>232845.624109</v>
      </c>
      <c r="AI517">
        <v>47</v>
      </c>
      <c r="AJ517">
        <v>93166.222666591406</v>
      </c>
      <c r="AK517" s="1">
        <f>intersection_ss_Lden___surface[[#This Row],[surf m2 bout ss]]/intersection_ss_Lden___surface[[#This Row],[Shape_Area]]</f>
        <v>0.40012013548933312</v>
      </c>
      <c r="AL517">
        <v>4550</v>
      </c>
      <c r="AM517">
        <f>intersection_ss_Lden___surface[[#This Row],[Population totale 2024 ss]]*intersection_ss_Lden___surface[[#This Row],[Part de la surface du qs dans le noise contour]]</f>
        <v>1820.5466164764657</v>
      </c>
    </row>
    <row r="518" spans="1:39" x14ac:dyDescent="0.3">
      <c r="A518">
        <v>548</v>
      </c>
      <c r="B518" t="s">
        <v>797</v>
      </c>
      <c r="C518" t="s">
        <v>798</v>
      </c>
      <c r="D518" t="s">
        <v>798</v>
      </c>
      <c r="E518" t="s">
        <v>798</v>
      </c>
      <c r="F518" t="s">
        <v>791</v>
      </c>
      <c r="G518" t="s">
        <v>792</v>
      </c>
      <c r="H518" t="s">
        <v>793</v>
      </c>
      <c r="I518" t="s">
        <v>793</v>
      </c>
      <c r="J518" t="s">
        <v>36</v>
      </c>
      <c r="K518">
        <v>21010</v>
      </c>
      <c r="L518" t="s">
        <v>794</v>
      </c>
      <c r="M518" t="s">
        <v>794</v>
      </c>
      <c r="N518" t="s">
        <v>794</v>
      </c>
      <c r="O518">
        <v>21000</v>
      </c>
      <c r="P518" t="s">
        <v>46</v>
      </c>
      <c r="Q518" t="s">
        <v>47</v>
      </c>
      <c r="R518" t="s">
        <v>48</v>
      </c>
      <c r="T518" t="s">
        <v>36</v>
      </c>
      <c r="U518" t="s">
        <v>36</v>
      </c>
      <c r="V518" t="s">
        <v>36</v>
      </c>
      <c r="W518">
        <v>4000</v>
      </c>
      <c r="X518" t="s">
        <v>49</v>
      </c>
      <c r="Y518" t="s">
        <v>50</v>
      </c>
      <c r="Z518" t="s">
        <v>51</v>
      </c>
      <c r="AA518" t="s">
        <v>37</v>
      </c>
      <c r="AB518" t="s">
        <v>52</v>
      </c>
      <c r="AC518" t="s">
        <v>53</v>
      </c>
      <c r="AD518" t="s">
        <v>54</v>
      </c>
      <c r="AE518">
        <v>23.284186808600001</v>
      </c>
      <c r="AF518">
        <v>2451</v>
      </c>
      <c r="AG518">
        <v>2450.5935017500001</v>
      </c>
      <c r="AH518">
        <v>232845.624109</v>
      </c>
      <c r="AI518">
        <v>48</v>
      </c>
      <c r="AJ518">
        <v>130270.16067855099</v>
      </c>
      <c r="AK518" s="1">
        <f>intersection_ss_Lden___surface[[#This Row],[surf m2 bout ss]]/intersection_ss_Lden___surface[[#This Row],[Shape_Area]]</f>
        <v>0.55947008313786806</v>
      </c>
      <c r="AL518">
        <v>4550</v>
      </c>
      <c r="AM518">
        <f>intersection_ss_Lden___surface[[#This Row],[Population totale 2024 ss]]*intersection_ss_Lden___surface[[#This Row],[Part de la surface du qs dans le noise contour]]</f>
        <v>2545.5888782772995</v>
      </c>
    </row>
    <row r="519" spans="1:39" x14ac:dyDescent="0.3">
      <c r="A519">
        <v>549</v>
      </c>
      <c r="B519" t="s">
        <v>797</v>
      </c>
      <c r="C519" t="s">
        <v>798</v>
      </c>
      <c r="D519" t="s">
        <v>798</v>
      </c>
      <c r="E519" t="s">
        <v>798</v>
      </c>
      <c r="F519" t="s">
        <v>791</v>
      </c>
      <c r="G519" t="s">
        <v>792</v>
      </c>
      <c r="H519" t="s">
        <v>793</v>
      </c>
      <c r="I519" t="s">
        <v>793</v>
      </c>
      <c r="J519" t="s">
        <v>36</v>
      </c>
      <c r="K519">
        <v>21010</v>
      </c>
      <c r="L519" t="s">
        <v>794</v>
      </c>
      <c r="M519" t="s">
        <v>794</v>
      </c>
      <c r="N519" t="s">
        <v>794</v>
      </c>
      <c r="O519">
        <v>21000</v>
      </c>
      <c r="P519" t="s">
        <v>46</v>
      </c>
      <c r="Q519" t="s">
        <v>47</v>
      </c>
      <c r="R519" t="s">
        <v>48</v>
      </c>
      <c r="T519" t="s">
        <v>36</v>
      </c>
      <c r="U519" t="s">
        <v>36</v>
      </c>
      <c r="V519" t="s">
        <v>36</v>
      </c>
      <c r="W519">
        <v>4000</v>
      </c>
      <c r="X519" t="s">
        <v>49</v>
      </c>
      <c r="Y519" t="s">
        <v>50</v>
      </c>
      <c r="Z519" t="s">
        <v>51</v>
      </c>
      <c r="AA519" t="s">
        <v>37</v>
      </c>
      <c r="AB519" t="s">
        <v>52</v>
      </c>
      <c r="AC519" t="s">
        <v>53</v>
      </c>
      <c r="AD519" t="s">
        <v>54</v>
      </c>
      <c r="AE519">
        <v>23.284186808600001</v>
      </c>
      <c r="AF519">
        <v>2451</v>
      </c>
      <c r="AG519">
        <v>2450.5935017500001</v>
      </c>
      <c r="AH519">
        <v>232845.624109</v>
      </c>
      <c r="AI519">
        <v>49</v>
      </c>
      <c r="AJ519">
        <v>9430.8372108656895</v>
      </c>
      <c r="AK519" s="1">
        <f>intersection_ss_Lden___surface[[#This Row],[surf m2 bout ss]]/intersection_ss_Lden___surface[[#This Row],[Shape_Area]]</f>
        <v>4.050253143881679E-2</v>
      </c>
      <c r="AL519">
        <v>4550</v>
      </c>
      <c r="AM519">
        <f>intersection_ss_Lden___surface[[#This Row],[Population totale 2024 ss]]*intersection_ss_Lden___surface[[#This Row],[Part de la surface du qs dans le noise contour]]</f>
        <v>184.28651804661641</v>
      </c>
    </row>
    <row r="520" spans="1:39" x14ac:dyDescent="0.3">
      <c r="A520">
        <v>550</v>
      </c>
      <c r="B520" t="s">
        <v>799</v>
      </c>
      <c r="C520" t="s">
        <v>800</v>
      </c>
      <c r="D520" t="s">
        <v>801</v>
      </c>
      <c r="E520" t="s">
        <v>801</v>
      </c>
      <c r="F520" t="s">
        <v>791</v>
      </c>
      <c r="G520" t="s">
        <v>792</v>
      </c>
      <c r="H520" t="s">
        <v>793</v>
      </c>
      <c r="I520" t="s">
        <v>793</v>
      </c>
      <c r="J520" t="s">
        <v>36</v>
      </c>
      <c r="K520">
        <v>21010</v>
      </c>
      <c r="L520" t="s">
        <v>794</v>
      </c>
      <c r="M520" t="s">
        <v>794</v>
      </c>
      <c r="N520" t="s">
        <v>794</v>
      </c>
      <c r="O520">
        <v>21000</v>
      </c>
      <c r="P520" t="s">
        <v>46</v>
      </c>
      <c r="Q520" t="s">
        <v>47</v>
      </c>
      <c r="R520" t="s">
        <v>48</v>
      </c>
      <c r="T520" t="s">
        <v>36</v>
      </c>
      <c r="U520" t="s">
        <v>36</v>
      </c>
      <c r="V520" t="s">
        <v>36</v>
      </c>
      <c r="W520">
        <v>4000</v>
      </c>
      <c r="X520" t="s">
        <v>49</v>
      </c>
      <c r="Y520" t="s">
        <v>50</v>
      </c>
      <c r="Z520" t="s">
        <v>51</v>
      </c>
      <c r="AA520" t="s">
        <v>37</v>
      </c>
      <c r="AB520" t="s">
        <v>52</v>
      </c>
      <c r="AC520" t="s">
        <v>53</v>
      </c>
      <c r="AD520" t="s">
        <v>54</v>
      </c>
      <c r="AE520">
        <v>22.2750744075</v>
      </c>
      <c r="AF520">
        <v>1920</v>
      </c>
      <c r="AG520">
        <v>1920.2109319000001</v>
      </c>
      <c r="AH520">
        <v>222754.33115499999</v>
      </c>
      <c r="AI520">
        <v>47</v>
      </c>
      <c r="AJ520">
        <v>97362.085396206894</v>
      </c>
      <c r="AK520" s="1">
        <f>intersection_ss_Lden___surface[[#This Row],[surf m2 bout ss]]/intersection_ss_Lden___surface[[#This Row],[Shape_Area]]</f>
        <v>0.43708279381763881</v>
      </c>
      <c r="AL520">
        <v>3515</v>
      </c>
      <c r="AM520">
        <f>intersection_ss_Lden___surface[[#This Row],[Population totale 2024 ss]]*intersection_ss_Lden___surface[[#This Row],[Part de la surface du qs dans le noise contour]]</f>
        <v>1536.3460202690005</v>
      </c>
    </row>
    <row r="521" spans="1:39" x14ac:dyDescent="0.3">
      <c r="A521">
        <v>551</v>
      </c>
      <c r="B521" t="s">
        <v>799</v>
      </c>
      <c r="C521" t="s">
        <v>800</v>
      </c>
      <c r="D521" t="s">
        <v>801</v>
      </c>
      <c r="E521" t="s">
        <v>801</v>
      </c>
      <c r="F521" t="s">
        <v>791</v>
      </c>
      <c r="G521" t="s">
        <v>792</v>
      </c>
      <c r="H521" t="s">
        <v>793</v>
      </c>
      <c r="I521" t="s">
        <v>793</v>
      </c>
      <c r="J521" t="s">
        <v>36</v>
      </c>
      <c r="K521">
        <v>21010</v>
      </c>
      <c r="L521" t="s">
        <v>794</v>
      </c>
      <c r="M521" t="s">
        <v>794</v>
      </c>
      <c r="N521" t="s">
        <v>794</v>
      </c>
      <c r="O521">
        <v>21000</v>
      </c>
      <c r="P521" t="s">
        <v>46</v>
      </c>
      <c r="Q521" t="s">
        <v>47</v>
      </c>
      <c r="R521" t="s">
        <v>48</v>
      </c>
      <c r="T521" t="s">
        <v>36</v>
      </c>
      <c r="U521" t="s">
        <v>36</v>
      </c>
      <c r="V521" t="s">
        <v>36</v>
      </c>
      <c r="W521">
        <v>4000</v>
      </c>
      <c r="X521" t="s">
        <v>49</v>
      </c>
      <c r="Y521" t="s">
        <v>50</v>
      </c>
      <c r="Z521" t="s">
        <v>51</v>
      </c>
      <c r="AA521" t="s">
        <v>37</v>
      </c>
      <c r="AB521" t="s">
        <v>52</v>
      </c>
      <c r="AC521" t="s">
        <v>53</v>
      </c>
      <c r="AD521" t="s">
        <v>54</v>
      </c>
      <c r="AE521">
        <v>22.2750744075</v>
      </c>
      <c r="AF521">
        <v>1920</v>
      </c>
      <c r="AG521">
        <v>1920.2109319000001</v>
      </c>
      <c r="AH521">
        <v>222754.33115499999</v>
      </c>
      <c r="AI521">
        <v>48</v>
      </c>
      <c r="AJ521">
        <v>125412.862112634</v>
      </c>
      <c r="AK521" s="1">
        <f>intersection_ss_Lden___surface[[#This Row],[surf m2 bout ss]]/intersection_ss_Lden___surface[[#This Row],[Shape_Area]]</f>
        <v>0.56300975815984244</v>
      </c>
      <c r="AL521">
        <v>3515</v>
      </c>
      <c r="AM521">
        <f>intersection_ss_Lden___surface[[#This Row],[Population totale 2024 ss]]*intersection_ss_Lden___surface[[#This Row],[Part de la surface du qs dans le noise contour]]</f>
        <v>1978.9792999318463</v>
      </c>
    </row>
    <row r="522" spans="1:39" x14ac:dyDescent="0.3">
      <c r="A522">
        <v>552</v>
      </c>
      <c r="B522" t="s">
        <v>802</v>
      </c>
      <c r="C522" t="s">
        <v>803</v>
      </c>
      <c r="D522" t="s">
        <v>804</v>
      </c>
      <c r="E522" t="s">
        <v>804</v>
      </c>
      <c r="F522" t="s">
        <v>791</v>
      </c>
      <c r="G522" t="s">
        <v>792</v>
      </c>
      <c r="H522" t="s">
        <v>793</v>
      </c>
      <c r="I522" t="s">
        <v>793</v>
      </c>
      <c r="J522" t="s">
        <v>36</v>
      </c>
      <c r="K522">
        <v>21010</v>
      </c>
      <c r="L522" t="s">
        <v>794</v>
      </c>
      <c r="M522" t="s">
        <v>794</v>
      </c>
      <c r="N522" t="s">
        <v>794</v>
      </c>
      <c r="O522">
        <v>21000</v>
      </c>
      <c r="P522" t="s">
        <v>46</v>
      </c>
      <c r="Q522" t="s">
        <v>47</v>
      </c>
      <c r="R522" t="s">
        <v>48</v>
      </c>
      <c r="T522" t="s">
        <v>36</v>
      </c>
      <c r="U522" t="s">
        <v>36</v>
      </c>
      <c r="V522" t="s">
        <v>36</v>
      </c>
      <c r="W522">
        <v>4000</v>
      </c>
      <c r="X522" t="s">
        <v>49</v>
      </c>
      <c r="Y522" t="s">
        <v>50</v>
      </c>
      <c r="Z522" t="s">
        <v>51</v>
      </c>
      <c r="AA522" t="s">
        <v>37</v>
      </c>
      <c r="AB522" t="s">
        <v>52</v>
      </c>
      <c r="AC522" t="s">
        <v>53</v>
      </c>
      <c r="AD522" t="s">
        <v>54</v>
      </c>
      <c r="AE522">
        <v>28.420607086099999</v>
      </c>
      <c r="AF522">
        <v>2348</v>
      </c>
      <c r="AG522">
        <v>2348.1336705499998</v>
      </c>
      <c r="AH522">
        <v>284210.66958599997</v>
      </c>
      <c r="AI522">
        <v>48</v>
      </c>
      <c r="AJ522">
        <v>271188.26399050199</v>
      </c>
      <c r="AK522" s="1">
        <f>intersection_ss_Lden___surface[[#This Row],[surf m2 bout ss]]/intersection_ss_Lden___surface[[#This Row],[Shape_Area]]</f>
        <v>0.95418044785416645</v>
      </c>
      <c r="AL522">
        <v>4689</v>
      </c>
      <c r="AM522">
        <f>intersection_ss_Lden___surface[[#This Row],[Population totale 2024 ss]]*intersection_ss_Lden___surface[[#This Row],[Part de la surface du qs dans le noise contour]]</f>
        <v>4474.1521199881863</v>
      </c>
    </row>
    <row r="523" spans="1:39" x14ac:dyDescent="0.3">
      <c r="A523">
        <v>553</v>
      </c>
      <c r="B523" t="s">
        <v>802</v>
      </c>
      <c r="C523" t="s">
        <v>803</v>
      </c>
      <c r="D523" t="s">
        <v>804</v>
      </c>
      <c r="E523" t="s">
        <v>804</v>
      </c>
      <c r="F523" t="s">
        <v>791</v>
      </c>
      <c r="G523" t="s">
        <v>792</v>
      </c>
      <c r="H523" t="s">
        <v>793</v>
      </c>
      <c r="I523" t="s">
        <v>793</v>
      </c>
      <c r="J523" t="s">
        <v>36</v>
      </c>
      <c r="K523">
        <v>21010</v>
      </c>
      <c r="L523" t="s">
        <v>794</v>
      </c>
      <c r="M523" t="s">
        <v>794</v>
      </c>
      <c r="N523" t="s">
        <v>794</v>
      </c>
      <c r="O523">
        <v>21000</v>
      </c>
      <c r="P523" t="s">
        <v>46</v>
      </c>
      <c r="Q523" t="s">
        <v>47</v>
      </c>
      <c r="R523" t="s">
        <v>48</v>
      </c>
      <c r="T523" t="s">
        <v>36</v>
      </c>
      <c r="U523" t="s">
        <v>36</v>
      </c>
      <c r="V523" t="s">
        <v>36</v>
      </c>
      <c r="W523">
        <v>4000</v>
      </c>
      <c r="X523" t="s">
        <v>49</v>
      </c>
      <c r="Y523" t="s">
        <v>50</v>
      </c>
      <c r="Z523" t="s">
        <v>51</v>
      </c>
      <c r="AA523" t="s">
        <v>37</v>
      </c>
      <c r="AB523" t="s">
        <v>52</v>
      </c>
      <c r="AC523" t="s">
        <v>53</v>
      </c>
      <c r="AD523" t="s">
        <v>54</v>
      </c>
      <c r="AE523">
        <v>28.420607086099999</v>
      </c>
      <c r="AF523">
        <v>2348</v>
      </c>
      <c r="AG523">
        <v>2348.1336705499998</v>
      </c>
      <c r="AH523">
        <v>284210.66958599997</v>
      </c>
      <c r="AI523">
        <v>49</v>
      </c>
      <c r="AJ523">
        <v>13048.8387361309</v>
      </c>
      <c r="AK523" s="1">
        <f>intersection_ss_Lden___surface[[#This Row],[surf m2 bout ss]]/intersection_ss_Lden___surface[[#This Row],[Shape_Area]]</f>
        <v>4.5912557593769082E-2</v>
      </c>
      <c r="AL523">
        <v>4689</v>
      </c>
      <c r="AM523">
        <f>intersection_ss_Lden___surface[[#This Row],[Population totale 2024 ss]]*intersection_ss_Lden___surface[[#This Row],[Part de la surface du qs dans le noise contour]]</f>
        <v>215.28398255718324</v>
      </c>
    </row>
    <row r="524" spans="1:39" x14ac:dyDescent="0.3">
      <c r="A524">
        <v>554</v>
      </c>
      <c r="B524" t="s">
        <v>805</v>
      </c>
      <c r="C524" t="s">
        <v>806</v>
      </c>
      <c r="D524" t="s">
        <v>807</v>
      </c>
      <c r="E524" t="s">
        <v>807</v>
      </c>
      <c r="F524" t="s">
        <v>791</v>
      </c>
      <c r="G524" t="s">
        <v>792</v>
      </c>
      <c r="H524" t="s">
        <v>793</v>
      </c>
      <c r="I524" t="s">
        <v>793</v>
      </c>
      <c r="J524" t="s">
        <v>36</v>
      </c>
      <c r="K524">
        <v>21010</v>
      </c>
      <c r="L524" t="s">
        <v>794</v>
      </c>
      <c r="M524" t="s">
        <v>794</v>
      </c>
      <c r="N524" t="s">
        <v>794</v>
      </c>
      <c r="O524">
        <v>21000</v>
      </c>
      <c r="P524" t="s">
        <v>46</v>
      </c>
      <c r="Q524" t="s">
        <v>47</v>
      </c>
      <c r="R524" t="s">
        <v>48</v>
      </c>
      <c r="T524" t="s">
        <v>36</v>
      </c>
      <c r="U524" t="s">
        <v>36</v>
      </c>
      <c r="V524" t="s">
        <v>36</v>
      </c>
      <c r="W524">
        <v>4000</v>
      </c>
      <c r="X524" t="s">
        <v>49</v>
      </c>
      <c r="Y524" t="s">
        <v>50</v>
      </c>
      <c r="Z524" t="s">
        <v>51</v>
      </c>
      <c r="AA524" t="s">
        <v>37</v>
      </c>
      <c r="AB524" t="s">
        <v>52</v>
      </c>
      <c r="AC524" t="s">
        <v>53</v>
      </c>
      <c r="AD524" t="s">
        <v>54</v>
      </c>
      <c r="AE524">
        <v>29.0385946693</v>
      </c>
      <c r="AF524">
        <v>2317</v>
      </c>
      <c r="AG524">
        <v>2316.6688262100001</v>
      </c>
      <c r="AH524">
        <v>290390.62166900001</v>
      </c>
      <c r="AI524">
        <v>47</v>
      </c>
      <c r="AJ524">
        <v>104808.839886453</v>
      </c>
      <c r="AK524" s="1">
        <f>intersection_ss_Lden___surface[[#This Row],[surf m2 bout ss]]/intersection_ss_Lden___surface[[#This Row],[Shape_Area]]</f>
        <v>0.36092363893872137</v>
      </c>
      <c r="AL524">
        <v>5843</v>
      </c>
      <c r="AM524">
        <f>intersection_ss_Lden___surface[[#This Row],[Population totale 2024 ss]]*intersection_ss_Lden___surface[[#This Row],[Part de la surface du qs dans le noise contour]]</f>
        <v>2108.8768223189491</v>
      </c>
    </row>
    <row r="525" spans="1:39" x14ac:dyDescent="0.3">
      <c r="A525">
        <v>555</v>
      </c>
      <c r="B525" t="s">
        <v>805</v>
      </c>
      <c r="C525" t="s">
        <v>806</v>
      </c>
      <c r="D525" t="s">
        <v>807</v>
      </c>
      <c r="E525" t="s">
        <v>807</v>
      </c>
      <c r="F525" t="s">
        <v>791</v>
      </c>
      <c r="G525" t="s">
        <v>792</v>
      </c>
      <c r="H525" t="s">
        <v>793</v>
      </c>
      <c r="I525" t="s">
        <v>793</v>
      </c>
      <c r="J525" t="s">
        <v>36</v>
      </c>
      <c r="K525">
        <v>21010</v>
      </c>
      <c r="L525" t="s">
        <v>794</v>
      </c>
      <c r="M525" t="s">
        <v>794</v>
      </c>
      <c r="N525" t="s">
        <v>794</v>
      </c>
      <c r="O525">
        <v>21000</v>
      </c>
      <c r="P525" t="s">
        <v>46</v>
      </c>
      <c r="Q525" t="s">
        <v>47</v>
      </c>
      <c r="R525" t="s">
        <v>48</v>
      </c>
      <c r="T525" t="s">
        <v>36</v>
      </c>
      <c r="U525" t="s">
        <v>36</v>
      </c>
      <c r="V525" t="s">
        <v>36</v>
      </c>
      <c r="W525">
        <v>4000</v>
      </c>
      <c r="X525" t="s">
        <v>49</v>
      </c>
      <c r="Y525" t="s">
        <v>50</v>
      </c>
      <c r="Z525" t="s">
        <v>51</v>
      </c>
      <c r="AA525" t="s">
        <v>37</v>
      </c>
      <c r="AB525" t="s">
        <v>52</v>
      </c>
      <c r="AC525" t="s">
        <v>53</v>
      </c>
      <c r="AD525" t="s">
        <v>54</v>
      </c>
      <c r="AE525">
        <v>29.0385946693</v>
      </c>
      <c r="AF525">
        <v>2317</v>
      </c>
      <c r="AG525">
        <v>2316.6688262100001</v>
      </c>
      <c r="AH525">
        <v>290390.62166900001</v>
      </c>
      <c r="AI525">
        <v>48</v>
      </c>
      <c r="AJ525">
        <v>185609.01701300399</v>
      </c>
      <c r="AK525" s="1">
        <f>intersection_ss_Lden___surface[[#This Row],[surf m2 bout ss]]/intersection_ss_Lden___surface[[#This Row],[Shape_Area]]</f>
        <v>0.63917014931897254</v>
      </c>
      <c r="AL525">
        <v>5843</v>
      </c>
      <c r="AM525">
        <f>intersection_ss_Lden___surface[[#This Row],[Population totale 2024 ss]]*intersection_ss_Lden___surface[[#This Row],[Part de la surface du qs dans le noise contour]]</f>
        <v>3734.6711824707563</v>
      </c>
    </row>
    <row r="526" spans="1:39" x14ac:dyDescent="0.3">
      <c r="A526">
        <v>556</v>
      </c>
      <c r="B526" t="s">
        <v>808</v>
      </c>
      <c r="C526" t="s">
        <v>809</v>
      </c>
      <c r="D526" t="s">
        <v>810</v>
      </c>
      <c r="E526" t="s">
        <v>810</v>
      </c>
      <c r="F526" t="s">
        <v>791</v>
      </c>
      <c r="G526" t="s">
        <v>792</v>
      </c>
      <c r="H526" t="s">
        <v>793</v>
      </c>
      <c r="I526" t="s">
        <v>793</v>
      </c>
      <c r="J526" t="s">
        <v>36</v>
      </c>
      <c r="K526">
        <v>21010</v>
      </c>
      <c r="L526" t="s">
        <v>794</v>
      </c>
      <c r="M526" t="s">
        <v>794</v>
      </c>
      <c r="N526" t="s">
        <v>794</v>
      </c>
      <c r="O526">
        <v>21000</v>
      </c>
      <c r="P526" t="s">
        <v>46</v>
      </c>
      <c r="Q526" t="s">
        <v>47</v>
      </c>
      <c r="R526" t="s">
        <v>48</v>
      </c>
      <c r="T526" t="s">
        <v>36</v>
      </c>
      <c r="U526" t="s">
        <v>36</v>
      </c>
      <c r="V526" t="s">
        <v>36</v>
      </c>
      <c r="W526">
        <v>4000</v>
      </c>
      <c r="X526" t="s">
        <v>49</v>
      </c>
      <c r="Y526" t="s">
        <v>50</v>
      </c>
      <c r="Z526" t="s">
        <v>51</v>
      </c>
      <c r="AA526" t="s">
        <v>37</v>
      </c>
      <c r="AB526" t="s">
        <v>52</v>
      </c>
      <c r="AC526" t="s">
        <v>53</v>
      </c>
      <c r="AD526" t="s">
        <v>54</v>
      </c>
      <c r="AE526">
        <v>10.8670119896</v>
      </c>
      <c r="AF526">
        <v>1293</v>
      </c>
      <c r="AG526">
        <v>1292.6120728000001</v>
      </c>
      <c r="AH526">
        <v>108671.860961</v>
      </c>
      <c r="AI526">
        <v>49</v>
      </c>
      <c r="AJ526">
        <v>108681.745337142</v>
      </c>
      <c r="AK526" s="1">
        <f>intersection_ss_Lden___surface[[#This Row],[surf m2 bout ss]]/intersection_ss_Lden___surface[[#This Row],[Shape_Area]]</f>
        <v>1.0000909561689162</v>
      </c>
      <c r="AL526">
        <v>0</v>
      </c>
      <c r="AM526">
        <f>intersection_ss_Lden___surface[[#This Row],[Population totale 2024 ss]]*intersection_ss_Lden___surface[[#This Row],[Part de la surface du qs dans le noise contour]]</f>
        <v>0</v>
      </c>
    </row>
    <row r="527" spans="1:39" x14ac:dyDescent="0.3">
      <c r="A527">
        <v>557</v>
      </c>
      <c r="B527" t="s">
        <v>811</v>
      </c>
      <c r="C527" t="s">
        <v>812</v>
      </c>
      <c r="D527" t="s">
        <v>813</v>
      </c>
      <c r="E527" t="s">
        <v>813</v>
      </c>
      <c r="F527" t="s">
        <v>814</v>
      </c>
      <c r="G527" t="s">
        <v>792</v>
      </c>
      <c r="H527" t="s">
        <v>793</v>
      </c>
      <c r="I527" t="s">
        <v>793</v>
      </c>
      <c r="J527" t="s">
        <v>36</v>
      </c>
      <c r="K527">
        <v>21010</v>
      </c>
      <c r="L527" t="s">
        <v>794</v>
      </c>
      <c r="M527" t="s">
        <v>794</v>
      </c>
      <c r="N527" t="s">
        <v>794</v>
      </c>
      <c r="O527">
        <v>21000</v>
      </c>
      <c r="P527" t="s">
        <v>46</v>
      </c>
      <c r="Q527" t="s">
        <v>47</v>
      </c>
      <c r="R527" t="s">
        <v>48</v>
      </c>
      <c r="T527" t="s">
        <v>36</v>
      </c>
      <c r="U527" t="s">
        <v>36</v>
      </c>
      <c r="V527" t="s">
        <v>36</v>
      </c>
      <c r="W527">
        <v>4000</v>
      </c>
      <c r="X527" t="s">
        <v>49</v>
      </c>
      <c r="Y527" t="s">
        <v>50</v>
      </c>
      <c r="Z527" t="s">
        <v>51</v>
      </c>
      <c r="AA527" t="s">
        <v>37</v>
      </c>
      <c r="AB527" t="s">
        <v>52</v>
      </c>
      <c r="AC527" t="s">
        <v>53</v>
      </c>
      <c r="AD527" t="s">
        <v>54</v>
      </c>
      <c r="AE527">
        <v>20.147582779699999</v>
      </c>
      <c r="AF527">
        <v>1963</v>
      </c>
      <c r="AG527">
        <v>1962.82992752</v>
      </c>
      <c r="AH527">
        <v>201479.08537399999</v>
      </c>
      <c r="AI527">
        <v>48</v>
      </c>
      <c r="AJ527">
        <v>201497.25429803101</v>
      </c>
      <c r="AK527" s="1">
        <f>intersection_ss_Lden___surface[[#This Row],[surf m2 bout ss]]/intersection_ss_Lden___surface[[#This Row],[Shape_Area]]</f>
        <v>1.0000901777174405</v>
      </c>
      <c r="AL527">
        <v>2150</v>
      </c>
      <c r="AM527">
        <f>intersection_ss_Lden___surface[[#This Row],[Population totale 2024 ss]]*intersection_ss_Lden___surface[[#This Row],[Part de la surface du qs dans le noise contour]]</f>
        <v>2150.193882092497</v>
      </c>
    </row>
    <row r="528" spans="1:39" x14ac:dyDescent="0.3">
      <c r="A528">
        <v>558</v>
      </c>
      <c r="B528" t="s">
        <v>815</v>
      </c>
      <c r="C528" t="s">
        <v>816</v>
      </c>
      <c r="D528" t="s">
        <v>816</v>
      </c>
      <c r="E528" t="s">
        <v>816</v>
      </c>
      <c r="F528" t="s">
        <v>814</v>
      </c>
      <c r="G528" t="s">
        <v>792</v>
      </c>
      <c r="H528" t="s">
        <v>793</v>
      </c>
      <c r="I528" t="s">
        <v>793</v>
      </c>
      <c r="J528" t="s">
        <v>36</v>
      </c>
      <c r="K528">
        <v>21010</v>
      </c>
      <c r="L528" t="s">
        <v>794</v>
      </c>
      <c r="M528" t="s">
        <v>794</v>
      </c>
      <c r="N528" t="s">
        <v>794</v>
      </c>
      <c r="O528">
        <v>21000</v>
      </c>
      <c r="P528" t="s">
        <v>46</v>
      </c>
      <c r="Q528" t="s">
        <v>47</v>
      </c>
      <c r="R528" t="s">
        <v>48</v>
      </c>
      <c r="T528" t="s">
        <v>36</v>
      </c>
      <c r="U528" t="s">
        <v>36</v>
      </c>
      <c r="V528" t="s">
        <v>36</v>
      </c>
      <c r="W528">
        <v>4000</v>
      </c>
      <c r="X528" t="s">
        <v>49</v>
      </c>
      <c r="Y528" t="s">
        <v>50</v>
      </c>
      <c r="Z528" t="s">
        <v>51</v>
      </c>
      <c r="AA528" t="s">
        <v>37</v>
      </c>
      <c r="AB528" t="s">
        <v>52</v>
      </c>
      <c r="AC528" t="s">
        <v>53</v>
      </c>
      <c r="AD528" t="s">
        <v>54</v>
      </c>
      <c r="AE528">
        <v>23.204779168999998</v>
      </c>
      <c r="AF528">
        <v>2199</v>
      </c>
      <c r="AG528">
        <v>2199.3149573699998</v>
      </c>
      <c r="AH528">
        <v>232051.52050799999</v>
      </c>
      <c r="AI528">
        <v>48</v>
      </c>
      <c r="AJ528">
        <v>180056.58904818399</v>
      </c>
      <c r="AK528" s="1">
        <f>intersection_ss_Lden___surface[[#This Row],[surf m2 bout ss]]/intersection_ss_Lden___surface[[#This Row],[Shape_Area]]</f>
        <v>0.77593367478915753</v>
      </c>
      <c r="AL528">
        <v>3204</v>
      </c>
      <c r="AM528">
        <f>intersection_ss_Lden___surface[[#This Row],[Population totale 2024 ss]]*intersection_ss_Lden___surface[[#This Row],[Part de la surface du qs dans le noise contour]]</f>
        <v>2486.0914940244606</v>
      </c>
    </row>
    <row r="529" spans="1:39" x14ac:dyDescent="0.3">
      <c r="A529">
        <v>559</v>
      </c>
      <c r="B529" t="s">
        <v>815</v>
      </c>
      <c r="C529" t="s">
        <v>816</v>
      </c>
      <c r="D529" t="s">
        <v>816</v>
      </c>
      <c r="E529" t="s">
        <v>816</v>
      </c>
      <c r="F529" t="s">
        <v>814</v>
      </c>
      <c r="G529" t="s">
        <v>792</v>
      </c>
      <c r="H529" t="s">
        <v>793</v>
      </c>
      <c r="I529" t="s">
        <v>793</v>
      </c>
      <c r="J529" t="s">
        <v>36</v>
      </c>
      <c r="K529">
        <v>21010</v>
      </c>
      <c r="L529" t="s">
        <v>794</v>
      </c>
      <c r="M529" t="s">
        <v>794</v>
      </c>
      <c r="N529" t="s">
        <v>794</v>
      </c>
      <c r="O529">
        <v>21000</v>
      </c>
      <c r="P529" t="s">
        <v>46</v>
      </c>
      <c r="Q529" t="s">
        <v>47</v>
      </c>
      <c r="R529" t="s">
        <v>48</v>
      </c>
      <c r="T529" t="s">
        <v>36</v>
      </c>
      <c r="U529" t="s">
        <v>36</v>
      </c>
      <c r="V529" t="s">
        <v>36</v>
      </c>
      <c r="W529">
        <v>4000</v>
      </c>
      <c r="X529" t="s">
        <v>49</v>
      </c>
      <c r="Y529" t="s">
        <v>50</v>
      </c>
      <c r="Z529" t="s">
        <v>51</v>
      </c>
      <c r="AA529" t="s">
        <v>37</v>
      </c>
      <c r="AB529" t="s">
        <v>52</v>
      </c>
      <c r="AC529" t="s">
        <v>53</v>
      </c>
      <c r="AD529" t="s">
        <v>54</v>
      </c>
      <c r="AE529">
        <v>23.204779168999998</v>
      </c>
      <c r="AF529">
        <v>2199</v>
      </c>
      <c r="AG529">
        <v>2199.3149573699998</v>
      </c>
      <c r="AH529">
        <v>232051.52050799999</v>
      </c>
      <c r="AI529">
        <v>49</v>
      </c>
      <c r="AJ529">
        <v>52015.556424970302</v>
      </c>
      <c r="AK529" s="1">
        <f>intersection_ss_Lden___surface[[#This Row],[surf m2 bout ss]]/intersection_ss_Lden___surface[[#This Row],[Shape_Area]]</f>
        <v>0.22415520618481388</v>
      </c>
      <c r="AL529">
        <v>3204</v>
      </c>
      <c r="AM529">
        <f>intersection_ss_Lden___surface[[#This Row],[Population totale 2024 ss]]*intersection_ss_Lden___surface[[#This Row],[Part de la surface du qs dans le noise contour]]</f>
        <v>718.19328061614362</v>
      </c>
    </row>
    <row r="530" spans="1:39" x14ac:dyDescent="0.3">
      <c r="A530">
        <v>560</v>
      </c>
      <c r="B530" t="s">
        <v>817</v>
      </c>
      <c r="C530" t="s">
        <v>818</v>
      </c>
      <c r="D530" t="s">
        <v>819</v>
      </c>
      <c r="E530" t="s">
        <v>819</v>
      </c>
      <c r="F530" t="s">
        <v>814</v>
      </c>
      <c r="G530" t="s">
        <v>792</v>
      </c>
      <c r="H530" t="s">
        <v>793</v>
      </c>
      <c r="I530" t="s">
        <v>793</v>
      </c>
      <c r="J530" t="s">
        <v>36</v>
      </c>
      <c r="K530">
        <v>21010</v>
      </c>
      <c r="L530" t="s">
        <v>794</v>
      </c>
      <c r="M530" t="s">
        <v>794</v>
      </c>
      <c r="N530" t="s">
        <v>794</v>
      </c>
      <c r="O530">
        <v>21000</v>
      </c>
      <c r="P530" t="s">
        <v>46</v>
      </c>
      <c r="Q530" t="s">
        <v>47</v>
      </c>
      <c r="R530" t="s">
        <v>48</v>
      </c>
      <c r="T530" t="s">
        <v>36</v>
      </c>
      <c r="U530" t="s">
        <v>36</v>
      </c>
      <c r="V530" t="s">
        <v>36</v>
      </c>
      <c r="W530">
        <v>4000</v>
      </c>
      <c r="X530" t="s">
        <v>49</v>
      </c>
      <c r="Y530" t="s">
        <v>50</v>
      </c>
      <c r="Z530" t="s">
        <v>51</v>
      </c>
      <c r="AA530" t="s">
        <v>37</v>
      </c>
      <c r="AB530" t="s">
        <v>52</v>
      </c>
      <c r="AC530" t="s">
        <v>53</v>
      </c>
      <c r="AD530" t="s">
        <v>54</v>
      </c>
      <c r="AE530">
        <v>8.6882466316099993</v>
      </c>
      <c r="AF530">
        <v>1449</v>
      </c>
      <c r="AG530">
        <v>1448.9074083600001</v>
      </c>
      <c r="AH530">
        <v>86883.863093499996</v>
      </c>
      <c r="AI530">
        <v>48</v>
      </c>
      <c r="AJ530">
        <v>86891.706885531501</v>
      </c>
      <c r="AK530" s="1">
        <f>intersection_ss_Lden___surface[[#This Row],[surf m2 bout ss]]/intersection_ss_Lden___surface[[#This Row],[Shape_Area]]</f>
        <v>1.000090279043222</v>
      </c>
      <c r="AL530">
        <v>1349</v>
      </c>
      <c r="AM530">
        <f>intersection_ss_Lden___surface[[#This Row],[Population totale 2024 ss]]*intersection_ss_Lden___surface[[#This Row],[Part de la surface du qs dans le noise contour]]</f>
        <v>1349.1217864293064</v>
      </c>
    </row>
    <row r="531" spans="1:39" x14ac:dyDescent="0.3">
      <c r="A531">
        <v>561</v>
      </c>
      <c r="B531" t="s">
        <v>820</v>
      </c>
      <c r="C531" t="s">
        <v>821</v>
      </c>
      <c r="D531" t="s">
        <v>822</v>
      </c>
      <c r="E531" t="s">
        <v>822</v>
      </c>
      <c r="F531" t="s">
        <v>814</v>
      </c>
      <c r="G531" t="s">
        <v>792</v>
      </c>
      <c r="H531" t="s">
        <v>793</v>
      </c>
      <c r="I531" t="s">
        <v>793</v>
      </c>
      <c r="J531" t="s">
        <v>36</v>
      </c>
      <c r="K531">
        <v>21010</v>
      </c>
      <c r="L531" t="s">
        <v>794</v>
      </c>
      <c r="M531" t="s">
        <v>794</v>
      </c>
      <c r="N531" t="s">
        <v>794</v>
      </c>
      <c r="O531">
        <v>21000</v>
      </c>
      <c r="P531" t="s">
        <v>46</v>
      </c>
      <c r="Q531" t="s">
        <v>47</v>
      </c>
      <c r="R531" t="s">
        <v>48</v>
      </c>
      <c r="T531" t="s">
        <v>36</v>
      </c>
      <c r="U531" t="s">
        <v>36</v>
      </c>
      <c r="V531" t="s">
        <v>36</v>
      </c>
      <c r="W531">
        <v>4000</v>
      </c>
      <c r="X531" t="s">
        <v>49</v>
      </c>
      <c r="Y531" t="s">
        <v>50</v>
      </c>
      <c r="Z531" t="s">
        <v>51</v>
      </c>
      <c r="AA531" t="s">
        <v>37</v>
      </c>
      <c r="AB531" t="s">
        <v>52</v>
      </c>
      <c r="AC531" t="s">
        <v>53</v>
      </c>
      <c r="AD531" t="s">
        <v>54</v>
      </c>
      <c r="AE531">
        <v>27.370915006699999</v>
      </c>
      <c r="AF531">
        <v>2468</v>
      </c>
      <c r="AG531">
        <v>2467.5598466599999</v>
      </c>
      <c r="AH531">
        <v>273713.54257200001</v>
      </c>
      <c r="AI531">
        <v>48</v>
      </c>
      <c r="AJ531">
        <v>132960.05415745001</v>
      </c>
      <c r="AK531" s="1">
        <f>intersection_ss_Lden___surface[[#This Row],[surf m2 bout ss]]/intersection_ss_Lden___surface[[#This Row],[Shape_Area]]</f>
        <v>0.48576352089876967</v>
      </c>
      <c r="AL531">
        <v>4559</v>
      </c>
      <c r="AM531">
        <f>intersection_ss_Lden___surface[[#This Row],[Population totale 2024 ss]]*intersection_ss_Lden___surface[[#This Row],[Part de la surface du qs dans le noise contour]]</f>
        <v>2214.595891777491</v>
      </c>
    </row>
    <row r="532" spans="1:39" x14ac:dyDescent="0.3">
      <c r="A532">
        <v>562</v>
      </c>
      <c r="B532" t="s">
        <v>820</v>
      </c>
      <c r="C532" t="s">
        <v>821</v>
      </c>
      <c r="D532" t="s">
        <v>822</v>
      </c>
      <c r="E532" t="s">
        <v>822</v>
      </c>
      <c r="F532" t="s">
        <v>814</v>
      </c>
      <c r="G532" t="s">
        <v>792</v>
      </c>
      <c r="H532" t="s">
        <v>793</v>
      </c>
      <c r="I532" t="s">
        <v>793</v>
      </c>
      <c r="J532" t="s">
        <v>36</v>
      </c>
      <c r="K532">
        <v>21010</v>
      </c>
      <c r="L532" t="s">
        <v>794</v>
      </c>
      <c r="M532" t="s">
        <v>794</v>
      </c>
      <c r="N532" t="s">
        <v>794</v>
      </c>
      <c r="O532">
        <v>21000</v>
      </c>
      <c r="P532" t="s">
        <v>46</v>
      </c>
      <c r="Q532" t="s">
        <v>47</v>
      </c>
      <c r="R532" t="s">
        <v>48</v>
      </c>
      <c r="T532" t="s">
        <v>36</v>
      </c>
      <c r="U532" t="s">
        <v>36</v>
      </c>
      <c r="V532" t="s">
        <v>36</v>
      </c>
      <c r="W532">
        <v>4000</v>
      </c>
      <c r="X532" t="s">
        <v>49</v>
      </c>
      <c r="Y532" t="s">
        <v>50</v>
      </c>
      <c r="Z532" t="s">
        <v>51</v>
      </c>
      <c r="AA532" t="s">
        <v>37</v>
      </c>
      <c r="AB532" t="s">
        <v>52</v>
      </c>
      <c r="AC532" t="s">
        <v>53</v>
      </c>
      <c r="AD532" t="s">
        <v>54</v>
      </c>
      <c r="AE532">
        <v>27.370915006699999</v>
      </c>
      <c r="AF532">
        <v>2468</v>
      </c>
      <c r="AG532">
        <v>2467.5598466599999</v>
      </c>
      <c r="AH532">
        <v>273713.54257200001</v>
      </c>
      <c r="AI532">
        <v>49</v>
      </c>
      <c r="AJ532">
        <v>140777.720837767</v>
      </c>
      <c r="AK532" s="1">
        <f>intersection_ss_Lden___surface[[#This Row],[surf m2 bout ss]]/intersection_ss_Lden___surface[[#This Row],[Shape_Area]]</f>
        <v>0.51432501115919615</v>
      </c>
      <c r="AL532">
        <v>4559</v>
      </c>
      <c r="AM532">
        <f>intersection_ss_Lden___surface[[#This Row],[Population totale 2024 ss]]*intersection_ss_Lden___surface[[#This Row],[Part de la surface du qs dans le noise contour]]</f>
        <v>2344.8077258747753</v>
      </c>
    </row>
    <row r="533" spans="1:39" x14ac:dyDescent="0.3">
      <c r="A533">
        <v>563</v>
      </c>
      <c r="B533" t="s">
        <v>823</v>
      </c>
      <c r="C533" t="s">
        <v>824</v>
      </c>
      <c r="D533" t="s">
        <v>824</v>
      </c>
      <c r="E533" t="s">
        <v>824</v>
      </c>
      <c r="F533" t="s">
        <v>814</v>
      </c>
      <c r="G533" t="s">
        <v>792</v>
      </c>
      <c r="H533" t="s">
        <v>793</v>
      </c>
      <c r="I533" t="s">
        <v>793</v>
      </c>
      <c r="J533" t="s">
        <v>36</v>
      </c>
      <c r="K533">
        <v>21010</v>
      </c>
      <c r="L533" t="s">
        <v>794</v>
      </c>
      <c r="M533" t="s">
        <v>794</v>
      </c>
      <c r="N533" t="s">
        <v>794</v>
      </c>
      <c r="O533">
        <v>21000</v>
      </c>
      <c r="P533" t="s">
        <v>46</v>
      </c>
      <c r="Q533" t="s">
        <v>47</v>
      </c>
      <c r="R533" t="s">
        <v>48</v>
      </c>
      <c r="T533" t="s">
        <v>36</v>
      </c>
      <c r="U533" t="s">
        <v>36</v>
      </c>
      <c r="V533" t="s">
        <v>36</v>
      </c>
      <c r="W533">
        <v>4000</v>
      </c>
      <c r="X533" t="s">
        <v>49</v>
      </c>
      <c r="Y533" t="s">
        <v>50</v>
      </c>
      <c r="Z533" t="s">
        <v>51</v>
      </c>
      <c r="AA533" t="s">
        <v>37</v>
      </c>
      <c r="AB533" t="s">
        <v>52</v>
      </c>
      <c r="AC533" t="s">
        <v>53</v>
      </c>
      <c r="AD533" t="s">
        <v>54</v>
      </c>
      <c r="AE533">
        <v>22.337441055700001</v>
      </c>
      <c r="AF533">
        <v>2281</v>
      </c>
      <c r="AG533">
        <v>2280.8900388100001</v>
      </c>
      <c r="AH533">
        <v>223378.013228</v>
      </c>
      <c r="AI533">
        <v>48</v>
      </c>
      <c r="AJ533">
        <v>61308.491426489803</v>
      </c>
      <c r="AK533" s="1">
        <f>intersection_ss_Lden___surface[[#This Row],[surf m2 bout ss]]/intersection_ss_Lden___surface[[#This Row],[Shape_Area]]</f>
        <v>0.27446072485170131</v>
      </c>
      <c r="AL533">
        <v>4377</v>
      </c>
      <c r="AM533">
        <f>intersection_ss_Lden___surface[[#This Row],[Population totale 2024 ss]]*intersection_ss_Lden___surface[[#This Row],[Part de la surface du qs dans le noise contour]]</f>
        <v>1201.3145926758966</v>
      </c>
    </row>
    <row r="534" spans="1:39" x14ac:dyDescent="0.3">
      <c r="A534">
        <v>564</v>
      </c>
      <c r="B534" t="s">
        <v>823</v>
      </c>
      <c r="C534" t="s">
        <v>824</v>
      </c>
      <c r="D534" t="s">
        <v>824</v>
      </c>
      <c r="E534" t="s">
        <v>824</v>
      </c>
      <c r="F534" t="s">
        <v>814</v>
      </c>
      <c r="G534" t="s">
        <v>792</v>
      </c>
      <c r="H534" t="s">
        <v>793</v>
      </c>
      <c r="I534" t="s">
        <v>793</v>
      </c>
      <c r="J534" t="s">
        <v>36</v>
      </c>
      <c r="K534">
        <v>21010</v>
      </c>
      <c r="L534" t="s">
        <v>794</v>
      </c>
      <c r="M534" t="s">
        <v>794</v>
      </c>
      <c r="N534" t="s">
        <v>794</v>
      </c>
      <c r="O534">
        <v>21000</v>
      </c>
      <c r="P534" t="s">
        <v>46</v>
      </c>
      <c r="Q534" t="s">
        <v>47</v>
      </c>
      <c r="R534" t="s">
        <v>48</v>
      </c>
      <c r="T534" t="s">
        <v>36</v>
      </c>
      <c r="U534" t="s">
        <v>36</v>
      </c>
      <c r="V534" t="s">
        <v>36</v>
      </c>
      <c r="W534">
        <v>4000</v>
      </c>
      <c r="X534" t="s">
        <v>49</v>
      </c>
      <c r="Y534" t="s">
        <v>50</v>
      </c>
      <c r="Z534" t="s">
        <v>51</v>
      </c>
      <c r="AA534" t="s">
        <v>37</v>
      </c>
      <c r="AB534" t="s">
        <v>52</v>
      </c>
      <c r="AC534" t="s">
        <v>53</v>
      </c>
      <c r="AD534" t="s">
        <v>54</v>
      </c>
      <c r="AE534">
        <v>22.337441055700001</v>
      </c>
      <c r="AF534">
        <v>2281</v>
      </c>
      <c r="AG534">
        <v>2280.8900388100001</v>
      </c>
      <c r="AH534">
        <v>223378.013228</v>
      </c>
      <c r="AI534">
        <v>49</v>
      </c>
      <c r="AJ534">
        <v>161750.27215691301</v>
      </c>
      <c r="AK534" s="1">
        <f>intersection_ss_Lden___surface[[#This Row],[surf m2 bout ss]]/intersection_ss_Lden___surface[[#This Row],[Shape_Area]]</f>
        <v>0.72411008505038454</v>
      </c>
      <c r="AL534">
        <v>4377</v>
      </c>
      <c r="AM534">
        <f>intersection_ss_Lden___surface[[#This Row],[Population totale 2024 ss]]*intersection_ss_Lden___surface[[#This Row],[Part de la surface du qs dans le noise contour]]</f>
        <v>3169.4298422655334</v>
      </c>
    </row>
    <row r="535" spans="1:39" x14ac:dyDescent="0.3">
      <c r="A535">
        <v>565</v>
      </c>
      <c r="B535" t="s">
        <v>823</v>
      </c>
      <c r="C535" t="s">
        <v>824</v>
      </c>
      <c r="D535" t="s">
        <v>824</v>
      </c>
      <c r="E535" t="s">
        <v>824</v>
      </c>
      <c r="F535" t="s">
        <v>814</v>
      </c>
      <c r="G535" t="s">
        <v>792</v>
      </c>
      <c r="H535" t="s">
        <v>793</v>
      </c>
      <c r="I535" t="s">
        <v>793</v>
      </c>
      <c r="J535" t="s">
        <v>36</v>
      </c>
      <c r="K535">
        <v>21010</v>
      </c>
      <c r="L535" t="s">
        <v>794</v>
      </c>
      <c r="M535" t="s">
        <v>794</v>
      </c>
      <c r="N535" t="s">
        <v>794</v>
      </c>
      <c r="O535">
        <v>21000</v>
      </c>
      <c r="P535" t="s">
        <v>46</v>
      </c>
      <c r="Q535" t="s">
        <v>47</v>
      </c>
      <c r="R535" t="s">
        <v>48</v>
      </c>
      <c r="T535" t="s">
        <v>36</v>
      </c>
      <c r="U535" t="s">
        <v>36</v>
      </c>
      <c r="V535" t="s">
        <v>36</v>
      </c>
      <c r="W535">
        <v>4000</v>
      </c>
      <c r="X535" t="s">
        <v>49</v>
      </c>
      <c r="Y535" t="s">
        <v>50</v>
      </c>
      <c r="Z535" t="s">
        <v>51</v>
      </c>
      <c r="AA535" t="s">
        <v>37</v>
      </c>
      <c r="AB535" t="s">
        <v>52</v>
      </c>
      <c r="AC535" t="s">
        <v>53</v>
      </c>
      <c r="AD535" t="s">
        <v>54</v>
      </c>
      <c r="AE535">
        <v>22.337441055700001</v>
      </c>
      <c r="AF535">
        <v>2281</v>
      </c>
      <c r="AG535">
        <v>2280.8900388100001</v>
      </c>
      <c r="AH535">
        <v>223378.013228</v>
      </c>
      <c r="AI535">
        <v>50</v>
      </c>
      <c r="AJ535">
        <v>339.42003058223099</v>
      </c>
      <c r="AK535" s="1">
        <f>intersection_ss_Lden___surface[[#This Row],[surf m2 bout ss]]/intersection_ss_Lden___surface[[#This Row],[Shape_Area]]</f>
        <v>1.5194871942736277E-3</v>
      </c>
      <c r="AL535">
        <v>4377</v>
      </c>
      <c r="AM535">
        <f>intersection_ss_Lden___surface[[#This Row],[Population totale 2024 ss]]*intersection_ss_Lden___surface[[#This Row],[Part de la surface du qs dans le noise contour]]</f>
        <v>6.6507954493356687</v>
      </c>
    </row>
    <row r="536" spans="1:39" x14ac:dyDescent="0.3">
      <c r="A536">
        <v>566</v>
      </c>
      <c r="B536" t="s">
        <v>825</v>
      </c>
      <c r="C536" t="s">
        <v>826</v>
      </c>
      <c r="D536" t="s">
        <v>827</v>
      </c>
      <c r="E536" t="s">
        <v>827</v>
      </c>
      <c r="F536" t="s">
        <v>814</v>
      </c>
      <c r="G536" t="s">
        <v>792</v>
      </c>
      <c r="H536" t="s">
        <v>793</v>
      </c>
      <c r="I536" t="s">
        <v>793</v>
      </c>
      <c r="J536" t="s">
        <v>36</v>
      </c>
      <c r="K536">
        <v>21010</v>
      </c>
      <c r="L536" t="s">
        <v>794</v>
      </c>
      <c r="M536" t="s">
        <v>794</v>
      </c>
      <c r="N536" t="s">
        <v>794</v>
      </c>
      <c r="O536">
        <v>21000</v>
      </c>
      <c r="P536" t="s">
        <v>46</v>
      </c>
      <c r="Q536" t="s">
        <v>47</v>
      </c>
      <c r="R536" t="s">
        <v>48</v>
      </c>
      <c r="T536" t="s">
        <v>36</v>
      </c>
      <c r="U536" t="s">
        <v>36</v>
      </c>
      <c r="V536" t="s">
        <v>36</v>
      </c>
      <c r="W536">
        <v>4000</v>
      </c>
      <c r="X536" t="s">
        <v>49</v>
      </c>
      <c r="Y536" t="s">
        <v>50</v>
      </c>
      <c r="Z536" t="s">
        <v>51</v>
      </c>
      <c r="AA536" t="s">
        <v>37</v>
      </c>
      <c r="AB536" t="s">
        <v>52</v>
      </c>
      <c r="AC536" t="s">
        <v>53</v>
      </c>
      <c r="AD536" t="s">
        <v>54</v>
      </c>
      <c r="AE536">
        <v>20.1122919588</v>
      </c>
      <c r="AF536">
        <v>1994</v>
      </c>
      <c r="AG536">
        <v>1994.00909993</v>
      </c>
      <c r="AH536">
        <v>201126.14661200001</v>
      </c>
      <c r="AI536">
        <v>48</v>
      </c>
      <c r="AJ536">
        <v>201144.16092940001</v>
      </c>
      <c r="AK536" s="1">
        <f>intersection_ss_Lden___surface[[#This Row],[surf m2 bout ss]]/intersection_ss_Lden___surface[[#This Row],[Shape_Area]]</f>
        <v>1.0000895672576811</v>
      </c>
      <c r="AL536">
        <v>2</v>
      </c>
      <c r="AM536">
        <f>intersection_ss_Lden___surface[[#This Row],[Population totale 2024 ss]]*intersection_ss_Lden___surface[[#This Row],[Part de la surface du qs dans le noise contour]]</f>
        <v>2.0001791345153621</v>
      </c>
    </row>
    <row r="537" spans="1:39" x14ac:dyDescent="0.3">
      <c r="A537">
        <v>567</v>
      </c>
      <c r="B537" t="s">
        <v>828</v>
      </c>
      <c r="C537" t="s">
        <v>829</v>
      </c>
      <c r="D537" t="s">
        <v>830</v>
      </c>
      <c r="E537" t="s">
        <v>830</v>
      </c>
      <c r="F537" t="s">
        <v>814</v>
      </c>
      <c r="G537" t="s">
        <v>792</v>
      </c>
      <c r="H537" t="s">
        <v>793</v>
      </c>
      <c r="I537" t="s">
        <v>793</v>
      </c>
      <c r="J537" t="s">
        <v>36</v>
      </c>
      <c r="K537">
        <v>21010</v>
      </c>
      <c r="L537" t="s">
        <v>794</v>
      </c>
      <c r="M537" t="s">
        <v>794</v>
      </c>
      <c r="N537" t="s">
        <v>794</v>
      </c>
      <c r="O537">
        <v>21000</v>
      </c>
      <c r="P537" t="s">
        <v>46</v>
      </c>
      <c r="Q537" t="s">
        <v>47</v>
      </c>
      <c r="R537" t="s">
        <v>48</v>
      </c>
      <c r="T537" t="s">
        <v>36</v>
      </c>
      <c r="U537" t="s">
        <v>36</v>
      </c>
      <c r="V537" t="s">
        <v>36</v>
      </c>
      <c r="W537">
        <v>4000</v>
      </c>
      <c r="X537" t="s">
        <v>49</v>
      </c>
      <c r="Y537" t="s">
        <v>50</v>
      </c>
      <c r="Z537" t="s">
        <v>51</v>
      </c>
      <c r="AA537" t="s">
        <v>37</v>
      </c>
      <c r="AB537" t="s">
        <v>52</v>
      </c>
      <c r="AC537" t="s">
        <v>53</v>
      </c>
      <c r="AD537" t="s">
        <v>54</v>
      </c>
      <c r="AE537">
        <v>47.961890463099998</v>
      </c>
      <c r="AF537">
        <v>3867</v>
      </c>
      <c r="AG537">
        <v>3866.8896239400001</v>
      </c>
      <c r="AH537">
        <v>479626.60216100002</v>
      </c>
      <c r="AI537">
        <v>48</v>
      </c>
      <c r="AJ537">
        <v>409196.44694770302</v>
      </c>
      <c r="AK537" s="1">
        <f>intersection_ss_Lden___surface[[#This Row],[surf m2 bout ss]]/intersection_ss_Lden___surface[[#This Row],[Shape_Area]]</f>
        <v>0.8531562784550154</v>
      </c>
      <c r="AL537">
        <v>3022</v>
      </c>
      <c r="AM537">
        <f>intersection_ss_Lden___surface[[#This Row],[Population totale 2024 ss]]*intersection_ss_Lden___surface[[#This Row],[Part de la surface du qs dans le noise contour]]</f>
        <v>2578.2382734910566</v>
      </c>
    </row>
    <row r="538" spans="1:39" x14ac:dyDescent="0.3">
      <c r="A538">
        <v>568</v>
      </c>
      <c r="B538" t="s">
        <v>828</v>
      </c>
      <c r="C538" t="s">
        <v>829</v>
      </c>
      <c r="D538" t="s">
        <v>830</v>
      </c>
      <c r="E538" t="s">
        <v>830</v>
      </c>
      <c r="F538" t="s">
        <v>814</v>
      </c>
      <c r="G538" t="s">
        <v>792</v>
      </c>
      <c r="H538" t="s">
        <v>793</v>
      </c>
      <c r="I538" t="s">
        <v>793</v>
      </c>
      <c r="J538" t="s">
        <v>36</v>
      </c>
      <c r="K538">
        <v>21010</v>
      </c>
      <c r="L538" t="s">
        <v>794</v>
      </c>
      <c r="M538" t="s">
        <v>794</v>
      </c>
      <c r="N538" t="s">
        <v>794</v>
      </c>
      <c r="O538">
        <v>21000</v>
      </c>
      <c r="P538" t="s">
        <v>46</v>
      </c>
      <c r="Q538" t="s">
        <v>47</v>
      </c>
      <c r="R538" t="s">
        <v>48</v>
      </c>
      <c r="T538" t="s">
        <v>36</v>
      </c>
      <c r="U538" t="s">
        <v>36</v>
      </c>
      <c r="V538" t="s">
        <v>36</v>
      </c>
      <c r="W538">
        <v>4000</v>
      </c>
      <c r="X538" t="s">
        <v>49</v>
      </c>
      <c r="Y538" t="s">
        <v>50</v>
      </c>
      <c r="Z538" t="s">
        <v>51</v>
      </c>
      <c r="AA538" t="s">
        <v>37</v>
      </c>
      <c r="AB538" t="s">
        <v>52</v>
      </c>
      <c r="AC538" t="s">
        <v>53</v>
      </c>
      <c r="AD538" t="s">
        <v>54</v>
      </c>
      <c r="AE538">
        <v>47.961890463099998</v>
      </c>
      <c r="AF538">
        <v>3867</v>
      </c>
      <c r="AG538">
        <v>3866.8896239400001</v>
      </c>
      <c r="AH538">
        <v>479626.60216100002</v>
      </c>
      <c r="AI538">
        <v>49</v>
      </c>
      <c r="AJ538">
        <v>70473.111052460998</v>
      </c>
      <c r="AK538" s="1">
        <f>intersection_ss_Lden___surface[[#This Row],[surf m2 bout ss]]/intersection_ss_Lden___surface[[#This Row],[Shape_Area]]</f>
        <v>0.14693328254716934</v>
      </c>
      <c r="AL538">
        <v>3022</v>
      </c>
      <c r="AM538">
        <f>intersection_ss_Lden___surface[[#This Row],[Population totale 2024 ss]]*intersection_ss_Lden___surface[[#This Row],[Part de la surface du qs dans le noise contour]]</f>
        <v>444.03237985754572</v>
      </c>
    </row>
    <row r="539" spans="1:39" x14ac:dyDescent="0.3">
      <c r="A539">
        <v>569</v>
      </c>
      <c r="B539" t="s">
        <v>831</v>
      </c>
      <c r="C539" t="s">
        <v>832</v>
      </c>
      <c r="D539" t="s">
        <v>833</v>
      </c>
      <c r="E539" t="s">
        <v>833</v>
      </c>
      <c r="F539" t="s">
        <v>834</v>
      </c>
      <c r="G539" t="s">
        <v>792</v>
      </c>
      <c r="H539" t="s">
        <v>793</v>
      </c>
      <c r="I539" t="s">
        <v>793</v>
      </c>
      <c r="J539" t="s">
        <v>36</v>
      </c>
      <c r="K539">
        <v>21010</v>
      </c>
      <c r="L539" t="s">
        <v>794</v>
      </c>
      <c r="M539" t="s">
        <v>794</v>
      </c>
      <c r="N539" t="s">
        <v>794</v>
      </c>
      <c r="O539">
        <v>21000</v>
      </c>
      <c r="P539" t="s">
        <v>46</v>
      </c>
      <c r="Q539" t="s">
        <v>47</v>
      </c>
      <c r="R539" t="s">
        <v>48</v>
      </c>
      <c r="T539" t="s">
        <v>36</v>
      </c>
      <c r="U539" t="s">
        <v>36</v>
      </c>
      <c r="V539" t="s">
        <v>36</v>
      </c>
      <c r="W539">
        <v>4000</v>
      </c>
      <c r="X539" t="s">
        <v>49</v>
      </c>
      <c r="Y539" t="s">
        <v>50</v>
      </c>
      <c r="Z539" t="s">
        <v>51</v>
      </c>
      <c r="AA539" t="s">
        <v>37</v>
      </c>
      <c r="AB539" t="s">
        <v>52</v>
      </c>
      <c r="AC539" t="s">
        <v>53</v>
      </c>
      <c r="AD539" t="s">
        <v>54</v>
      </c>
      <c r="AE539">
        <v>21.2711636081</v>
      </c>
      <c r="AF539">
        <v>2159</v>
      </c>
      <c r="AG539">
        <v>2159.23181952</v>
      </c>
      <c r="AH539">
        <v>212715.06284200001</v>
      </c>
      <c r="AI539">
        <v>46</v>
      </c>
      <c r="AJ539">
        <v>3201.2886058683498</v>
      </c>
      <c r="AK539" s="1">
        <f>intersection_ss_Lden___surface[[#This Row],[surf m2 bout ss]]/intersection_ss_Lden___surface[[#This Row],[Shape_Area]]</f>
        <v>1.5049656395260524E-2</v>
      </c>
      <c r="AL539">
        <v>4028</v>
      </c>
      <c r="AM539">
        <f>intersection_ss_Lden___surface[[#This Row],[Population totale 2024 ss]]*intersection_ss_Lden___surface[[#This Row],[Part de la surface du qs dans le noise contour]]</f>
        <v>60.620015960109392</v>
      </c>
    </row>
    <row r="540" spans="1:39" x14ac:dyDescent="0.3">
      <c r="A540">
        <v>570</v>
      </c>
      <c r="B540" t="s">
        <v>831</v>
      </c>
      <c r="C540" t="s">
        <v>832</v>
      </c>
      <c r="D540" t="s">
        <v>833</v>
      </c>
      <c r="E540" t="s">
        <v>833</v>
      </c>
      <c r="F540" t="s">
        <v>834</v>
      </c>
      <c r="G540" t="s">
        <v>792</v>
      </c>
      <c r="H540" t="s">
        <v>793</v>
      </c>
      <c r="I540" t="s">
        <v>793</v>
      </c>
      <c r="J540" t="s">
        <v>36</v>
      </c>
      <c r="K540">
        <v>21010</v>
      </c>
      <c r="L540" t="s">
        <v>794</v>
      </c>
      <c r="M540" t="s">
        <v>794</v>
      </c>
      <c r="N540" t="s">
        <v>794</v>
      </c>
      <c r="O540">
        <v>21000</v>
      </c>
      <c r="P540" t="s">
        <v>46</v>
      </c>
      <c r="Q540" t="s">
        <v>47</v>
      </c>
      <c r="R540" t="s">
        <v>48</v>
      </c>
      <c r="T540" t="s">
        <v>36</v>
      </c>
      <c r="U540" t="s">
        <v>36</v>
      </c>
      <c r="V540" t="s">
        <v>36</v>
      </c>
      <c r="W540">
        <v>4000</v>
      </c>
      <c r="X540" t="s">
        <v>49</v>
      </c>
      <c r="Y540" t="s">
        <v>50</v>
      </c>
      <c r="Z540" t="s">
        <v>51</v>
      </c>
      <c r="AA540" t="s">
        <v>37</v>
      </c>
      <c r="AB540" t="s">
        <v>52</v>
      </c>
      <c r="AC540" t="s">
        <v>53</v>
      </c>
      <c r="AD540" t="s">
        <v>54</v>
      </c>
      <c r="AE540">
        <v>21.2711636081</v>
      </c>
      <c r="AF540">
        <v>2159</v>
      </c>
      <c r="AG540">
        <v>2159.23181952</v>
      </c>
      <c r="AH540">
        <v>212715.06284200001</v>
      </c>
      <c r="AI540">
        <v>47</v>
      </c>
      <c r="AJ540">
        <v>209533.69546759201</v>
      </c>
      <c r="AK540" s="1">
        <f>intersection_ss_Lden___surface[[#This Row],[surf m2 bout ss]]/intersection_ss_Lden___surface[[#This Row],[Shape_Area]]</f>
        <v>0.98504399579464175</v>
      </c>
      <c r="AL540">
        <v>4028</v>
      </c>
      <c r="AM540">
        <f>intersection_ss_Lden___surface[[#This Row],[Population totale 2024 ss]]*intersection_ss_Lden___surface[[#This Row],[Part de la surface du qs dans le noise contour]]</f>
        <v>3967.7572150608171</v>
      </c>
    </row>
    <row r="541" spans="1:39" x14ac:dyDescent="0.3">
      <c r="A541">
        <v>571</v>
      </c>
      <c r="B541" t="s">
        <v>835</v>
      </c>
      <c r="C541" t="s">
        <v>836</v>
      </c>
      <c r="D541" t="s">
        <v>836</v>
      </c>
      <c r="E541" t="s">
        <v>836</v>
      </c>
      <c r="F541" t="s">
        <v>837</v>
      </c>
      <c r="G541" t="s">
        <v>792</v>
      </c>
      <c r="H541" t="s">
        <v>793</v>
      </c>
      <c r="I541" t="s">
        <v>793</v>
      </c>
      <c r="J541" t="s">
        <v>36</v>
      </c>
      <c r="K541">
        <v>21010</v>
      </c>
      <c r="L541" t="s">
        <v>794</v>
      </c>
      <c r="M541" t="s">
        <v>794</v>
      </c>
      <c r="N541" t="s">
        <v>794</v>
      </c>
      <c r="O541">
        <v>21000</v>
      </c>
      <c r="P541" t="s">
        <v>46</v>
      </c>
      <c r="Q541" t="s">
        <v>47</v>
      </c>
      <c r="R541" t="s">
        <v>48</v>
      </c>
      <c r="T541" t="s">
        <v>36</v>
      </c>
      <c r="U541" t="s">
        <v>36</v>
      </c>
      <c r="V541" t="s">
        <v>36</v>
      </c>
      <c r="W541">
        <v>4000</v>
      </c>
      <c r="X541" t="s">
        <v>49</v>
      </c>
      <c r="Y541" t="s">
        <v>50</v>
      </c>
      <c r="Z541" t="s">
        <v>51</v>
      </c>
      <c r="AA541" t="s">
        <v>37</v>
      </c>
      <c r="AB541" t="s">
        <v>52</v>
      </c>
      <c r="AC541" t="s">
        <v>53</v>
      </c>
      <c r="AD541" t="s">
        <v>54</v>
      </c>
      <c r="AE541">
        <v>17.323252598500002</v>
      </c>
      <c r="AF541">
        <v>2602</v>
      </c>
      <c r="AG541">
        <v>2601.9661702799999</v>
      </c>
      <c r="AH541">
        <v>173235.34204700001</v>
      </c>
      <c r="AI541">
        <v>48</v>
      </c>
      <c r="AJ541">
        <v>94892.869517786094</v>
      </c>
      <c r="AK541" s="1">
        <f>intersection_ss_Lden___surface[[#This Row],[surf m2 bout ss]]/intersection_ss_Lden___surface[[#This Row],[Shape_Area]]</f>
        <v>0.5477685349681185</v>
      </c>
      <c r="AL541">
        <v>1031</v>
      </c>
      <c r="AM541">
        <f>intersection_ss_Lden___surface[[#This Row],[Population totale 2024 ss]]*intersection_ss_Lden___surface[[#This Row],[Part de la surface du qs dans le noise contour]]</f>
        <v>564.74935955213016</v>
      </c>
    </row>
    <row r="542" spans="1:39" x14ac:dyDescent="0.3">
      <c r="A542">
        <v>572</v>
      </c>
      <c r="B542" t="s">
        <v>835</v>
      </c>
      <c r="C542" t="s">
        <v>836</v>
      </c>
      <c r="D542" t="s">
        <v>836</v>
      </c>
      <c r="E542" t="s">
        <v>836</v>
      </c>
      <c r="F542" t="s">
        <v>837</v>
      </c>
      <c r="G542" t="s">
        <v>792</v>
      </c>
      <c r="H542" t="s">
        <v>793</v>
      </c>
      <c r="I542" t="s">
        <v>793</v>
      </c>
      <c r="J542" t="s">
        <v>36</v>
      </c>
      <c r="K542">
        <v>21010</v>
      </c>
      <c r="L542" t="s">
        <v>794</v>
      </c>
      <c r="M542" t="s">
        <v>794</v>
      </c>
      <c r="N542" t="s">
        <v>794</v>
      </c>
      <c r="O542">
        <v>21000</v>
      </c>
      <c r="P542" t="s">
        <v>46</v>
      </c>
      <c r="Q542" t="s">
        <v>47</v>
      </c>
      <c r="R542" t="s">
        <v>48</v>
      </c>
      <c r="T542" t="s">
        <v>36</v>
      </c>
      <c r="U542" t="s">
        <v>36</v>
      </c>
      <c r="V542" t="s">
        <v>36</v>
      </c>
      <c r="W542">
        <v>4000</v>
      </c>
      <c r="X542" t="s">
        <v>49</v>
      </c>
      <c r="Y542" t="s">
        <v>50</v>
      </c>
      <c r="Z542" t="s">
        <v>51</v>
      </c>
      <c r="AA542" t="s">
        <v>37</v>
      </c>
      <c r="AB542" t="s">
        <v>52</v>
      </c>
      <c r="AC542" t="s">
        <v>53</v>
      </c>
      <c r="AD542" t="s">
        <v>54</v>
      </c>
      <c r="AE542">
        <v>17.323252598500002</v>
      </c>
      <c r="AF542">
        <v>2602</v>
      </c>
      <c r="AG542">
        <v>2601.9661702799999</v>
      </c>
      <c r="AH542">
        <v>173235.34204700001</v>
      </c>
      <c r="AI542">
        <v>49</v>
      </c>
      <c r="AJ542">
        <v>78358.238089360297</v>
      </c>
      <c r="AK542" s="1">
        <f>intersection_ss_Lden___surface[[#This Row],[surf m2 bout ss]]/intersection_ss_Lden___surface[[#This Row],[Shape_Area]]</f>
        <v>0.45232247163573086</v>
      </c>
      <c r="AL542">
        <v>1031</v>
      </c>
      <c r="AM542">
        <f>intersection_ss_Lden___surface[[#This Row],[Population totale 2024 ss]]*intersection_ss_Lden___surface[[#This Row],[Part de la surface du qs dans le noise contour]]</f>
        <v>466.34446825643852</v>
      </c>
    </row>
    <row r="543" spans="1:39" x14ac:dyDescent="0.3">
      <c r="A543">
        <v>573</v>
      </c>
      <c r="B543" t="s">
        <v>838</v>
      </c>
      <c r="C543" t="s">
        <v>839</v>
      </c>
      <c r="D543" t="s">
        <v>466</v>
      </c>
      <c r="E543" t="s">
        <v>466</v>
      </c>
      <c r="F543" t="s">
        <v>837</v>
      </c>
      <c r="G543" t="s">
        <v>792</v>
      </c>
      <c r="H543" t="s">
        <v>793</v>
      </c>
      <c r="I543" t="s">
        <v>793</v>
      </c>
      <c r="J543" t="s">
        <v>36</v>
      </c>
      <c r="K543">
        <v>21010</v>
      </c>
      <c r="L543" t="s">
        <v>794</v>
      </c>
      <c r="M543" t="s">
        <v>794</v>
      </c>
      <c r="N543" t="s">
        <v>794</v>
      </c>
      <c r="O543">
        <v>21000</v>
      </c>
      <c r="P543" t="s">
        <v>46</v>
      </c>
      <c r="Q543" t="s">
        <v>47</v>
      </c>
      <c r="R543" t="s">
        <v>48</v>
      </c>
      <c r="T543" t="s">
        <v>36</v>
      </c>
      <c r="U543" t="s">
        <v>36</v>
      </c>
      <c r="V543" t="s">
        <v>36</v>
      </c>
      <c r="W543">
        <v>4000</v>
      </c>
      <c r="X543" t="s">
        <v>49</v>
      </c>
      <c r="Y543" t="s">
        <v>50</v>
      </c>
      <c r="Z543" t="s">
        <v>51</v>
      </c>
      <c r="AA543" t="s">
        <v>37</v>
      </c>
      <c r="AB543" t="s">
        <v>52</v>
      </c>
      <c r="AC543" t="s">
        <v>53</v>
      </c>
      <c r="AD543" t="s">
        <v>54</v>
      </c>
      <c r="AE543">
        <v>16.442175370000001</v>
      </c>
      <c r="AF543">
        <v>1645</v>
      </c>
      <c r="AG543">
        <v>1645.2853914899999</v>
      </c>
      <c r="AH543">
        <v>164424.40259799999</v>
      </c>
      <c r="AI543">
        <v>48</v>
      </c>
      <c r="AJ543">
        <v>94577.423668749194</v>
      </c>
      <c r="AK543" s="1">
        <f>intersection_ss_Lden___surface[[#This Row],[surf m2 bout ss]]/intersection_ss_Lden___surface[[#This Row],[Shape_Area]]</f>
        <v>0.57520308527427555</v>
      </c>
      <c r="AL543">
        <v>94</v>
      </c>
      <c r="AM543">
        <f>intersection_ss_Lden___surface[[#This Row],[Population totale 2024 ss]]*intersection_ss_Lden___surface[[#This Row],[Part de la surface du qs dans le noise contour]]</f>
        <v>54.069090015781903</v>
      </c>
    </row>
    <row r="544" spans="1:39" x14ac:dyDescent="0.3">
      <c r="A544">
        <v>574</v>
      </c>
      <c r="B544" t="s">
        <v>838</v>
      </c>
      <c r="C544" t="s">
        <v>839</v>
      </c>
      <c r="D544" t="s">
        <v>466</v>
      </c>
      <c r="E544" t="s">
        <v>466</v>
      </c>
      <c r="F544" t="s">
        <v>837</v>
      </c>
      <c r="G544" t="s">
        <v>792</v>
      </c>
      <c r="H544" t="s">
        <v>793</v>
      </c>
      <c r="I544" t="s">
        <v>793</v>
      </c>
      <c r="J544" t="s">
        <v>36</v>
      </c>
      <c r="K544">
        <v>21010</v>
      </c>
      <c r="L544" t="s">
        <v>794</v>
      </c>
      <c r="M544" t="s">
        <v>794</v>
      </c>
      <c r="N544" t="s">
        <v>794</v>
      </c>
      <c r="O544">
        <v>21000</v>
      </c>
      <c r="P544" t="s">
        <v>46</v>
      </c>
      <c r="Q544" t="s">
        <v>47</v>
      </c>
      <c r="R544" t="s">
        <v>48</v>
      </c>
      <c r="T544" t="s">
        <v>36</v>
      </c>
      <c r="U544" t="s">
        <v>36</v>
      </c>
      <c r="V544" t="s">
        <v>36</v>
      </c>
      <c r="W544">
        <v>4000</v>
      </c>
      <c r="X544" t="s">
        <v>49</v>
      </c>
      <c r="Y544" t="s">
        <v>50</v>
      </c>
      <c r="Z544" t="s">
        <v>51</v>
      </c>
      <c r="AA544" t="s">
        <v>37</v>
      </c>
      <c r="AB544" t="s">
        <v>52</v>
      </c>
      <c r="AC544" t="s">
        <v>53</v>
      </c>
      <c r="AD544" t="s">
        <v>54</v>
      </c>
      <c r="AE544">
        <v>16.442175370000001</v>
      </c>
      <c r="AF544">
        <v>1645</v>
      </c>
      <c r="AG544">
        <v>1645.2853914899999</v>
      </c>
      <c r="AH544">
        <v>164424.40259799999</v>
      </c>
      <c r="AI544">
        <v>49</v>
      </c>
      <c r="AJ544">
        <v>69861.859629664599</v>
      </c>
      <c r="AK544" s="1">
        <f>intersection_ss_Lden___surface[[#This Row],[surf m2 bout ss]]/intersection_ss_Lden___surface[[#This Row],[Shape_Area]]</f>
        <v>0.42488741650148698</v>
      </c>
      <c r="AL544">
        <v>94</v>
      </c>
      <c r="AM544">
        <f>intersection_ss_Lden___surface[[#This Row],[Population totale 2024 ss]]*intersection_ss_Lden___surface[[#This Row],[Part de la surface du qs dans le noise contour]]</f>
        <v>39.939417151139779</v>
      </c>
    </row>
    <row r="545" spans="1:39" x14ac:dyDescent="0.3">
      <c r="A545">
        <v>575</v>
      </c>
      <c r="B545" t="s">
        <v>840</v>
      </c>
      <c r="C545" t="s">
        <v>841</v>
      </c>
      <c r="D545" t="s">
        <v>842</v>
      </c>
      <c r="E545" t="s">
        <v>842</v>
      </c>
      <c r="F545" t="s">
        <v>843</v>
      </c>
      <c r="G545" t="s">
        <v>792</v>
      </c>
      <c r="H545" t="s">
        <v>793</v>
      </c>
      <c r="I545" t="s">
        <v>793</v>
      </c>
      <c r="J545" t="s">
        <v>36</v>
      </c>
      <c r="K545">
        <v>21010</v>
      </c>
      <c r="L545" t="s">
        <v>794</v>
      </c>
      <c r="M545" t="s">
        <v>794</v>
      </c>
      <c r="N545" t="s">
        <v>794</v>
      </c>
      <c r="O545">
        <v>21000</v>
      </c>
      <c r="P545" t="s">
        <v>46</v>
      </c>
      <c r="Q545" t="s">
        <v>47</v>
      </c>
      <c r="R545" t="s">
        <v>48</v>
      </c>
      <c r="T545" t="s">
        <v>36</v>
      </c>
      <c r="U545" t="s">
        <v>36</v>
      </c>
      <c r="V545" t="s">
        <v>36</v>
      </c>
      <c r="W545">
        <v>4000</v>
      </c>
      <c r="X545" t="s">
        <v>49</v>
      </c>
      <c r="Y545" t="s">
        <v>50</v>
      </c>
      <c r="Z545" t="s">
        <v>51</v>
      </c>
      <c r="AA545" t="s">
        <v>37</v>
      </c>
      <c r="AB545" t="s">
        <v>52</v>
      </c>
      <c r="AC545" t="s">
        <v>53</v>
      </c>
      <c r="AD545" t="s">
        <v>54</v>
      </c>
      <c r="AE545">
        <v>76.372985494399998</v>
      </c>
      <c r="AF545">
        <v>5160</v>
      </c>
      <c r="AG545">
        <v>5160.4852211500001</v>
      </c>
      <c r="AH545">
        <v>763742.12937800004</v>
      </c>
      <c r="AI545">
        <v>48</v>
      </c>
      <c r="AJ545">
        <v>751296.13093111105</v>
      </c>
      <c r="AK545" s="1">
        <f>intersection_ss_Lden___surface[[#This Row],[surf m2 bout ss]]/intersection_ss_Lden___surface[[#This Row],[Shape_Area]]</f>
        <v>0.98370392575171262</v>
      </c>
      <c r="AL545">
        <v>22</v>
      </c>
      <c r="AM545">
        <f>intersection_ss_Lden___surface[[#This Row],[Population totale 2024 ss]]*intersection_ss_Lden___surface[[#This Row],[Part de la surface du qs dans le noise contour]]</f>
        <v>21.641486366537677</v>
      </c>
    </row>
    <row r="546" spans="1:39" x14ac:dyDescent="0.3">
      <c r="A546">
        <v>576</v>
      </c>
      <c r="B546" t="s">
        <v>840</v>
      </c>
      <c r="C546" t="s">
        <v>841</v>
      </c>
      <c r="D546" t="s">
        <v>842</v>
      </c>
      <c r="E546" t="s">
        <v>842</v>
      </c>
      <c r="F546" t="s">
        <v>843</v>
      </c>
      <c r="G546" t="s">
        <v>792</v>
      </c>
      <c r="H546" t="s">
        <v>793</v>
      </c>
      <c r="I546" t="s">
        <v>793</v>
      </c>
      <c r="J546" t="s">
        <v>36</v>
      </c>
      <c r="K546">
        <v>21010</v>
      </c>
      <c r="L546" t="s">
        <v>794</v>
      </c>
      <c r="M546" t="s">
        <v>794</v>
      </c>
      <c r="N546" t="s">
        <v>794</v>
      </c>
      <c r="O546">
        <v>21000</v>
      </c>
      <c r="P546" t="s">
        <v>46</v>
      </c>
      <c r="Q546" t="s">
        <v>47</v>
      </c>
      <c r="R546" t="s">
        <v>48</v>
      </c>
      <c r="T546" t="s">
        <v>36</v>
      </c>
      <c r="U546" t="s">
        <v>36</v>
      </c>
      <c r="V546" t="s">
        <v>36</v>
      </c>
      <c r="W546">
        <v>4000</v>
      </c>
      <c r="X546" t="s">
        <v>49</v>
      </c>
      <c r="Y546" t="s">
        <v>50</v>
      </c>
      <c r="Z546" t="s">
        <v>51</v>
      </c>
      <c r="AA546" t="s">
        <v>37</v>
      </c>
      <c r="AB546" t="s">
        <v>52</v>
      </c>
      <c r="AC546" t="s">
        <v>53</v>
      </c>
      <c r="AD546" t="s">
        <v>54</v>
      </c>
      <c r="AE546">
        <v>76.372985494399998</v>
      </c>
      <c r="AF546">
        <v>5160</v>
      </c>
      <c r="AG546">
        <v>5160.4852211500001</v>
      </c>
      <c r="AH546">
        <v>763742.12937800004</v>
      </c>
      <c r="AI546">
        <v>49</v>
      </c>
      <c r="AJ546">
        <v>12514.834339376001</v>
      </c>
      <c r="AK546" s="1">
        <f>intersection_ss_Lden___surface[[#This Row],[surf m2 bout ss]]/intersection_ss_Lden___surface[[#This Row],[Shape_Area]]</f>
        <v>1.6386204005229121E-2</v>
      </c>
      <c r="AL546">
        <v>22</v>
      </c>
      <c r="AM546">
        <f>intersection_ss_Lden___surface[[#This Row],[Population totale 2024 ss]]*intersection_ss_Lden___surface[[#This Row],[Part de la surface du qs dans le noise contour]]</f>
        <v>0.36049648811504065</v>
      </c>
    </row>
    <row r="547" spans="1:39" x14ac:dyDescent="0.3">
      <c r="A547">
        <v>577</v>
      </c>
      <c r="B547" t="s">
        <v>844</v>
      </c>
      <c r="C547" t="s">
        <v>845</v>
      </c>
      <c r="D547" t="s">
        <v>845</v>
      </c>
      <c r="E547" t="s">
        <v>845</v>
      </c>
      <c r="F547" t="s">
        <v>843</v>
      </c>
      <c r="G547" t="s">
        <v>792</v>
      </c>
      <c r="H547" t="s">
        <v>793</v>
      </c>
      <c r="I547" t="s">
        <v>793</v>
      </c>
      <c r="J547" t="s">
        <v>36</v>
      </c>
      <c r="K547">
        <v>21010</v>
      </c>
      <c r="L547" t="s">
        <v>794</v>
      </c>
      <c r="M547" t="s">
        <v>794</v>
      </c>
      <c r="N547" t="s">
        <v>794</v>
      </c>
      <c r="O547">
        <v>21000</v>
      </c>
      <c r="P547" t="s">
        <v>46</v>
      </c>
      <c r="Q547" t="s">
        <v>47</v>
      </c>
      <c r="R547" t="s">
        <v>48</v>
      </c>
      <c r="T547" t="s">
        <v>36</v>
      </c>
      <c r="U547" t="s">
        <v>36</v>
      </c>
      <c r="V547" t="s">
        <v>36</v>
      </c>
      <c r="W547">
        <v>4000</v>
      </c>
      <c r="X547" t="s">
        <v>49</v>
      </c>
      <c r="Y547" t="s">
        <v>50</v>
      </c>
      <c r="Z547" t="s">
        <v>51</v>
      </c>
      <c r="AA547" t="s">
        <v>37</v>
      </c>
      <c r="AB547" t="s">
        <v>52</v>
      </c>
      <c r="AC547" t="s">
        <v>53</v>
      </c>
      <c r="AD547" t="s">
        <v>54</v>
      </c>
      <c r="AE547">
        <v>37.343894274999997</v>
      </c>
      <c r="AF547">
        <v>2826</v>
      </c>
      <c r="AG547">
        <v>2825.68044525</v>
      </c>
      <c r="AH547">
        <v>373444.94113200001</v>
      </c>
      <c r="AI547">
        <v>48</v>
      </c>
      <c r="AJ547">
        <v>346662.255792476</v>
      </c>
      <c r="AK547" s="1">
        <f>intersection_ss_Lden___surface[[#This Row],[surf m2 bout ss]]/intersection_ss_Lden___surface[[#This Row],[Shape_Area]]</f>
        <v>0.92828210429537661</v>
      </c>
      <c r="AL547">
        <v>20</v>
      </c>
      <c r="AM547">
        <f>intersection_ss_Lden___surface[[#This Row],[Population totale 2024 ss]]*intersection_ss_Lden___surface[[#This Row],[Part de la surface du qs dans le noise contour]]</f>
        <v>18.565642085907534</v>
      </c>
    </row>
    <row r="548" spans="1:39" x14ac:dyDescent="0.3">
      <c r="A548">
        <v>578</v>
      </c>
      <c r="B548" t="s">
        <v>844</v>
      </c>
      <c r="C548" t="s">
        <v>845</v>
      </c>
      <c r="D548" t="s">
        <v>845</v>
      </c>
      <c r="E548" t="s">
        <v>845</v>
      </c>
      <c r="F548" t="s">
        <v>843</v>
      </c>
      <c r="G548" t="s">
        <v>792</v>
      </c>
      <c r="H548" t="s">
        <v>793</v>
      </c>
      <c r="I548" t="s">
        <v>793</v>
      </c>
      <c r="J548" t="s">
        <v>36</v>
      </c>
      <c r="K548">
        <v>21010</v>
      </c>
      <c r="L548" t="s">
        <v>794</v>
      </c>
      <c r="M548" t="s">
        <v>794</v>
      </c>
      <c r="N548" t="s">
        <v>794</v>
      </c>
      <c r="O548">
        <v>21000</v>
      </c>
      <c r="P548" t="s">
        <v>46</v>
      </c>
      <c r="Q548" t="s">
        <v>47</v>
      </c>
      <c r="R548" t="s">
        <v>48</v>
      </c>
      <c r="T548" t="s">
        <v>36</v>
      </c>
      <c r="U548" t="s">
        <v>36</v>
      </c>
      <c r="V548" t="s">
        <v>36</v>
      </c>
      <c r="W548">
        <v>4000</v>
      </c>
      <c r="X548" t="s">
        <v>49</v>
      </c>
      <c r="Y548" t="s">
        <v>50</v>
      </c>
      <c r="Z548" t="s">
        <v>51</v>
      </c>
      <c r="AA548" t="s">
        <v>37</v>
      </c>
      <c r="AB548" t="s">
        <v>52</v>
      </c>
      <c r="AC548" t="s">
        <v>53</v>
      </c>
      <c r="AD548" t="s">
        <v>54</v>
      </c>
      <c r="AE548">
        <v>37.343894274999997</v>
      </c>
      <c r="AF548">
        <v>2826</v>
      </c>
      <c r="AG548">
        <v>2825.68044525</v>
      </c>
      <c r="AH548">
        <v>373444.94113200001</v>
      </c>
      <c r="AI548">
        <v>49</v>
      </c>
      <c r="AJ548">
        <v>26816.125720004999</v>
      </c>
      <c r="AK548" s="1">
        <f>intersection_ss_Lden___surface[[#This Row],[surf m2 bout ss]]/intersection_ss_Lden___surface[[#This Row],[Shape_Area]]</f>
        <v>7.1807441382708184E-2</v>
      </c>
      <c r="AL548">
        <v>20</v>
      </c>
      <c r="AM548">
        <f>intersection_ss_Lden___surface[[#This Row],[Population totale 2024 ss]]*intersection_ss_Lden___surface[[#This Row],[Part de la surface du qs dans le noise contour]]</f>
        <v>1.4361488276541636</v>
      </c>
    </row>
    <row r="549" spans="1:39" x14ac:dyDescent="0.3">
      <c r="A549">
        <v>579</v>
      </c>
      <c r="B549" t="s">
        <v>846</v>
      </c>
      <c r="C549" t="s">
        <v>847</v>
      </c>
      <c r="D549" t="s">
        <v>847</v>
      </c>
      <c r="E549" t="s">
        <v>847</v>
      </c>
      <c r="F549" t="s">
        <v>848</v>
      </c>
      <c r="G549" t="s">
        <v>849</v>
      </c>
      <c r="H549" t="s">
        <v>850</v>
      </c>
      <c r="I549" t="s">
        <v>850</v>
      </c>
      <c r="J549" t="s">
        <v>36</v>
      </c>
      <c r="K549">
        <v>21011</v>
      </c>
      <c r="L549" t="s">
        <v>851</v>
      </c>
      <c r="M549" t="s">
        <v>851</v>
      </c>
      <c r="N549" t="s">
        <v>851</v>
      </c>
      <c r="O549">
        <v>21000</v>
      </c>
      <c r="P549" t="s">
        <v>46</v>
      </c>
      <c r="Q549" t="s">
        <v>47</v>
      </c>
      <c r="R549" t="s">
        <v>48</v>
      </c>
      <c r="T549" t="s">
        <v>36</v>
      </c>
      <c r="U549" t="s">
        <v>36</v>
      </c>
      <c r="V549" t="s">
        <v>36</v>
      </c>
      <c r="W549">
        <v>4000</v>
      </c>
      <c r="X549" t="s">
        <v>49</v>
      </c>
      <c r="Y549" t="s">
        <v>50</v>
      </c>
      <c r="Z549" t="s">
        <v>51</v>
      </c>
      <c r="AA549" t="s">
        <v>37</v>
      </c>
      <c r="AB549" t="s">
        <v>52</v>
      </c>
      <c r="AC549" t="s">
        <v>53</v>
      </c>
      <c r="AD549" t="s">
        <v>54</v>
      </c>
      <c r="AE549">
        <v>12.000166206499999</v>
      </c>
      <c r="AF549">
        <v>1610</v>
      </c>
      <c r="AG549">
        <v>1609.67742499</v>
      </c>
      <c r="AH549">
        <v>120003.590507</v>
      </c>
      <c r="AI549">
        <v>48</v>
      </c>
      <c r="AJ549">
        <v>120015.062785293</v>
      </c>
      <c r="AK549" s="1">
        <f>intersection_ss_Lden___surface[[#This Row],[surf m2 bout ss]]/intersection_ss_Lden___surface[[#This Row],[Shape_Area]]</f>
        <v>1.0000955994586873</v>
      </c>
      <c r="AL549">
        <v>2174</v>
      </c>
      <c r="AM549">
        <f>intersection_ss_Lden___surface[[#This Row],[Population totale 2024 ss]]*intersection_ss_Lden___surface[[#This Row],[Part de la surface du qs dans le noise contour]]</f>
        <v>2174.2078332231863</v>
      </c>
    </row>
    <row r="550" spans="1:39" x14ac:dyDescent="0.3">
      <c r="A550">
        <v>580</v>
      </c>
      <c r="B550" t="s">
        <v>852</v>
      </c>
      <c r="C550" t="s">
        <v>206</v>
      </c>
      <c r="D550" t="s">
        <v>207</v>
      </c>
      <c r="E550" t="s">
        <v>207</v>
      </c>
      <c r="F550" t="s">
        <v>848</v>
      </c>
      <c r="G550" t="s">
        <v>849</v>
      </c>
      <c r="H550" t="s">
        <v>850</v>
      </c>
      <c r="I550" t="s">
        <v>850</v>
      </c>
      <c r="J550" t="s">
        <v>36</v>
      </c>
      <c r="K550">
        <v>21011</v>
      </c>
      <c r="L550" t="s">
        <v>851</v>
      </c>
      <c r="M550" t="s">
        <v>851</v>
      </c>
      <c r="N550" t="s">
        <v>851</v>
      </c>
      <c r="O550">
        <v>21000</v>
      </c>
      <c r="P550" t="s">
        <v>46</v>
      </c>
      <c r="Q550" t="s">
        <v>47</v>
      </c>
      <c r="R550" t="s">
        <v>48</v>
      </c>
      <c r="T550" t="s">
        <v>36</v>
      </c>
      <c r="U550" t="s">
        <v>36</v>
      </c>
      <c r="V550" t="s">
        <v>36</v>
      </c>
      <c r="W550">
        <v>4000</v>
      </c>
      <c r="X550" t="s">
        <v>49</v>
      </c>
      <c r="Y550" t="s">
        <v>50</v>
      </c>
      <c r="Z550" t="s">
        <v>51</v>
      </c>
      <c r="AA550" t="s">
        <v>37</v>
      </c>
      <c r="AB550" t="s">
        <v>52</v>
      </c>
      <c r="AC550" t="s">
        <v>53</v>
      </c>
      <c r="AD550" t="s">
        <v>54</v>
      </c>
      <c r="AE550">
        <v>14.404248060900001</v>
      </c>
      <c r="AF550">
        <v>1661</v>
      </c>
      <c r="AG550">
        <v>1661.26203104</v>
      </c>
      <c r="AH550">
        <v>144044.80049200001</v>
      </c>
      <c r="AI550">
        <v>48</v>
      </c>
      <c r="AJ550">
        <v>28465.290923125998</v>
      </c>
      <c r="AK550" s="1">
        <f>intersection_ss_Lden___surface[[#This Row],[surf m2 bout ss]]/intersection_ss_Lden___surface[[#This Row],[Shape_Area]]</f>
        <v>0.19761415077739589</v>
      </c>
      <c r="AL550">
        <v>4346</v>
      </c>
      <c r="AM550">
        <f>intersection_ss_Lden___surface[[#This Row],[Population totale 2024 ss]]*intersection_ss_Lden___surface[[#This Row],[Part de la surface du qs dans le noise contour]]</f>
        <v>858.83109927856253</v>
      </c>
    </row>
    <row r="551" spans="1:39" x14ac:dyDescent="0.3">
      <c r="A551">
        <v>581</v>
      </c>
      <c r="B551" t="s">
        <v>852</v>
      </c>
      <c r="C551" t="s">
        <v>206</v>
      </c>
      <c r="D551" t="s">
        <v>207</v>
      </c>
      <c r="E551" t="s">
        <v>207</v>
      </c>
      <c r="F551" t="s">
        <v>848</v>
      </c>
      <c r="G551" t="s">
        <v>849</v>
      </c>
      <c r="H551" t="s">
        <v>850</v>
      </c>
      <c r="I551" t="s">
        <v>850</v>
      </c>
      <c r="J551" t="s">
        <v>36</v>
      </c>
      <c r="K551">
        <v>21011</v>
      </c>
      <c r="L551" t="s">
        <v>851</v>
      </c>
      <c r="M551" t="s">
        <v>851</v>
      </c>
      <c r="N551" t="s">
        <v>851</v>
      </c>
      <c r="O551">
        <v>21000</v>
      </c>
      <c r="P551" t="s">
        <v>46</v>
      </c>
      <c r="Q551" t="s">
        <v>47</v>
      </c>
      <c r="R551" t="s">
        <v>48</v>
      </c>
      <c r="T551" t="s">
        <v>36</v>
      </c>
      <c r="U551" t="s">
        <v>36</v>
      </c>
      <c r="V551" t="s">
        <v>36</v>
      </c>
      <c r="W551">
        <v>4000</v>
      </c>
      <c r="X551" t="s">
        <v>49</v>
      </c>
      <c r="Y551" t="s">
        <v>50</v>
      </c>
      <c r="Z551" t="s">
        <v>51</v>
      </c>
      <c r="AA551" t="s">
        <v>37</v>
      </c>
      <c r="AB551" t="s">
        <v>52</v>
      </c>
      <c r="AC551" t="s">
        <v>53</v>
      </c>
      <c r="AD551" t="s">
        <v>54</v>
      </c>
      <c r="AE551">
        <v>14.404248060900001</v>
      </c>
      <c r="AF551">
        <v>1661</v>
      </c>
      <c r="AG551">
        <v>1661.26203104</v>
      </c>
      <c r="AH551">
        <v>144044.80049200001</v>
      </c>
      <c r="AI551">
        <v>49</v>
      </c>
      <c r="AJ551">
        <v>115593.31931561499</v>
      </c>
      <c r="AK551" s="1">
        <f>intersection_ss_Lden___surface[[#This Row],[surf m2 bout ss]]/intersection_ss_Lden___surface[[#This Row],[Shape_Area]]</f>
        <v>0.8024817204147181</v>
      </c>
      <c r="AL551">
        <v>4346</v>
      </c>
      <c r="AM551">
        <f>intersection_ss_Lden___surface[[#This Row],[Population totale 2024 ss]]*intersection_ss_Lden___surface[[#This Row],[Part de la surface du qs dans le noise contour]]</f>
        <v>3487.585556922365</v>
      </c>
    </row>
    <row r="552" spans="1:39" x14ac:dyDescent="0.3">
      <c r="A552">
        <v>582</v>
      </c>
      <c r="B552" t="s">
        <v>853</v>
      </c>
      <c r="C552" t="s">
        <v>854</v>
      </c>
      <c r="D552" t="s">
        <v>855</v>
      </c>
      <c r="E552" t="s">
        <v>855</v>
      </c>
      <c r="F552" t="s">
        <v>848</v>
      </c>
      <c r="G552" t="s">
        <v>849</v>
      </c>
      <c r="H552" t="s">
        <v>850</v>
      </c>
      <c r="I552" t="s">
        <v>850</v>
      </c>
      <c r="J552" t="s">
        <v>36</v>
      </c>
      <c r="K552">
        <v>21011</v>
      </c>
      <c r="L552" t="s">
        <v>851</v>
      </c>
      <c r="M552" t="s">
        <v>851</v>
      </c>
      <c r="N552" t="s">
        <v>851</v>
      </c>
      <c r="O552">
        <v>21000</v>
      </c>
      <c r="P552" t="s">
        <v>46</v>
      </c>
      <c r="Q552" t="s">
        <v>47</v>
      </c>
      <c r="R552" t="s">
        <v>48</v>
      </c>
      <c r="T552" t="s">
        <v>36</v>
      </c>
      <c r="U552" t="s">
        <v>36</v>
      </c>
      <c r="V552" t="s">
        <v>36</v>
      </c>
      <c r="W552">
        <v>4000</v>
      </c>
      <c r="X552" t="s">
        <v>49</v>
      </c>
      <c r="Y552" t="s">
        <v>50</v>
      </c>
      <c r="Z552" t="s">
        <v>51</v>
      </c>
      <c r="AA552" t="s">
        <v>37</v>
      </c>
      <c r="AB552" t="s">
        <v>52</v>
      </c>
      <c r="AC552" t="s">
        <v>53</v>
      </c>
      <c r="AD552" t="s">
        <v>54</v>
      </c>
      <c r="AE552">
        <v>8.7519285639</v>
      </c>
      <c r="AF552">
        <v>1362</v>
      </c>
      <c r="AG552">
        <v>1361.83469416</v>
      </c>
      <c r="AH552">
        <v>87520.700640299998</v>
      </c>
      <c r="AI552">
        <v>48</v>
      </c>
      <c r="AJ552">
        <v>71745.798020549104</v>
      </c>
      <c r="AK552" s="1">
        <f>intersection_ss_Lden___surface[[#This Row],[surf m2 bout ss]]/intersection_ss_Lden___surface[[#This Row],[Shape_Area]]</f>
        <v>0.81975804004833175</v>
      </c>
      <c r="AL552">
        <v>2130</v>
      </c>
      <c r="AM552">
        <f>intersection_ss_Lden___surface[[#This Row],[Population totale 2024 ss]]*intersection_ss_Lden___surface[[#This Row],[Part de la surface du qs dans le noise contour]]</f>
        <v>1746.0846253029467</v>
      </c>
    </row>
    <row r="553" spans="1:39" x14ac:dyDescent="0.3">
      <c r="A553">
        <v>583</v>
      </c>
      <c r="B553" t="s">
        <v>853</v>
      </c>
      <c r="C553" t="s">
        <v>854</v>
      </c>
      <c r="D553" t="s">
        <v>855</v>
      </c>
      <c r="E553" t="s">
        <v>855</v>
      </c>
      <c r="F553" t="s">
        <v>848</v>
      </c>
      <c r="G553" t="s">
        <v>849</v>
      </c>
      <c r="H553" t="s">
        <v>850</v>
      </c>
      <c r="I553" t="s">
        <v>850</v>
      </c>
      <c r="J553" t="s">
        <v>36</v>
      </c>
      <c r="K553">
        <v>21011</v>
      </c>
      <c r="L553" t="s">
        <v>851</v>
      </c>
      <c r="M553" t="s">
        <v>851</v>
      </c>
      <c r="N553" t="s">
        <v>851</v>
      </c>
      <c r="O553">
        <v>21000</v>
      </c>
      <c r="P553" t="s">
        <v>46</v>
      </c>
      <c r="Q553" t="s">
        <v>47</v>
      </c>
      <c r="R553" t="s">
        <v>48</v>
      </c>
      <c r="T553" t="s">
        <v>36</v>
      </c>
      <c r="U553" t="s">
        <v>36</v>
      </c>
      <c r="V553" t="s">
        <v>36</v>
      </c>
      <c r="W553">
        <v>4000</v>
      </c>
      <c r="X553" t="s">
        <v>49</v>
      </c>
      <c r="Y553" t="s">
        <v>50</v>
      </c>
      <c r="Z553" t="s">
        <v>51</v>
      </c>
      <c r="AA553" t="s">
        <v>37</v>
      </c>
      <c r="AB553" t="s">
        <v>52</v>
      </c>
      <c r="AC553" t="s">
        <v>53</v>
      </c>
      <c r="AD553" t="s">
        <v>54</v>
      </c>
      <c r="AE553">
        <v>8.7519285639</v>
      </c>
      <c r="AF553">
        <v>1362</v>
      </c>
      <c r="AG553">
        <v>1361.83469416</v>
      </c>
      <c r="AH553">
        <v>87520.700640299998</v>
      </c>
      <c r="AI553">
        <v>49</v>
      </c>
      <c r="AJ553">
        <v>15783.328109423601</v>
      </c>
      <c r="AK553" s="1">
        <f>intersection_ss_Lden___surface[[#This Row],[surf m2 bout ss]]/intersection_ss_Lden___surface[[#This Row],[Shape_Area]]</f>
        <v>0.180338228487124</v>
      </c>
      <c r="AL553">
        <v>2130</v>
      </c>
      <c r="AM553">
        <f>intersection_ss_Lden___surface[[#This Row],[Population totale 2024 ss]]*intersection_ss_Lden___surface[[#This Row],[Part de la surface du qs dans le noise contour]]</f>
        <v>384.12042667757413</v>
      </c>
    </row>
    <row r="554" spans="1:39" x14ac:dyDescent="0.3">
      <c r="A554">
        <v>584</v>
      </c>
      <c r="B554" t="s">
        <v>856</v>
      </c>
      <c r="C554" t="s">
        <v>857</v>
      </c>
      <c r="D554" t="s">
        <v>858</v>
      </c>
      <c r="E554" t="s">
        <v>858</v>
      </c>
      <c r="F554" t="s">
        <v>859</v>
      </c>
      <c r="G554" t="s">
        <v>849</v>
      </c>
      <c r="H554" t="s">
        <v>850</v>
      </c>
      <c r="I554" t="s">
        <v>850</v>
      </c>
      <c r="J554" t="s">
        <v>36</v>
      </c>
      <c r="K554">
        <v>21011</v>
      </c>
      <c r="L554" t="s">
        <v>851</v>
      </c>
      <c r="M554" t="s">
        <v>851</v>
      </c>
      <c r="N554" t="s">
        <v>851</v>
      </c>
      <c r="O554">
        <v>21000</v>
      </c>
      <c r="P554" t="s">
        <v>46</v>
      </c>
      <c r="Q554" t="s">
        <v>47</v>
      </c>
      <c r="R554" t="s">
        <v>48</v>
      </c>
      <c r="T554" t="s">
        <v>36</v>
      </c>
      <c r="U554" t="s">
        <v>36</v>
      </c>
      <c r="V554" t="s">
        <v>36</v>
      </c>
      <c r="W554">
        <v>4000</v>
      </c>
      <c r="X554" t="s">
        <v>49</v>
      </c>
      <c r="Y554" t="s">
        <v>50</v>
      </c>
      <c r="Z554" t="s">
        <v>51</v>
      </c>
      <c r="AA554" t="s">
        <v>37</v>
      </c>
      <c r="AB554" t="s">
        <v>52</v>
      </c>
      <c r="AC554" t="s">
        <v>53</v>
      </c>
      <c r="AD554" t="s">
        <v>54</v>
      </c>
      <c r="AE554">
        <v>10.196090442699999</v>
      </c>
      <c r="AF554">
        <v>1517</v>
      </c>
      <c r="AG554">
        <v>1517.42412601</v>
      </c>
      <c r="AH554">
        <v>101962.558989</v>
      </c>
      <c r="AI554">
        <v>46</v>
      </c>
      <c r="AJ554">
        <v>101972.24330056499</v>
      </c>
      <c r="AK554" s="1">
        <f>intersection_ss_Lden___surface[[#This Row],[surf m2 bout ss]]/intersection_ss_Lden___surface[[#This Row],[Shape_Area]]</f>
        <v>1.0000949790948856</v>
      </c>
      <c r="AL554">
        <v>2761</v>
      </c>
      <c r="AM554">
        <f>intersection_ss_Lden___surface[[#This Row],[Population totale 2024 ss]]*intersection_ss_Lden___surface[[#This Row],[Part de la surface du qs dans le noise contour]]</f>
        <v>2761.2622372809792</v>
      </c>
    </row>
    <row r="555" spans="1:39" x14ac:dyDescent="0.3">
      <c r="A555">
        <v>585</v>
      </c>
      <c r="B555" t="s">
        <v>860</v>
      </c>
      <c r="C555" t="s">
        <v>861</v>
      </c>
      <c r="D555" t="s">
        <v>861</v>
      </c>
      <c r="E555" t="s">
        <v>861</v>
      </c>
      <c r="F555" t="s">
        <v>859</v>
      </c>
      <c r="G555" t="s">
        <v>849</v>
      </c>
      <c r="H555" t="s">
        <v>850</v>
      </c>
      <c r="I555" t="s">
        <v>850</v>
      </c>
      <c r="J555" t="s">
        <v>36</v>
      </c>
      <c r="K555">
        <v>21011</v>
      </c>
      <c r="L555" t="s">
        <v>851</v>
      </c>
      <c r="M555" t="s">
        <v>851</v>
      </c>
      <c r="N555" t="s">
        <v>851</v>
      </c>
      <c r="O555">
        <v>21000</v>
      </c>
      <c r="P555" t="s">
        <v>46</v>
      </c>
      <c r="Q555" t="s">
        <v>47</v>
      </c>
      <c r="R555" t="s">
        <v>48</v>
      </c>
      <c r="T555" t="s">
        <v>36</v>
      </c>
      <c r="U555" t="s">
        <v>36</v>
      </c>
      <c r="V555" t="s">
        <v>36</v>
      </c>
      <c r="W555">
        <v>4000</v>
      </c>
      <c r="X555" t="s">
        <v>49</v>
      </c>
      <c r="Y555" t="s">
        <v>50</v>
      </c>
      <c r="Z555" t="s">
        <v>51</v>
      </c>
      <c r="AA555" t="s">
        <v>37</v>
      </c>
      <c r="AB555" t="s">
        <v>52</v>
      </c>
      <c r="AC555" t="s">
        <v>53</v>
      </c>
      <c r="AD555" t="s">
        <v>54</v>
      </c>
      <c r="AE555">
        <v>7.0570281999300004</v>
      </c>
      <c r="AF555">
        <v>1101</v>
      </c>
      <c r="AG555">
        <v>1101.2575753900001</v>
      </c>
      <c r="AH555">
        <v>70571.419280000002</v>
      </c>
      <c r="AI555">
        <v>46</v>
      </c>
      <c r="AJ555">
        <v>70578.097002463895</v>
      </c>
      <c r="AK555" s="1">
        <f>intersection_ss_Lden___surface[[#This Row],[surf m2 bout ss]]/intersection_ss_Lden___surface[[#This Row],[Shape_Area]]</f>
        <v>1.0000946236101247</v>
      </c>
      <c r="AL555">
        <v>2200</v>
      </c>
      <c r="AM555">
        <f>intersection_ss_Lden___surface[[#This Row],[Population totale 2024 ss]]*intersection_ss_Lden___surface[[#This Row],[Part de la surface du qs dans le noise contour]]</f>
        <v>2200.2081719422745</v>
      </c>
    </row>
    <row r="556" spans="1:39" x14ac:dyDescent="0.3">
      <c r="A556">
        <v>586</v>
      </c>
      <c r="B556" t="s">
        <v>862</v>
      </c>
      <c r="C556" t="s">
        <v>750</v>
      </c>
      <c r="D556" t="s">
        <v>751</v>
      </c>
      <c r="E556" t="s">
        <v>751</v>
      </c>
      <c r="F556" t="s">
        <v>859</v>
      </c>
      <c r="G556" t="s">
        <v>849</v>
      </c>
      <c r="H556" t="s">
        <v>850</v>
      </c>
      <c r="I556" t="s">
        <v>850</v>
      </c>
      <c r="J556" t="s">
        <v>36</v>
      </c>
      <c r="K556">
        <v>21011</v>
      </c>
      <c r="L556" t="s">
        <v>851</v>
      </c>
      <c r="M556" t="s">
        <v>851</v>
      </c>
      <c r="N556" t="s">
        <v>851</v>
      </c>
      <c r="O556">
        <v>21000</v>
      </c>
      <c r="P556" t="s">
        <v>46</v>
      </c>
      <c r="Q556" t="s">
        <v>47</v>
      </c>
      <c r="R556" t="s">
        <v>48</v>
      </c>
      <c r="T556" t="s">
        <v>36</v>
      </c>
      <c r="U556" t="s">
        <v>36</v>
      </c>
      <c r="V556" t="s">
        <v>36</v>
      </c>
      <c r="W556">
        <v>4000</v>
      </c>
      <c r="X556" t="s">
        <v>49</v>
      </c>
      <c r="Y556" t="s">
        <v>50</v>
      </c>
      <c r="Z556" t="s">
        <v>51</v>
      </c>
      <c r="AA556" t="s">
        <v>37</v>
      </c>
      <c r="AB556" t="s">
        <v>52</v>
      </c>
      <c r="AC556" t="s">
        <v>53</v>
      </c>
      <c r="AD556" t="s">
        <v>54</v>
      </c>
      <c r="AE556">
        <v>9.8372230899600002</v>
      </c>
      <c r="AF556">
        <v>1735</v>
      </c>
      <c r="AG556">
        <v>1735.31331587</v>
      </c>
      <c r="AH556">
        <v>98373.820191399995</v>
      </c>
      <c r="AI556">
        <v>45</v>
      </c>
      <c r="AJ556">
        <v>22090.720684462201</v>
      </c>
      <c r="AK556" s="1">
        <f>intersection_ss_Lden___surface[[#This Row],[surf m2 bout ss]]/intersection_ss_Lden___surface[[#This Row],[Shape_Area]]</f>
        <v>0.22455893896853474</v>
      </c>
      <c r="AL556">
        <v>2170</v>
      </c>
      <c r="AM556">
        <f>intersection_ss_Lden___surface[[#This Row],[Population totale 2024 ss]]*intersection_ss_Lden___surface[[#This Row],[Part de la surface du qs dans le noise contour]]</f>
        <v>487.29289756172039</v>
      </c>
    </row>
    <row r="557" spans="1:39" x14ac:dyDescent="0.3">
      <c r="A557">
        <v>587</v>
      </c>
      <c r="B557" t="s">
        <v>862</v>
      </c>
      <c r="C557" t="s">
        <v>750</v>
      </c>
      <c r="D557" t="s">
        <v>751</v>
      </c>
      <c r="E557" t="s">
        <v>751</v>
      </c>
      <c r="F557" t="s">
        <v>859</v>
      </c>
      <c r="G557" t="s">
        <v>849</v>
      </c>
      <c r="H557" t="s">
        <v>850</v>
      </c>
      <c r="I557" t="s">
        <v>850</v>
      </c>
      <c r="J557" t="s">
        <v>36</v>
      </c>
      <c r="K557">
        <v>21011</v>
      </c>
      <c r="L557" t="s">
        <v>851</v>
      </c>
      <c r="M557" t="s">
        <v>851</v>
      </c>
      <c r="N557" t="s">
        <v>851</v>
      </c>
      <c r="O557">
        <v>21000</v>
      </c>
      <c r="P557" t="s">
        <v>46</v>
      </c>
      <c r="Q557" t="s">
        <v>47</v>
      </c>
      <c r="R557" t="s">
        <v>48</v>
      </c>
      <c r="T557" t="s">
        <v>36</v>
      </c>
      <c r="U557" t="s">
        <v>36</v>
      </c>
      <c r="V557" t="s">
        <v>36</v>
      </c>
      <c r="W557">
        <v>4000</v>
      </c>
      <c r="X557" t="s">
        <v>49</v>
      </c>
      <c r="Y557" t="s">
        <v>50</v>
      </c>
      <c r="Z557" t="s">
        <v>51</v>
      </c>
      <c r="AA557" t="s">
        <v>37</v>
      </c>
      <c r="AB557" t="s">
        <v>52</v>
      </c>
      <c r="AC557" t="s">
        <v>53</v>
      </c>
      <c r="AD557" t="s">
        <v>54</v>
      </c>
      <c r="AE557">
        <v>9.8372230899600002</v>
      </c>
      <c r="AF557">
        <v>1735</v>
      </c>
      <c r="AG557">
        <v>1735.31331587</v>
      </c>
      <c r="AH557">
        <v>98373.820191399995</v>
      </c>
      <c r="AI557">
        <v>46</v>
      </c>
      <c r="AJ557">
        <v>76292.396201651994</v>
      </c>
      <c r="AK557" s="1">
        <f>intersection_ss_Lden___surface[[#This Row],[surf m2 bout ss]]/intersection_ss_Lden___surface[[#This Row],[Shape_Area]]</f>
        <v>0.77553556477947583</v>
      </c>
      <c r="AL557">
        <v>2170</v>
      </c>
      <c r="AM557">
        <f>intersection_ss_Lden___surface[[#This Row],[Population totale 2024 ss]]*intersection_ss_Lden___surface[[#This Row],[Part de la surface du qs dans le noise contour]]</f>
        <v>1682.9121755714625</v>
      </c>
    </row>
    <row r="558" spans="1:39" x14ac:dyDescent="0.3">
      <c r="A558">
        <v>588</v>
      </c>
      <c r="B558" t="s">
        <v>863</v>
      </c>
      <c r="C558" t="s">
        <v>747</v>
      </c>
      <c r="D558" t="s">
        <v>747</v>
      </c>
      <c r="E558" t="s">
        <v>747</v>
      </c>
      <c r="F558" t="s">
        <v>864</v>
      </c>
      <c r="G558" t="s">
        <v>849</v>
      </c>
      <c r="H558" t="s">
        <v>850</v>
      </c>
      <c r="I558" t="s">
        <v>850</v>
      </c>
      <c r="J558" t="s">
        <v>36</v>
      </c>
      <c r="K558">
        <v>21011</v>
      </c>
      <c r="L558" t="s">
        <v>851</v>
      </c>
      <c r="M558" t="s">
        <v>851</v>
      </c>
      <c r="N558" t="s">
        <v>851</v>
      </c>
      <c r="O558">
        <v>21000</v>
      </c>
      <c r="P558" t="s">
        <v>46</v>
      </c>
      <c r="Q558" t="s">
        <v>47</v>
      </c>
      <c r="R558" t="s">
        <v>48</v>
      </c>
      <c r="T558" t="s">
        <v>36</v>
      </c>
      <c r="U558" t="s">
        <v>36</v>
      </c>
      <c r="V558" t="s">
        <v>36</v>
      </c>
      <c r="W558">
        <v>4000</v>
      </c>
      <c r="X558" t="s">
        <v>49</v>
      </c>
      <c r="Y558" t="s">
        <v>50</v>
      </c>
      <c r="Z558" t="s">
        <v>51</v>
      </c>
      <c r="AA558" t="s">
        <v>37</v>
      </c>
      <c r="AB558" t="s">
        <v>52</v>
      </c>
      <c r="AC558" t="s">
        <v>53</v>
      </c>
      <c r="AD558" t="s">
        <v>54</v>
      </c>
      <c r="AE558">
        <v>22.9235273478</v>
      </c>
      <c r="AF558">
        <v>2738</v>
      </c>
      <c r="AG558">
        <v>2738.1087187799999</v>
      </c>
      <c r="AH558">
        <v>229238.945053</v>
      </c>
      <c r="AI558">
        <v>46</v>
      </c>
      <c r="AJ558">
        <v>79344.299452777996</v>
      </c>
      <c r="AK558" s="1">
        <f>intersection_ss_Lden___surface[[#This Row],[surf m2 bout ss]]/intersection_ss_Lden___surface[[#This Row],[Shape_Area]]</f>
        <v>0.34612050511065479</v>
      </c>
      <c r="AL558">
        <v>4273</v>
      </c>
      <c r="AM558">
        <f>intersection_ss_Lden___surface[[#This Row],[Population totale 2024 ss]]*intersection_ss_Lden___surface[[#This Row],[Part de la surface du qs dans le noise contour]]</f>
        <v>1478.9729183378279</v>
      </c>
    </row>
    <row r="559" spans="1:39" x14ac:dyDescent="0.3">
      <c r="A559">
        <v>589</v>
      </c>
      <c r="B559" t="s">
        <v>863</v>
      </c>
      <c r="C559" t="s">
        <v>747</v>
      </c>
      <c r="D559" t="s">
        <v>747</v>
      </c>
      <c r="E559" t="s">
        <v>747</v>
      </c>
      <c r="F559" t="s">
        <v>864</v>
      </c>
      <c r="G559" t="s">
        <v>849</v>
      </c>
      <c r="H559" t="s">
        <v>850</v>
      </c>
      <c r="I559" t="s">
        <v>850</v>
      </c>
      <c r="J559" t="s">
        <v>36</v>
      </c>
      <c r="K559">
        <v>21011</v>
      </c>
      <c r="L559" t="s">
        <v>851</v>
      </c>
      <c r="M559" t="s">
        <v>851</v>
      </c>
      <c r="N559" t="s">
        <v>851</v>
      </c>
      <c r="O559">
        <v>21000</v>
      </c>
      <c r="P559" t="s">
        <v>46</v>
      </c>
      <c r="Q559" t="s">
        <v>47</v>
      </c>
      <c r="R559" t="s">
        <v>48</v>
      </c>
      <c r="T559" t="s">
        <v>36</v>
      </c>
      <c r="U559" t="s">
        <v>36</v>
      </c>
      <c r="V559" t="s">
        <v>36</v>
      </c>
      <c r="W559">
        <v>4000</v>
      </c>
      <c r="X559" t="s">
        <v>49</v>
      </c>
      <c r="Y559" t="s">
        <v>50</v>
      </c>
      <c r="Z559" t="s">
        <v>51</v>
      </c>
      <c r="AA559" t="s">
        <v>37</v>
      </c>
      <c r="AB559" t="s">
        <v>52</v>
      </c>
      <c r="AC559" t="s">
        <v>53</v>
      </c>
      <c r="AD559" t="s">
        <v>54</v>
      </c>
      <c r="AE559">
        <v>22.9235273478</v>
      </c>
      <c r="AF559">
        <v>2738</v>
      </c>
      <c r="AG559">
        <v>2738.1087187799999</v>
      </c>
      <c r="AH559">
        <v>229238.945053</v>
      </c>
      <c r="AI559">
        <v>47</v>
      </c>
      <c r="AJ559">
        <v>100331.904299712</v>
      </c>
      <c r="AK559" s="1">
        <f>intersection_ss_Lden___surface[[#This Row],[surf m2 bout ss]]/intersection_ss_Lden___surface[[#This Row],[Shape_Area]]</f>
        <v>0.4376739051757339</v>
      </c>
      <c r="AL559">
        <v>4273</v>
      </c>
      <c r="AM559">
        <f>intersection_ss_Lden___surface[[#This Row],[Population totale 2024 ss]]*intersection_ss_Lden___surface[[#This Row],[Part de la surface du qs dans le noise contour]]</f>
        <v>1870.180596815911</v>
      </c>
    </row>
    <row r="560" spans="1:39" x14ac:dyDescent="0.3">
      <c r="A560">
        <v>590</v>
      </c>
      <c r="B560" t="s">
        <v>863</v>
      </c>
      <c r="C560" t="s">
        <v>747</v>
      </c>
      <c r="D560" t="s">
        <v>747</v>
      </c>
      <c r="E560" t="s">
        <v>747</v>
      </c>
      <c r="F560" t="s">
        <v>864</v>
      </c>
      <c r="G560" t="s">
        <v>849</v>
      </c>
      <c r="H560" t="s">
        <v>850</v>
      </c>
      <c r="I560" t="s">
        <v>850</v>
      </c>
      <c r="J560" t="s">
        <v>36</v>
      </c>
      <c r="K560">
        <v>21011</v>
      </c>
      <c r="L560" t="s">
        <v>851</v>
      </c>
      <c r="M560" t="s">
        <v>851</v>
      </c>
      <c r="N560" t="s">
        <v>851</v>
      </c>
      <c r="O560">
        <v>21000</v>
      </c>
      <c r="P560" t="s">
        <v>46</v>
      </c>
      <c r="Q560" t="s">
        <v>47</v>
      </c>
      <c r="R560" t="s">
        <v>48</v>
      </c>
      <c r="T560" t="s">
        <v>36</v>
      </c>
      <c r="U560" t="s">
        <v>36</v>
      </c>
      <c r="V560" t="s">
        <v>36</v>
      </c>
      <c r="W560">
        <v>4000</v>
      </c>
      <c r="X560" t="s">
        <v>49</v>
      </c>
      <c r="Y560" t="s">
        <v>50</v>
      </c>
      <c r="Z560" t="s">
        <v>51</v>
      </c>
      <c r="AA560" t="s">
        <v>37</v>
      </c>
      <c r="AB560" t="s">
        <v>52</v>
      </c>
      <c r="AC560" t="s">
        <v>53</v>
      </c>
      <c r="AD560" t="s">
        <v>54</v>
      </c>
      <c r="AE560">
        <v>22.9235273478</v>
      </c>
      <c r="AF560">
        <v>2738</v>
      </c>
      <c r="AG560">
        <v>2738.1087187799999</v>
      </c>
      <c r="AH560">
        <v>229238.945053</v>
      </c>
      <c r="AI560">
        <v>48</v>
      </c>
      <c r="AJ560">
        <v>49584.552146889298</v>
      </c>
      <c r="AK560" s="1">
        <f>intersection_ss_Lden___surface[[#This Row],[surf m2 bout ss]]/intersection_ss_Lden___surface[[#This Row],[Shape_Area]]</f>
        <v>0.21630073430771268</v>
      </c>
      <c r="AL560">
        <v>4273</v>
      </c>
      <c r="AM560">
        <f>intersection_ss_Lden___surface[[#This Row],[Population totale 2024 ss]]*intersection_ss_Lden___surface[[#This Row],[Part de la surface du qs dans le noise contour]]</f>
        <v>924.25303769685627</v>
      </c>
    </row>
    <row r="561" spans="1:39" x14ac:dyDescent="0.3">
      <c r="A561">
        <v>591</v>
      </c>
      <c r="B561" t="s">
        <v>865</v>
      </c>
      <c r="C561" t="s">
        <v>866</v>
      </c>
      <c r="D561" t="s">
        <v>867</v>
      </c>
      <c r="E561" t="s">
        <v>867</v>
      </c>
      <c r="F561" t="s">
        <v>864</v>
      </c>
      <c r="G561" t="s">
        <v>849</v>
      </c>
      <c r="H561" t="s">
        <v>850</v>
      </c>
      <c r="I561" t="s">
        <v>850</v>
      </c>
      <c r="J561" t="s">
        <v>36</v>
      </c>
      <c r="K561">
        <v>21011</v>
      </c>
      <c r="L561" t="s">
        <v>851</v>
      </c>
      <c r="M561" t="s">
        <v>851</v>
      </c>
      <c r="N561" t="s">
        <v>851</v>
      </c>
      <c r="O561">
        <v>21000</v>
      </c>
      <c r="P561" t="s">
        <v>46</v>
      </c>
      <c r="Q561" t="s">
        <v>47</v>
      </c>
      <c r="R561" t="s">
        <v>48</v>
      </c>
      <c r="T561" t="s">
        <v>36</v>
      </c>
      <c r="U561" t="s">
        <v>36</v>
      </c>
      <c r="V561" t="s">
        <v>36</v>
      </c>
      <c r="W561">
        <v>4000</v>
      </c>
      <c r="X561" t="s">
        <v>49</v>
      </c>
      <c r="Y561" t="s">
        <v>50</v>
      </c>
      <c r="Z561" t="s">
        <v>51</v>
      </c>
      <c r="AA561" t="s">
        <v>37</v>
      </c>
      <c r="AB561" t="s">
        <v>52</v>
      </c>
      <c r="AC561" t="s">
        <v>53</v>
      </c>
      <c r="AD561" t="s">
        <v>54</v>
      </c>
      <c r="AE561">
        <v>18.3251518175</v>
      </c>
      <c r="AF561">
        <v>2452</v>
      </c>
      <c r="AG561">
        <v>2452.2555219000001</v>
      </c>
      <c r="AH561">
        <v>183254.44854400001</v>
      </c>
      <c r="AI561">
        <v>46</v>
      </c>
      <c r="AJ561">
        <v>80511.254860494199</v>
      </c>
      <c r="AK561" s="1">
        <f>intersection_ss_Lden___surface[[#This Row],[surf m2 bout ss]]/intersection_ss_Lden___surface[[#This Row],[Shape_Area]]</f>
        <v>0.43934133932450309</v>
      </c>
      <c r="AL561">
        <v>0</v>
      </c>
      <c r="AM561">
        <f>intersection_ss_Lden___surface[[#This Row],[Population totale 2024 ss]]*intersection_ss_Lden___surface[[#This Row],[Part de la surface du qs dans le noise contour]]</f>
        <v>0</v>
      </c>
    </row>
    <row r="562" spans="1:39" x14ac:dyDescent="0.3">
      <c r="A562">
        <v>592</v>
      </c>
      <c r="B562" t="s">
        <v>865</v>
      </c>
      <c r="C562" t="s">
        <v>866</v>
      </c>
      <c r="D562" t="s">
        <v>867</v>
      </c>
      <c r="E562" t="s">
        <v>867</v>
      </c>
      <c r="F562" t="s">
        <v>864</v>
      </c>
      <c r="G562" t="s">
        <v>849</v>
      </c>
      <c r="H562" t="s">
        <v>850</v>
      </c>
      <c r="I562" t="s">
        <v>850</v>
      </c>
      <c r="J562" t="s">
        <v>36</v>
      </c>
      <c r="K562">
        <v>21011</v>
      </c>
      <c r="L562" t="s">
        <v>851</v>
      </c>
      <c r="M562" t="s">
        <v>851</v>
      </c>
      <c r="N562" t="s">
        <v>851</v>
      </c>
      <c r="O562">
        <v>21000</v>
      </c>
      <c r="P562" t="s">
        <v>46</v>
      </c>
      <c r="Q562" t="s">
        <v>47</v>
      </c>
      <c r="R562" t="s">
        <v>48</v>
      </c>
      <c r="T562" t="s">
        <v>36</v>
      </c>
      <c r="U562" t="s">
        <v>36</v>
      </c>
      <c r="V562" t="s">
        <v>36</v>
      </c>
      <c r="W562">
        <v>4000</v>
      </c>
      <c r="X562" t="s">
        <v>49</v>
      </c>
      <c r="Y562" t="s">
        <v>50</v>
      </c>
      <c r="Z562" t="s">
        <v>51</v>
      </c>
      <c r="AA562" t="s">
        <v>37</v>
      </c>
      <c r="AB562" t="s">
        <v>52</v>
      </c>
      <c r="AC562" t="s">
        <v>53</v>
      </c>
      <c r="AD562" t="s">
        <v>54</v>
      </c>
      <c r="AE562">
        <v>18.3251518175</v>
      </c>
      <c r="AF562">
        <v>2452</v>
      </c>
      <c r="AG562">
        <v>2452.2555219000001</v>
      </c>
      <c r="AH562">
        <v>183254.44854400001</v>
      </c>
      <c r="AI562">
        <v>47</v>
      </c>
      <c r="AJ562">
        <v>98878.345493661196</v>
      </c>
      <c r="AK562" s="1">
        <f>intersection_ss_Lden___surface[[#This Row],[surf m2 bout ss]]/intersection_ss_Lden___surface[[#This Row],[Shape_Area]]</f>
        <v>0.53956859590188977</v>
      </c>
      <c r="AL562">
        <v>0</v>
      </c>
      <c r="AM562">
        <f>intersection_ss_Lden___surface[[#This Row],[Population totale 2024 ss]]*intersection_ss_Lden___surface[[#This Row],[Part de la surface du qs dans le noise contour]]</f>
        <v>0</v>
      </c>
    </row>
    <row r="563" spans="1:39" x14ac:dyDescent="0.3">
      <c r="A563">
        <v>593</v>
      </c>
      <c r="B563" t="s">
        <v>865</v>
      </c>
      <c r="C563" t="s">
        <v>866</v>
      </c>
      <c r="D563" t="s">
        <v>867</v>
      </c>
      <c r="E563" t="s">
        <v>867</v>
      </c>
      <c r="F563" t="s">
        <v>864</v>
      </c>
      <c r="G563" t="s">
        <v>849</v>
      </c>
      <c r="H563" t="s">
        <v>850</v>
      </c>
      <c r="I563" t="s">
        <v>850</v>
      </c>
      <c r="J563" t="s">
        <v>36</v>
      </c>
      <c r="K563">
        <v>21011</v>
      </c>
      <c r="L563" t="s">
        <v>851</v>
      </c>
      <c r="M563" t="s">
        <v>851</v>
      </c>
      <c r="N563" t="s">
        <v>851</v>
      </c>
      <c r="O563">
        <v>21000</v>
      </c>
      <c r="P563" t="s">
        <v>46</v>
      </c>
      <c r="Q563" t="s">
        <v>47</v>
      </c>
      <c r="R563" t="s">
        <v>48</v>
      </c>
      <c r="T563" t="s">
        <v>36</v>
      </c>
      <c r="U563" t="s">
        <v>36</v>
      </c>
      <c r="V563" t="s">
        <v>36</v>
      </c>
      <c r="W563">
        <v>4000</v>
      </c>
      <c r="X563" t="s">
        <v>49</v>
      </c>
      <c r="Y563" t="s">
        <v>50</v>
      </c>
      <c r="Z563" t="s">
        <v>51</v>
      </c>
      <c r="AA563" t="s">
        <v>37</v>
      </c>
      <c r="AB563" t="s">
        <v>52</v>
      </c>
      <c r="AC563" t="s">
        <v>53</v>
      </c>
      <c r="AD563" t="s">
        <v>54</v>
      </c>
      <c r="AE563">
        <v>18.3251518175</v>
      </c>
      <c r="AF563">
        <v>2452</v>
      </c>
      <c r="AG563">
        <v>2452.2555219000001</v>
      </c>
      <c r="AH563">
        <v>183254.44854400001</v>
      </c>
      <c r="AI563">
        <v>48</v>
      </c>
      <c r="AJ563">
        <v>3882.1914579793802</v>
      </c>
      <c r="AK563" s="1">
        <f>intersection_ss_Lden___surface[[#This Row],[surf m2 bout ss]]/intersection_ss_Lden___surface[[#This Row],[Shape_Area]]</f>
        <v>2.1184705139898705E-2</v>
      </c>
      <c r="AL563">
        <v>0</v>
      </c>
      <c r="AM563">
        <f>intersection_ss_Lden___surface[[#This Row],[Population totale 2024 ss]]*intersection_ss_Lden___surface[[#This Row],[Part de la surface du qs dans le noise contour]]</f>
        <v>0</v>
      </c>
    </row>
    <row r="564" spans="1:39" x14ac:dyDescent="0.3">
      <c r="A564">
        <v>594</v>
      </c>
      <c r="B564" t="s">
        <v>868</v>
      </c>
      <c r="C564" t="s">
        <v>869</v>
      </c>
      <c r="D564" t="s">
        <v>870</v>
      </c>
      <c r="E564" t="s">
        <v>870</v>
      </c>
      <c r="F564" t="s">
        <v>871</v>
      </c>
      <c r="G564" t="s">
        <v>849</v>
      </c>
      <c r="H564" t="s">
        <v>850</v>
      </c>
      <c r="I564" t="s">
        <v>850</v>
      </c>
      <c r="J564" t="s">
        <v>36</v>
      </c>
      <c r="K564">
        <v>21011</v>
      </c>
      <c r="L564" t="s">
        <v>851</v>
      </c>
      <c r="M564" t="s">
        <v>851</v>
      </c>
      <c r="N564" t="s">
        <v>851</v>
      </c>
      <c r="O564">
        <v>21000</v>
      </c>
      <c r="P564" t="s">
        <v>46</v>
      </c>
      <c r="Q564" t="s">
        <v>47</v>
      </c>
      <c r="R564" t="s">
        <v>48</v>
      </c>
      <c r="T564" t="s">
        <v>36</v>
      </c>
      <c r="U564" t="s">
        <v>36</v>
      </c>
      <c r="V564" t="s">
        <v>36</v>
      </c>
      <c r="W564">
        <v>4000</v>
      </c>
      <c r="X564" t="s">
        <v>49</v>
      </c>
      <c r="Y564" t="s">
        <v>50</v>
      </c>
      <c r="Z564" t="s">
        <v>51</v>
      </c>
      <c r="AA564" t="s">
        <v>37</v>
      </c>
      <c r="AB564" t="s">
        <v>52</v>
      </c>
      <c r="AC564" t="s">
        <v>53</v>
      </c>
      <c r="AD564" t="s">
        <v>54</v>
      </c>
      <c r="AE564">
        <v>14.697327425299999</v>
      </c>
      <c r="AF564">
        <v>1921</v>
      </c>
      <c r="AG564">
        <v>1921.12554338</v>
      </c>
      <c r="AH564">
        <v>146975.64507</v>
      </c>
      <c r="AI564">
        <v>47</v>
      </c>
      <c r="AJ564">
        <v>75171.517149216001</v>
      </c>
      <c r="AK564" s="1">
        <f>intersection_ss_Lden___surface[[#This Row],[surf m2 bout ss]]/intersection_ss_Lden___surface[[#This Row],[Shape_Area]]</f>
        <v>0.51145560282054969</v>
      </c>
      <c r="AL564">
        <v>2574</v>
      </c>
      <c r="AM564">
        <f>intersection_ss_Lden___surface[[#This Row],[Population totale 2024 ss]]*intersection_ss_Lden___surface[[#This Row],[Part de la surface du qs dans le noise contour]]</f>
        <v>1316.4867216600949</v>
      </c>
    </row>
    <row r="565" spans="1:39" x14ac:dyDescent="0.3">
      <c r="A565">
        <v>595</v>
      </c>
      <c r="B565" t="s">
        <v>868</v>
      </c>
      <c r="C565" t="s">
        <v>869</v>
      </c>
      <c r="D565" t="s">
        <v>870</v>
      </c>
      <c r="E565" t="s">
        <v>870</v>
      </c>
      <c r="F565" t="s">
        <v>871</v>
      </c>
      <c r="G565" t="s">
        <v>849</v>
      </c>
      <c r="H565" t="s">
        <v>850</v>
      </c>
      <c r="I565" t="s">
        <v>850</v>
      </c>
      <c r="J565" t="s">
        <v>36</v>
      </c>
      <c r="K565">
        <v>21011</v>
      </c>
      <c r="L565" t="s">
        <v>851</v>
      </c>
      <c r="M565" t="s">
        <v>851</v>
      </c>
      <c r="N565" t="s">
        <v>851</v>
      </c>
      <c r="O565">
        <v>21000</v>
      </c>
      <c r="P565" t="s">
        <v>46</v>
      </c>
      <c r="Q565" t="s">
        <v>47</v>
      </c>
      <c r="R565" t="s">
        <v>48</v>
      </c>
      <c r="T565" t="s">
        <v>36</v>
      </c>
      <c r="U565" t="s">
        <v>36</v>
      </c>
      <c r="V565" t="s">
        <v>36</v>
      </c>
      <c r="W565">
        <v>4000</v>
      </c>
      <c r="X565" t="s">
        <v>49</v>
      </c>
      <c r="Y565" t="s">
        <v>50</v>
      </c>
      <c r="Z565" t="s">
        <v>51</v>
      </c>
      <c r="AA565" t="s">
        <v>37</v>
      </c>
      <c r="AB565" t="s">
        <v>52</v>
      </c>
      <c r="AC565" t="s">
        <v>53</v>
      </c>
      <c r="AD565" t="s">
        <v>54</v>
      </c>
      <c r="AE565">
        <v>14.697327425299999</v>
      </c>
      <c r="AF565">
        <v>1921</v>
      </c>
      <c r="AG565">
        <v>1921.12554338</v>
      </c>
      <c r="AH565">
        <v>146975.64507</v>
      </c>
      <c r="AI565">
        <v>48</v>
      </c>
      <c r="AJ565">
        <v>71818.035807845197</v>
      </c>
      <c r="AK565" s="1">
        <f>intersection_ss_Lden___surface[[#This Row],[surf m2 bout ss]]/intersection_ss_Lden___surface[[#This Row],[Shape_Area]]</f>
        <v>0.48863902433386475</v>
      </c>
      <c r="AL565">
        <v>2574</v>
      </c>
      <c r="AM565">
        <f>intersection_ss_Lden___surface[[#This Row],[Population totale 2024 ss]]*intersection_ss_Lden___surface[[#This Row],[Part de la surface du qs dans le noise contour]]</f>
        <v>1257.7568486353678</v>
      </c>
    </row>
    <row r="566" spans="1:39" x14ac:dyDescent="0.3">
      <c r="A566">
        <v>596</v>
      </c>
      <c r="B566" t="s">
        <v>872</v>
      </c>
      <c r="C566" t="s">
        <v>246</v>
      </c>
      <c r="D566" t="s">
        <v>247</v>
      </c>
      <c r="E566" t="s">
        <v>247</v>
      </c>
      <c r="F566" t="s">
        <v>873</v>
      </c>
      <c r="G566" t="s">
        <v>874</v>
      </c>
      <c r="H566" t="s">
        <v>875</v>
      </c>
      <c r="I566" t="s">
        <v>876</v>
      </c>
      <c r="J566" t="s">
        <v>36</v>
      </c>
      <c r="K566">
        <v>21012</v>
      </c>
      <c r="L566" t="s">
        <v>877</v>
      </c>
      <c r="M566" t="s">
        <v>878</v>
      </c>
      <c r="N566" t="s">
        <v>878</v>
      </c>
      <c r="O566">
        <v>21000</v>
      </c>
      <c r="P566" t="s">
        <v>46</v>
      </c>
      <c r="Q566" t="s">
        <v>47</v>
      </c>
      <c r="R566" t="s">
        <v>48</v>
      </c>
      <c r="T566" t="s">
        <v>36</v>
      </c>
      <c r="U566" t="s">
        <v>36</v>
      </c>
      <c r="V566" t="s">
        <v>36</v>
      </c>
      <c r="W566">
        <v>4000</v>
      </c>
      <c r="X566" t="s">
        <v>49</v>
      </c>
      <c r="Y566" t="s">
        <v>50</v>
      </c>
      <c r="Z566" t="s">
        <v>51</v>
      </c>
      <c r="AA566" t="s">
        <v>37</v>
      </c>
      <c r="AB566" t="s">
        <v>52</v>
      </c>
      <c r="AC566" t="s">
        <v>53</v>
      </c>
      <c r="AD566" t="s">
        <v>54</v>
      </c>
      <c r="AE566">
        <v>9.5868848716200006</v>
      </c>
      <c r="AF566">
        <v>1745</v>
      </c>
      <c r="AG566">
        <v>1744.8969647500001</v>
      </c>
      <c r="AH566">
        <v>95870.397726800002</v>
      </c>
      <c r="AI566">
        <v>48</v>
      </c>
      <c r="AJ566">
        <v>12916.556453736501</v>
      </c>
      <c r="AK566" s="1">
        <f>intersection_ss_Lden___surface[[#This Row],[surf m2 bout ss]]/intersection_ss_Lden___surface[[#This Row],[Shape_Area]]</f>
        <v>0.13472935087371349</v>
      </c>
      <c r="AL566">
        <v>2382</v>
      </c>
      <c r="AM566">
        <f>intersection_ss_Lden___surface[[#This Row],[Population totale 2024 ss]]*intersection_ss_Lden___surface[[#This Row],[Part de la surface du qs dans le noise contour]]</f>
        <v>320.92531378118554</v>
      </c>
    </row>
    <row r="567" spans="1:39" x14ac:dyDescent="0.3">
      <c r="A567">
        <v>597</v>
      </c>
      <c r="B567" t="s">
        <v>872</v>
      </c>
      <c r="C567" t="s">
        <v>246</v>
      </c>
      <c r="D567" t="s">
        <v>247</v>
      </c>
      <c r="E567" t="s">
        <v>247</v>
      </c>
      <c r="F567" t="s">
        <v>873</v>
      </c>
      <c r="G567" t="s">
        <v>874</v>
      </c>
      <c r="H567" t="s">
        <v>875</v>
      </c>
      <c r="I567" t="s">
        <v>876</v>
      </c>
      <c r="J567" t="s">
        <v>36</v>
      </c>
      <c r="K567">
        <v>21012</v>
      </c>
      <c r="L567" t="s">
        <v>877</v>
      </c>
      <c r="M567" t="s">
        <v>878</v>
      </c>
      <c r="N567" t="s">
        <v>878</v>
      </c>
      <c r="O567">
        <v>21000</v>
      </c>
      <c r="P567" t="s">
        <v>46</v>
      </c>
      <c r="Q567" t="s">
        <v>47</v>
      </c>
      <c r="R567" t="s">
        <v>48</v>
      </c>
      <c r="T567" t="s">
        <v>36</v>
      </c>
      <c r="U567" t="s">
        <v>36</v>
      </c>
      <c r="V567" t="s">
        <v>36</v>
      </c>
      <c r="W567">
        <v>4000</v>
      </c>
      <c r="X567" t="s">
        <v>49</v>
      </c>
      <c r="Y567" t="s">
        <v>50</v>
      </c>
      <c r="Z567" t="s">
        <v>51</v>
      </c>
      <c r="AA567" t="s">
        <v>37</v>
      </c>
      <c r="AB567" t="s">
        <v>52</v>
      </c>
      <c r="AC567" t="s">
        <v>53</v>
      </c>
      <c r="AD567" t="s">
        <v>54</v>
      </c>
      <c r="AE567">
        <v>9.5868848716200006</v>
      </c>
      <c r="AF567">
        <v>1745</v>
      </c>
      <c r="AG567">
        <v>1744.8969647500001</v>
      </c>
      <c r="AH567">
        <v>95870.397726800002</v>
      </c>
      <c r="AI567">
        <v>49</v>
      </c>
      <c r="AJ567">
        <v>82963.135590972102</v>
      </c>
      <c r="AK567" s="1">
        <f>intersection_ss_Lden___surface[[#This Row],[surf m2 bout ss]]/intersection_ss_Lden___surface[[#This Row],[Shape_Area]]</f>
        <v>0.86536759581816414</v>
      </c>
      <c r="AL567">
        <v>2382</v>
      </c>
      <c r="AM567">
        <f>intersection_ss_Lden___surface[[#This Row],[Population totale 2024 ss]]*intersection_ss_Lden___surface[[#This Row],[Part de la surface du qs dans le noise contour]]</f>
        <v>2061.305613238867</v>
      </c>
    </row>
    <row r="568" spans="1:39" x14ac:dyDescent="0.3">
      <c r="A568">
        <v>598</v>
      </c>
      <c r="B568" t="s">
        <v>879</v>
      </c>
      <c r="C568" t="s">
        <v>880</v>
      </c>
      <c r="D568" t="s">
        <v>881</v>
      </c>
      <c r="E568" t="s">
        <v>881</v>
      </c>
      <c r="F568" t="s">
        <v>873</v>
      </c>
      <c r="G568" t="s">
        <v>874</v>
      </c>
      <c r="H568" t="s">
        <v>875</v>
      </c>
      <c r="I568" t="s">
        <v>876</v>
      </c>
      <c r="J568" t="s">
        <v>36</v>
      </c>
      <c r="K568">
        <v>21012</v>
      </c>
      <c r="L568" t="s">
        <v>877</v>
      </c>
      <c r="M568" t="s">
        <v>878</v>
      </c>
      <c r="N568" t="s">
        <v>878</v>
      </c>
      <c r="O568">
        <v>21000</v>
      </c>
      <c r="P568" t="s">
        <v>46</v>
      </c>
      <c r="Q568" t="s">
        <v>47</v>
      </c>
      <c r="R568" t="s">
        <v>48</v>
      </c>
      <c r="T568" t="s">
        <v>36</v>
      </c>
      <c r="U568" t="s">
        <v>36</v>
      </c>
      <c r="V568" t="s">
        <v>36</v>
      </c>
      <c r="W568">
        <v>4000</v>
      </c>
      <c r="X568" t="s">
        <v>49</v>
      </c>
      <c r="Y568" t="s">
        <v>50</v>
      </c>
      <c r="Z568" t="s">
        <v>51</v>
      </c>
      <c r="AA568" t="s">
        <v>37</v>
      </c>
      <c r="AB568" t="s">
        <v>52</v>
      </c>
      <c r="AC568" t="s">
        <v>53</v>
      </c>
      <c r="AD568" t="s">
        <v>54</v>
      </c>
      <c r="AE568">
        <v>5.5170709387799999</v>
      </c>
      <c r="AF568">
        <v>1049</v>
      </c>
      <c r="AG568">
        <v>1049.4247990399999</v>
      </c>
      <c r="AH568">
        <v>55171.596626600003</v>
      </c>
      <c r="AI568">
        <v>48</v>
      </c>
      <c r="AJ568">
        <v>3213.8927693851301</v>
      </c>
      <c r="AK568" s="1">
        <f>intersection_ss_Lden___surface[[#This Row],[surf m2 bout ss]]/intersection_ss_Lden___surface[[#This Row],[Shape_Area]]</f>
        <v>5.8252669233712348E-2</v>
      </c>
      <c r="AL568">
        <v>1140</v>
      </c>
      <c r="AM568">
        <f>intersection_ss_Lden___surface[[#This Row],[Population totale 2024 ss]]*intersection_ss_Lden___surface[[#This Row],[Part de la surface du qs dans le noise contour]]</f>
        <v>66.408042926432074</v>
      </c>
    </row>
    <row r="569" spans="1:39" x14ac:dyDescent="0.3">
      <c r="A569">
        <v>599</v>
      </c>
      <c r="B569" t="s">
        <v>879</v>
      </c>
      <c r="C569" t="s">
        <v>880</v>
      </c>
      <c r="D569" t="s">
        <v>881</v>
      </c>
      <c r="E569" t="s">
        <v>881</v>
      </c>
      <c r="F569" t="s">
        <v>873</v>
      </c>
      <c r="G569" t="s">
        <v>874</v>
      </c>
      <c r="H569" t="s">
        <v>875</v>
      </c>
      <c r="I569" t="s">
        <v>876</v>
      </c>
      <c r="J569" t="s">
        <v>36</v>
      </c>
      <c r="K569">
        <v>21012</v>
      </c>
      <c r="L569" t="s">
        <v>877</v>
      </c>
      <c r="M569" t="s">
        <v>878</v>
      </c>
      <c r="N569" t="s">
        <v>878</v>
      </c>
      <c r="O569">
        <v>21000</v>
      </c>
      <c r="P569" t="s">
        <v>46</v>
      </c>
      <c r="Q569" t="s">
        <v>47</v>
      </c>
      <c r="R569" t="s">
        <v>48</v>
      </c>
      <c r="T569" t="s">
        <v>36</v>
      </c>
      <c r="U569" t="s">
        <v>36</v>
      </c>
      <c r="V569" t="s">
        <v>36</v>
      </c>
      <c r="W569">
        <v>4000</v>
      </c>
      <c r="X569" t="s">
        <v>49</v>
      </c>
      <c r="Y569" t="s">
        <v>50</v>
      </c>
      <c r="Z569" t="s">
        <v>51</v>
      </c>
      <c r="AA569" t="s">
        <v>37</v>
      </c>
      <c r="AB569" t="s">
        <v>52</v>
      </c>
      <c r="AC569" t="s">
        <v>53</v>
      </c>
      <c r="AD569" t="s">
        <v>54</v>
      </c>
      <c r="AE569">
        <v>5.5170709387799999</v>
      </c>
      <c r="AF569">
        <v>1049</v>
      </c>
      <c r="AG569">
        <v>1049.4247990399999</v>
      </c>
      <c r="AH569">
        <v>55171.596626600003</v>
      </c>
      <c r="AI569">
        <v>49</v>
      </c>
      <c r="AJ569">
        <v>51963.053148592</v>
      </c>
      <c r="AK569" s="1">
        <f>intersection_ss_Lden___surface[[#This Row],[surf m2 bout ss]]/intersection_ss_Lden___surface[[#This Row],[Shape_Area]]</f>
        <v>0.94184428810854715</v>
      </c>
      <c r="AL569">
        <v>1140</v>
      </c>
      <c r="AM569">
        <f>intersection_ss_Lden___surface[[#This Row],[Population totale 2024 ss]]*intersection_ss_Lden___surface[[#This Row],[Part de la surface du qs dans le noise contour]]</f>
        <v>1073.7024884437437</v>
      </c>
    </row>
    <row r="570" spans="1:39" x14ac:dyDescent="0.3">
      <c r="A570">
        <v>600</v>
      </c>
      <c r="B570" t="s">
        <v>882</v>
      </c>
      <c r="C570" t="s">
        <v>883</v>
      </c>
      <c r="D570" t="s">
        <v>884</v>
      </c>
      <c r="E570" t="s">
        <v>884</v>
      </c>
      <c r="F570" t="s">
        <v>873</v>
      </c>
      <c r="G570" t="s">
        <v>874</v>
      </c>
      <c r="H570" t="s">
        <v>875</v>
      </c>
      <c r="I570" t="s">
        <v>876</v>
      </c>
      <c r="J570" t="s">
        <v>36</v>
      </c>
      <c r="K570">
        <v>21012</v>
      </c>
      <c r="L570" t="s">
        <v>877</v>
      </c>
      <c r="M570" t="s">
        <v>878</v>
      </c>
      <c r="N570" t="s">
        <v>878</v>
      </c>
      <c r="O570">
        <v>21000</v>
      </c>
      <c r="P570" t="s">
        <v>46</v>
      </c>
      <c r="Q570" t="s">
        <v>47</v>
      </c>
      <c r="R570" t="s">
        <v>48</v>
      </c>
      <c r="T570" t="s">
        <v>36</v>
      </c>
      <c r="U570" t="s">
        <v>36</v>
      </c>
      <c r="V570" t="s">
        <v>36</v>
      </c>
      <c r="W570">
        <v>4000</v>
      </c>
      <c r="X570" t="s">
        <v>49</v>
      </c>
      <c r="Y570" t="s">
        <v>50</v>
      </c>
      <c r="Z570" t="s">
        <v>51</v>
      </c>
      <c r="AA570" t="s">
        <v>37</v>
      </c>
      <c r="AB570" t="s">
        <v>52</v>
      </c>
      <c r="AC570" t="s">
        <v>53</v>
      </c>
      <c r="AD570" t="s">
        <v>54</v>
      </c>
      <c r="AE570">
        <v>5.5119264120000002</v>
      </c>
      <c r="AF570">
        <v>1388</v>
      </c>
      <c r="AG570">
        <v>1387.9607712300001</v>
      </c>
      <c r="AH570">
        <v>55120.148724999999</v>
      </c>
      <c r="AI570">
        <v>48</v>
      </c>
      <c r="AJ570">
        <v>55120.862711778798</v>
      </c>
      <c r="AK570" s="1">
        <f>intersection_ss_Lden___surface[[#This Row],[surf m2 bout ss]]/intersection_ss_Lden___surface[[#This Row],[Shape_Area]]</f>
        <v>1.0000129532810653</v>
      </c>
      <c r="AL570">
        <v>834</v>
      </c>
      <c r="AM570">
        <f>intersection_ss_Lden___surface[[#This Row],[Population totale 2024 ss]]*intersection_ss_Lden___surface[[#This Row],[Part de la surface du qs dans le noise contour]]</f>
        <v>834.01080303640845</v>
      </c>
    </row>
    <row r="571" spans="1:39" x14ac:dyDescent="0.3">
      <c r="A571">
        <v>601</v>
      </c>
      <c r="B571" t="s">
        <v>882</v>
      </c>
      <c r="C571" t="s">
        <v>883</v>
      </c>
      <c r="D571" t="s">
        <v>884</v>
      </c>
      <c r="E571" t="s">
        <v>884</v>
      </c>
      <c r="F571" t="s">
        <v>873</v>
      </c>
      <c r="G571" t="s">
        <v>874</v>
      </c>
      <c r="H571" t="s">
        <v>875</v>
      </c>
      <c r="I571" t="s">
        <v>876</v>
      </c>
      <c r="J571" t="s">
        <v>36</v>
      </c>
      <c r="K571">
        <v>21012</v>
      </c>
      <c r="L571" t="s">
        <v>877</v>
      </c>
      <c r="M571" t="s">
        <v>878</v>
      </c>
      <c r="N571" t="s">
        <v>878</v>
      </c>
      <c r="O571">
        <v>21000</v>
      </c>
      <c r="P571" t="s">
        <v>46</v>
      </c>
      <c r="Q571" t="s">
        <v>47</v>
      </c>
      <c r="R571" t="s">
        <v>48</v>
      </c>
      <c r="T571" t="s">
        <v>36</v>
      </c>
      <c r="U571" t="s">
        <v>36</v>
      </c>
      <c r="V571" t="s">
        <v>36</v>
      </c>
      <c r="W571">
        <v>4000</v>
      </c>
      <c r="X571" t="s">
        <v>49</v>
      </c>
      <c r="Y571" t="s">
        <v>50</v>
      </c>
      <c r="Z571" t="s">
        <v>51</v>
      </c>
      <c r="AA571" t="s">
        <v>37</v>
      </c>
      <c r="AB571" t="s">
        <v>52</v>
      </c>
      <c r="AC571" t="s">
        <v>53</v>
      </c>
      <c r="AD571" t="s">
        <v>54</v>
      </c>
      <c r="AE571">
        <v>5.5119264120000002</v>
      </c>
      <c r="AF571">
        <v>1388</v>
      </c>
      <c r="AG571">
        <v>1387.9607712300001</v>
      </c>
      <c r="AH571">
        <v>55120.148724999999</v>
      </c>
      <c r="AI571">
        <v>49</v>
      </c>
      <c r="AJ571">
        <v>4.6632802758831504</v>
      </c>
      <c r="AK571" s="1">
        <f>intersection_ss_Lden___surface[[#This Row],[surf m2 bout ss]]/intersection_ss_Lden___surface[[#This Row],[Shape_Area]]</f>
        <v>8.4602098937517888E-5</v>
      </c>
      <c r="AL571">
        <v>834</v>
      </c>
      <c r="AM571">
        <f>intersection_ss_Lden___surface[[#This Row],[Population totale 2024 ss]]*intersection_ss_Lden___surface[[#This Row],[Part de la surface du qs dans le noise contour]]</f>
        <v>7.0558150513889917E-2</v>
      </c>
    </row>
    <row r="572" spans="1:39" x14ac:dyDescent="0.3">
      <c r="A572">
        <v>602</v>
      </c>
      <c r="B572" t="s">
        <v>885</v>
      </c>
      <c r="C572" t="s">
        <v>886</v>
      </c>
      <c r="D572" t="s">
        <v>886</v>
      </c>
      <c r="E572" t="s">
        <v>886</v>
      </c>
      <c r="F572" t="s">
        <v>873</v>
      </c>
      <c r="G572" t="s">
        <v>874</v>
      </c>
      <c r="H572" t="s">
        <v>875</v>
      </c>
      <c r="I572" t="s">
        <v>876</v>
      </c>
      <c r="J572" t="s">
        <v>36</v>
      </c>
      <c r="K572">
        <v>21012</v>
      </c>
      <c r="L572" t="s">
        <v>877</v>
      </c>
      <c r="M572" t="s">
        <v>878</v>
      </c>
      <c r="N572" t="s">
        <v>878</v>
      </c>
      <c r="O572">
        <v>21000</v>
      </c>
      <c r="P572" t="s">
        <v>46</v>
      </c>
      <c r="Q572" t="s">
        <v>47</v>
      </c>
      <c r="R572" t="s">
        <v>48</v>
      </c>
      <c r="T572" t="s">
        <v>36</v>
      </c>
      <c r="U572" t="s">
        <v>36</v>
      </c>
      <c r="V572" t="s">
        <v>36</v>
      </c>
      <c r="W572">
        <v>4000</v>
      </c>
      <c r="X572" t="s">
        <v>49</v>
      </c>
      <c r="Y572" t="s">
        <v>50</v>
      </c>
      <c r="Z572" t="s">
        <v>51</v>
      </c>
      <c r="AA572" t="s">
        <v>37</v>
      </c>
      <c r="AB572" t="s">
        <v>52</v>
      </c>
      <c r="AC572" t="s">
        <v>53</v>
      </c>
      <c r="AD572" t="s">
        <v>54</v>
      </c>
      <c r="AE572">
        <v>7.8849221491800003</v>
      </c>
      <c r="AF572">
        <v>1360</v>
      </c>
      <c r="AG572">
        <v>1359.8333567</v>
      </c>
      <c r="AH572">
        <v>78850.491394600002</v>
      </c>
      <c r="AI572">
        <v>48</v>
      </c>
      <c r="AJ572">
        <v>78008.735874734804</v>
      </c>
      <c r="AK572" s="1">
        <f>intersection_ss_Lden___surface[[#This Row],[surf m2 bout ss]]/intersection_ss_Lden___surface[[#This Row],[Shape_Area]]</f>
        <v>0.98932466361366467</v>
      </c>
      <c r="AL572">
        <v>2003</v>
      </c>
      <c r="AM572">
        <f>intersection_ss_Lden___surface[[#This Row],[Population totale 2024 ss]]*intersection_ss_Lden___surface[[#This Row],[Part de la surface du qs dans le noise contour]]</f>
        <v>1981.6173012181703</v>
      </c>
    </row>
    <row r="573" spans="1:39" x14ac:dyDescent="0.3">
      <c r="A573">
        <v>603</v>
      </c>
      <c r="B573" t="s">
        <v>885</v>
      </c>
      <c r="C573" t="s">
        <v>886</v>
      </c>
      <c r="D573" t="s">
        <v>886</v>
      </c>
      <c r="E573" t="s">
        <v>886</v>
      </c>
      <c r="F573" t="s">
        <v>873</v>
      </c>
      <c r="G573" t="s">
        <v>874</v>
      </c>
      <c r="H573" t="s">
        <v>875</v>
      </c>
      <c r="I573" t="s">
        <v>876</v>
      </c>
      <c r="J573" t="s">
        <v>36</v>
      </c>
      <c r="K573">
        <v>21012</v>
      </c>
      <c r="L573" t="s">
        <v>877</v>
      </c>
      <c r="M573" t="s">
        <v>878</v>
      </c>
      <c r="N573" t="s">
        <v>878</v>
      </c>
      <c r="O573">
        <v>21000</v>
      </c>
      <c r="P573" t="s">
        <v>46</v>
      </c>
      <c r="Q573" t="s">
        <v>47</v>
      </c>
      <c r="R573" t="s">
        <v>48</v>
      </c>
      <c r="T573" t="s">
        <v>36</v>
      </c>
      <c r="U573" t="s">
        <v>36</v>
      </c>
      <c r="V573" t="s">
        <v>36</v>
      </c>
      <c r="W573">
        <v>4000</v>
      </c>
      <c r="X573" t="s">
        <v>49</v>
      </c>
      <c r="Y573" t="s">
        <v>50</v>
      </c>
      <c r="Z573" t="s">
        <v>51</v>
      </c>
      <c r="AA573" t="s">
        <v>37</v>
      </c>
      <c r="AB573" t="s">
        <v>52</v>
      </c>
      <c r="AC573" t="s">
        <v>53</v>
      </c>
      <c r="AD573" t="s">
        <v>54</v>
      </c>
      <c r="AE573">
        <v>7.8849221491800003</v>
      </c>
      <c r="AF573">
        <v>1360</v>
      </c>
      <c r="AG573">
        <v>1359.8333567</v>
      </c>
      <c r="AH573">
        <v>78850.491394600002</v>
      </c>
      <c r="AI573">
        <v>49</v>
      </c>
      <c r="AJ573">
        <v>849.44635455310299</v>
      </c>
      <c r="AK573" s="1">
        <f>intersection_ss_Lden___surface[[#This Row],[surf m2 bout ss]]/intersection_ss_Lden___surface[[#This Row],[Shape_Area]]</f>
        <v>1.077287331415764E-2</v>
      </c>
      <c r="AL573">
        <v>2003</v>
      </c>
      <c r="AM573">
        <f>intersection_ss_Lden___surface[[#This Row],[Population totale 2024 ss]]*intersection_ss_Lden___surface[[#This Row],[Part de la surface du qs dans le noise contour]]</f>
        <v>21.578065248257751</v>
      </c>
    </row>
    <row r="574" spans="1:39" x14ac:dyDescent="0.3">
      <c r="A574">
        <v>604</v>
      </c>
      <c r="B574" t="s">
        <v>887</v>
      </c>
      <c r="C574" t="s">
        <v>888</v>
      </c>
      <c r="D574" t="s">
        <v>889</v>
      </c>
      <c r="E574" t="s">
        <v>889</v>
      </c>
      <c r="F574" t="s">
        <v>873</v>
      </c>
      <c r="G574" t="s">
        <v>874</v>
      </c>
      <c r="H574" t="s">
        <v>875</v>
      </c>
      <c r="I574" t="s">
        <v>876</v>
      </c>
      <c r="J574" t="s">
        <v>36</v>
      </c>
      <c r="K574">
        <v>21012</v>
      </c>
      <c r="L574" t="s">
        <v>877</v>
      </c>
      <c r="M574" t="s">
        <v>878</v>
      </c>
      <c r="N574" t="s">
        <v>878</v>
      </c>
      <c r="O574">
        <v>21000</v>
      </c>
      <c r="P574" t="s">
        <v>46</v>
      </c>
      <c r="Q574" t="s">
        <v>47</v>
      </c>
      <c r="R574" t="s">
        <v>48</v>
      </c>
      <c r="T574" t="s">
        <v>36</v>
      </c>
      <c r="U574" t="s">
        <v>36</v>
      </c>
      <c r="V574" t="s">
        <v>36</v>
      </c>
      <c r="W574">
        <v>4000</v>
      </c>
      <c r="X574" t="s">
        <v>49</v>
      </c>
      <c r="Y574" t="s">
        <v>50</v>
      </c>
      <c r="Z574" t="s">
        <v>51</v>
      </c>
      <c r="AA574" t="s">
        <v>37</v>
      </c>
      <c r="AB574" t="s">
        <v>52</v>
      </c>
      <c r="AC574" t="s">
        <v>53</v>
      </c>
      <c r="AD574" t="s">
        <v>54</v>
      </c>
      <c r="AE574">
        <v>7.2204658449799997</v>
      </c>
      <c r="AF574">
        <v>1311</v>
      </c>
      <c r="AG574">
        <v>1310.8120410199999</v>
      </c>
      <c r="AH574">
        <v>72205.821548399996</v>
      </c>
      <c r="AI574">
        <v>48</v>
      </c>
      <c r="AJ574">
        <v>47924.482546895699</v>
      </c>
      <c r="AK574" s="1">
        <f>intersection_ss_Lden___surface[[#This Row],[surf m2 bout ss]]/intersection_ss_Lden___surface[[#This Row],[Shape_Area]]</f>
        <v>0.66372048013845575</v>
      </c>
      <c r="AL574">
        <v>1952</v>
      </c>
      <c r="AM574">
        <f>intersection_ss_Lden___surface[[#This Row],[Population totale 2024 ss]]*intersection_ss_Lden___surface[[#This Row],[Part de la surface du qs dans le noise contour]]</f>
        <v>1295.5823772302656</v>
      </c>
    </row>
    <row r="575" spans="1:39" x14ac:dyDescent="0.3">
      <c r="A575">
        <v>605</v>
      </c>
      <c r="B575" t="s">
        <v>887</v>
      </c>
      <c r="C575" t="s">
        <v>888</v>
      </c>
      <c r="D575" t="s">
        <v>889</v>
      </c>
      <c r="E575" t="s">
        <v>889</v>
      </c>
      <c r="F575" t="s">
        <v>873</v>
      </c>
      <c r="G575" t="s">
        <v>874</v>
      </c>
      <c r="H575" t="s">
        <v>875</v>
      </c>
      <c r="I575" t="s">
        <v>876</v>
      </c>
      <c r="J575" t="s">
        <v>36</v>
      </c>
      <c r="K575">
        <v>21012</v>
      </c>
      <c r="L575" t="s">
        <v>877</v>
      </c>
      <c r="M575" t="s">
        <v>878</v>
      </c>
      <c r="N575" t="s">
        <v>878</v>
      </c>
      <c r="O575">
        <v>21000</v>
      </c>
      <c r="P575" t="s">
        <v>46</v>
      </c>
      <c r="Q575" t="s">
        <v>47</v>
      </c>
      <c r="R575" t="s">
        <v>48</v>
      </c>
      <c r="T575" t="s">
        <v>36</v>
      </c>
      <c r="U575" t="s">
        <v>36</v>
      </c>
      <c r="V575" t="s">
        <v>36</v>
      </c>
      <c r="W575">
        <v>4000</v>
      </c>
      <c r="X575" t="s">
        <v>49</v>
      </c>
      <c r="Y575" t="s">
        <v>50</v>
      </c>
      <c r="Z575" t="s">
        <v>51</v>
      </c>
      <c r="AA575" t="s">
        <v>37</v>
      </c>
      <c r="AB575" t="s">
        <v>52</v>
      </c>
      <c r="AC575" t="s">
        <v>53</v>
      </c>
      <c r="AD575" t="s">
        <v>54</v>
      </c>
      <c r="AE575">
        <v>7.2204658449799997</v>
      </c>
      <c r="AF575">
        <v>1311</v>
      </c>
      <c r="AG575">
        <v>1310.8120410199999</v>
      </c>
      <c r="AH575">
        <v>72205.821548399996</v>
      </c>
      <c r="AI575">
        <v>49</v>
      </c>
      <c r="AJ575">
        <v>24288.357057523001</v>
      </c>
      <c r="AK575" s="1">
        <f>intersection_ss_Lden___surface[[#This Row],[surf m2 bout ss]]/intersection_ss_Lden___surface[[#This Row],[Shape_Area]]</f>
        <v>0.33637671501656369</v>
      </c>
      <c r="AL575">
        <v>1952</v>
      </c>
      <c r="AM575">
        <f>intersection_ss_Lden___surface[[#This Row],[Population totale 2024 ss]]*intersection_ss_Lden___surface[[#This Row],[Part de la surface du qs dans le noise contour]]</f>
        <v>656.60734771233228</v>
      </c>
    </row>
    <row r="576" spans="1:39" x14ac:dyDescent="0.3">
      <c r="A576">
        <v>606</v>
      </c>
      <c r="B576" t="s">
        <v>890</v>
      </c>
      <c r="C576" t="s">
        <v>891</v>
      </c>
      <c r="D576" t="s">
        <v>892</v>
      </c>
      <c r="E576" t="s">
        <v>892</v>
      </c>
      <c r="F576" t="s">
        <v>873</v>
      </c>
      <c r="G576" t="s">
        <v>874</v>
      </c>
      <c r="H576" t="s">
        <v>875</v>
      </c>
      <c r="I576" t="s">
        <v>876</v>
      </c>
      <c r="J576" t="s">
        <v>36</v>
      </c>
      <c r="K576">
        <v>21012</v>
      </c>
      <c r="L576" t="s">
        <v>877</v>
      </c>
      <c r="M576" t="s">
        <v>878</v>
      </c>
      <c r="N576" t="s">
        <v>878</v>
      </c>
      <c r="O576">
        <v>21000</v>
      </c>
      <c r="P576" t="s">
        <v>46</v>
      </c>
      <c r="Q576" t="s">
        <v>47</v>
      </c>
      <c r="R576" t="s">
        <v>48</v>
      </c>
      <c r="T576" t="s">
        <v>36</v>
      </c>
      <c r="U576" t="s">
        <v>36</v>
      </c>
      <c r="V576" t="s">
        <v>36</v>
      </c>
      <c r="W576">
        <v>4000</v>
      </c>
      <c r="X576" t="s">
        <v>49</v>
      </c>
      <c r="Y576" t="s">
        <v>50</v>
      </c>
      <c r="Z576" t="s">
        <v>51</v>
      </c>
      <c r="AA576" t="s">
        <v>37</v>
      </c>
      <c r="AB576" t="s">
        <v>52</v>
      </c>
      <c r="AC576" t="s">
        <v>53</v>
      </c>
      <c r="AD576" t="s">
        <v>54</v>
      </c>
      <c r="AE576">
        <v>3.61176925442</v>
      </c>
      <c r="AF576">
        <v>820</v>
      </c>
      <c r="AG576">
        <v>820.27785006199997</v>
      </c>
      <c r="AH576">
        <v>36118.267563100002</v>
      </c>
      <c r="AI576">
        <v>49</v>
      </c>
      <c r="AJ576">
        <v>36121.757380369098</v>
      </c>
      <c r="AK576" s="1">
        <f>intersection_ss_Lden___surface[[#This Row],[surf m2 bout ss]]/intersection_ss_Lden___surface[[#This Row],[Shape_Area]]</f>
        <v>1.000096621945197</v>
      </c>
      <c r="AL576">
        <v>1083</v>
      </c>
      <c r="AM576">
        <f>intersection_ss_Lden___surface[[#This Row],[Population totale 2024 ss]]*intersection_ss_Lden___surface[[#This Row],[Part de la surface du qs dans le noise contour]]</f>
        <v>1083.1046415666483</v>
      </c>
    </row>
    <row r="577" spans="1:39" x14ac:dyDescent="0.3">
      <c r="A577">
        <v>607</v>
      </c>
      <c r="B577" t="s">
        <v>893</v>
      </c>
      <c r="C577" t="s">
        <v>894</v>
      </c>
      <c r="D577" t="s">
        <v>895</v>
      </c>
      <c r="E577" t="s">
        <v>895</v>
      </c>
      <c r="F577" t="s">
        <v>896</v>
      </c>
      <c r="G577" t="s">
        <v>874</v>
      </c>
      <c r="H577" t="s">
        <v>875</v>
      </c>
      <c r="I577" t="s">
        <v>876</v>
      </c>
      <c r="J577" t="s">
        <v>36</v>
      </c>
      <c r="K577">
        <v>21012</v>
      </c>
      <c r="L577" t="s">
        <v>877</v>
      </c>
      <c r="M577" t="s">
        <v>878</v>
      </c>
      <c r="N577" t="s">
        <v>878</v>
      </c>
      <c r="O577">
        <v>21000</v>
      </c>
      <c r="P577" t="s">
        <v>46</v>
      </c>
      <c r="Q577" t="s">
        <v>47</v>
      </c>
      <c r="R577" t="s">
        <v>48</v>
      </c>
      <c r="T577" t="s">
        <v>36</v>
      </c>
      <c r="U577" t="s">
        <v>36</v>
      </c>
      <c r="V577" t="s">
        <v>36</v>
      </c>
      <c r="W577">
        <v>4000</v>
      </c>
      <c r="X577" t="s">
        <v>49</v>
      </c>
      <c r="Y577" t="s">
        <v>50</v>
      </c>
      <c r="Z577" t="s">
        <v>51</v>
      </c>
      <c r="AA577" t="s">
        <v>37</v>
      </c>
      <c r="AB577" t="s">
        <v>52</v>
      </c>
      <c r="AC577" t="s">
        <v>53</v>
      </c>
      <c r="AD577" t="s">
        <v>54</v>
      </c>
      <c r="AE577">
        <v>12.3108468014</v>
      </c>
      <c r="AF577">
        <v>1715</v>
      </c>
      <c r="AG577">
        <v>1715.2343474700001</v>
      </c>
      <c r="AH577">
        <v>123110.456164</v>
      </c>
      <c r="AI577">
        <v>47</v>
      </c>
      <c r="AJ577">
        <v>1966.04252190888</v>
      </c>
      <c r="AK577" s="1">
        <f>intersection_ss_Lden___surface[[#This Row],[surf m2 bout ss]]/intersection_ss_Lden___surface[[#This Row],[Shape_Area]]</f>
        <v>1.5969744432510605E-2</v>
      </c>
      <c r="AL577">
        <v>2458</v>
      </c>
      <c r="AM577">
        <f>intersection_ss_Lden___surface[[#This Row],[Population totale 2024 ss]]*intersection_ss_Lden___surface[[#This Row],[Part de la surface du qs dans le noise contour]]</f>
        <v>39.253631815111063</v>
      </c>
    </row>
    <row r="578" spans="1:39" x14ac:dyDescent="0.3">
      <c r="A578">
        <v>608</v>
      </c>
      <c r="B578" t="s">
        <v>893</v>
      </c>
      <c r="C578" t="s">
        <v>894</v>
      </c>
      <c r="D578" t="s">
        <v>895</v>
      </c>
      <c r="E578" t="s">
        <v>895</v>
      </c>
      <c r="F578" t="s">
        <v>896</v>
      </c>
      <c r="G578" t="s">
        <v>874</v>
      </c>
      <c r="H578" t="s">
        <v>875</v>
      </c>
      <c r="I578" t="s">
        <v>876</v>
      </c>
      <c r="J578" t="s">
        <v>36</v>
      </c>
      <c r="K578">
        <v>21012</v>
      </c>
      <c r="L578" t="s">
        <v>877</v>
      </c>
      <c r="M578" t="s">
        <v>878</v>
      </c>
      <c r="N578" t="s">
        <v>878</v>
      </c>
      <c r="O578">
        <v>21000</v>
      </c>
      <c r="P578" t="s">
        <v>46</v>
      </c>
      <c r="Q578" t="s">
        <v>47</v>
      </c>
      <c r="R578" t="s">
        <v>48</v>
      </c>
      <c r="T578" t="s">
        <v>36</v>
      </c>
      <c r="U578" t="s">
        <v>36</v>
      </c>
      <c r="V578" t="s">
        <v>36</v>
      </c>
      <c r="W578">
        <v>4000</v>
      </c>
      <c r="X578" t="s">
        <v>49</v>
      </c>
      <c r="Y578" t="s">
        <v>50</v>
      </c>
      <c r="Z578" t="s">
        <v>51</v>
      </c>
      <c r="AA578" t="s">
        <v>37</v>
      </c>
      <c r="AB578" t="s">
        <v>52</v>
      </c>
      <c r="AC578" t="s">
        <v>53</v>
      </c>
      <c r="AD578" t="s">
        <v>54</v>
      </c>
      <c r="AE578">
        <v>12.3108468014</v>
      </c>
      <c r="AF578">
        <v>1715</v>
      </c>
      <c r="AG578">
        <v>1715.2343474700001</v>
      </c>
      <c r="AH578">
        <v>123110.456164</v>
      </c>
      <c r="AI578">
        <v>48</v>
      </c>
      <c r="AJ578">
        <v>121156.454618075</v>
      </c>
      <c r="AK578" s="1">
        <f>intersection_ss_Lden___surface[[#This Row],[surf m2 bout ss]]/intersection_ss_Lden___surface[[#This Row],[Shape_Area]]</f>
        <v>0.98412806184941759</v>
      </c>
      <c r="AL578">
        <v>2458</v>
      </c>
      <c r="AM578">
        <f>intersection_ss_Lden___surface[[#This Row],[Population totale 2024 ss]]*intersection_ss_Lden___surface[[#This Row],[Part de la surface du qs dans le noise contour]]</f>
        <v>2418.9867760258685</v>
      </c>
    </row>
    <row r="579" spans="1:39" x14ac:dyDescent="0.3">
      <c r="A579">
        <v>609</v>
      </c>
      <c r="B579" t="s">
        <v>897</v>
      </c>
      <c r="C579" t="s">
        <v>898</v>
      </c>
      <c r="D579" t="s">
        <v>898</v>
      </c>
      <c r="E579" t="s">
        <v>898</v>
      </c>
      <c r="F579" t="s">
        <v>896</v>
      </c>
      <c r="G579" t="s">
        <v>874</v>
      </c>
      <c r="H579" t="s">
        <v>875</v>
      </c>
      <c r="I579" t="s">
        <v>876</v>
      </c>
      <c r="J579" t="s">
        <v>36</v>
      </c>
      <c r="K579">
        <v>21012</v>
      </c>
      <c r="L579" t="s">
        <v>877</v>
      </c>
      <c r="M579" t="s">
        <v>878</v>
      </c>
      <c r="N579" t="s">
        <v>878</v>
      </c>
      <c r="O579">
        <v>21000</v>
      </c>
      <c r="P579" t="s">
        <v>46</v>
      </c>
      <c r="Q579" t="s">
        <v>47</v>
      </c>
      <c r="R579" t="s">
        <v>48</v>
      </c>
      <c r="T579" t="s">
        <v>36</v>
      </c>
      <c r="U579" t="s">
        <v>36</v>
      </c>
      <c r="V579" t="s">
        <v>36</v>
      </c>
      <c r="W579">
        <v>4000</v>
      </c>
      <c r="X579" t="s">
        <v>49</v>
      </c>
      <c r="Y579" t="s">
        <v>50</v>
      </c>
      <c r="Z579" t="s">
        <v>51</v>
      </c>
      <c r="AA579" t="s">
        <v>37</v>
      </c>
      <c r="AB579" t="s">
        <v>52</v>
      </c>
      <c r="AC579" t="s">
        <v>53</v>
      </c>
      <c r="AD579" t="s">
        <v>54</v>
      </c>
      <c r="AE579">
        <v>18.6059250689</v>
      </c>
      <c r="AF579">
        <v>2661</v>
      </c>
      <c r="AG579">
        <v>2660.6081025899998</v>
      </c>
      <c r="AH579">
        <v>186062.265678</v>
      </c>
      <c r="AI579">
        <v>47</v>
      </c>
      <c r="AJ579">
        <v>156406.47564013701</v>
      </c>
      <c r="AK579" s="1">
        <f>intersection_ss_Lden___surface[[#This Row],[surf m2 bout ss]]/intersection_ss_Lden___surface[[#This Row],[Shape_Area]]</f>
        <v>0.84061362506901105</v>
      </c>
      <c r="AL579">
        <v>1558</v>
      </c>
      <c r="AM579">
        <f>intersection_ss_Lden___surface[[#This Row],[Population totale 2024 ss]]*intersection_ss_Lden___surface[[#This Row],[Part de la surface du qs dans le noise contour]]</f>
        <v>1309.6760278575193</v>
      </c>
    </row>
    <row r="580" spans="1:39" x14ac:dyDescent="0.3">
      <c r="A580">
        <v>610</v>
      </c>
      <c r="B580" t="s">
        <v>897</v>
      </c>
      <c r="C580" t="s">
        <v>898</v>
      </c>
      <c r="D580" t="s">
        <v>898</v>
      </c>
      <c r="E580" t="s">
        <v>898</v>
      </c>
      <c r="F580" t="s">
        <v>896</v>
      </c>
      <c r="G580" t="s">
        <v>874</v>
      </c>
      <c r="H580" t="s">
        <v>875</v>
      </c>
      <c r="I580" t="s">
        <v>876</v>
      </c>
      <c r="J580" t="s">
        <v>36</v>
      </c>
      <c r="K580">
        <v>21012</v>
      </c>
      <c r="L580" t="s">
        <v>877</v>
      </c>
      <c r="M580" t="s">
        <v>878</v>
      </c>
      <c r="N580" t="s">
        <v>878</v>
      </c>
      <c r="O580">
        <v>21000</v>
      </c>
      <c r="P580" t="s">
        <v>46</v>
      </c>
      <c r="Q580" t="s">
        <v>47</v>
      </c>
      <c r="R580" t="s">
        <v>48</v>
      </c>
      <c r="T580" t="s">
        <v>36</v>
      </c>
      <c r="U580" t="s">
        <v>36</v>
      </c>
      <c r="V580" t="s">
        <v>36</v>
      </c>
      <c r="W580">
        <v>4000</v>
      </c>
      <c r="X580" t="s">
        <v>49</v>
      </c>
      <c r="Y580" t="s">
        <v>50</v>
      </c>
      <c r="Z580" t="s">
        <v>51</v>
      </c>
      <c r="AA580" t="s">
        <v>37</v>
      </c>
      <c r="AB580" t="s">
        <v>52</v>
      </c>
      <c r="AC580" t="s">
        <v>53</v>
      </c>
      <c r="AD580" t="s">
        <v>54</v>
      </c>
      <c r="AE580">
        <v>18.6059250689</v>
      </c>
      <c r="AF580">
        <v>2661</v>
      </c>
      <c r="AG580">
        <v>2660.6081025899998</v>
      </c>
      <c r="AH580">
        <v>186062.265678</v>
      </c>
      <c r="AI580">
        <v>48</v>
      </c>
      <c r="AJ580">
        <v>29674.132784499099</v>
      </c>
      <c r="AK580" s="1">
        <f>intersection_ss_Lden___surface[[#This Row],[surf m2 bout ss]]/intersection_ss_Lden___surface[[#This Row],[Shape_Area]]</f>
        <v>0.1594849588462674</v>
      </c>
      <c r="AL580">
        <v>1558</v>
      </c>
      <c r="AM580">
        <f>intersection_ss_Lden___surface[[#This Row],[Population totale 2024 ss]]*intersection_ss_Lden___surface[[#This Row],[Part de la surface du qs dans le noise contour]]</f>
        <v>248.47756588248461</v>
      </c>
    </row>
    <row r="581" spans="1:39" x14ac:dyDescent="0.3">
      <c r="A581">
        <v>611</v>
      </c>
      <c r="B581" t="s">
        <v>899</v>
      </c>
      <c r="C581" t="s">
        <v>900</v>
      </c>
      <c r="D581" t="s">
        <v>901</v>
      </c>
      <c r="E581" t="s">
        <v>901</v>
      </c>
      <c r="F581" t="s">
        <v>896</v>
      </c>
      <c r="G581" t="s">
        <v>874</v>
      </c>
      <c r="H581" t="s">
        <v>875</v>
      </c>
      <c r="I581" t="s">
        <v>876</v>
      </c>
      <c r="J581" t="s">
        <v>36</v>
      </c>
      <c r="K581">
        <v>21012</v>
      </c>
      <c r="L581" t="s">
        <v>877</v>
      </c>
      <c r="M581" t="s">
        <v>878</v>
      </c>
      <c r="N581" t="s">
        <v>878</v>
      </c>
      <c r="O581">
        <v>21000</v>
      </c>
      <c r="P581" t="s">
        <v>46</v>
      </c>
      <c r="Q581" t="s">
        <v>47</v>
      </c>
      <c r="R581" t="s">
        <v>48</v>
      </c>
      <c r="T581" t="s">
        <v>36</v>
      </c>
      <c r="U581" t="s">
        <v>36</v>
      </c>
      <c r="V581" t="s">
        <v>36</v>
      </c>
      <c r="W581">
        <v>4000</v>
      </c>
      <c r="X581" t="s">
        <v>49</v>
      </c>
      <c r="Y581" t="s">
        <v>50</v>
      </c>
      <c r="Z581" t="s">
        <v>51</v>
      </c>
      <c r="AA581" t="s">
        <v>37</v>
      </c>
      <c r="AB581" t="s">
        <v>52</v>
      </c>
      <c r="AC581" t="s">
        <v>53</v>
      </c>
      <c r="AD581" t="s">
        <v>54</v>
      </c>
      <c r="AE581">
        <v>12.474168562399999</v>
      </c>
      <c r="AF581">
        <v>2080</v>
      </c>
      <c r="AG581">
        <v>2079.6474206600001</v>
      </c>
      <c r="AH581">
        <v>124743.648891</v>
      </c>
      <c r="AI581">
        <v>47</v>
      </c>
      <c r="AJ581">
        <v>98649.830234992201</v>
      </c>
      <c r="AK581" s="1">
        <f>intersection_ss_Lden___surface[[#This Row],[surf m2 bout ss]]/intersection_ss_Lden___surface[[#This Row],[Shape_Area]]</f>
        <v>0.79082046350264801</v>
      </c>
      <c r="AL581">
        <v>1389</v>
      </c>
      <c r="AM581">
        <f>intersection_ss_Lden___surface[[#This Row],[Population totale 2024 ss]]*intersection_ss_Lden___surface[[#This Row],[Part de la surface du qs dans le noise contour]]</f>
        <v>1098.4496238051781</v>
      </c>
    </row>
    <row r="582" spans="1:39" x14ac:dyDescent="0.3">
      <c r="A582">
        <v>612</v>
      </c>
      <c r="B582" t="s">
        <v>899</v>
      </c>
      <c r="C582" t="s">
        <v>900</v>
      </c>
      <c r="D582" t="s">
        <v>901</v>
      </c>
      <c r="E582" t="s">
        <v>901</v>
      </c>
      <c r="F582" t="s">
        <v>896</v>
      </c>
      <c r="G582" t="s">
        <v>874</v>
      </c>
      <c r="H582" t="s">
        <v>875</v>
      </c>
      <c r="I582" t="s">
        <v>876</v>
      </c>
      <c r="J582" t="s">
        <v>36</v>
      </c>
      <c r="K582">
        <v>21012</v>
      </c>
      <c r="L582" t="s">
        <v>877</v>
      </c>
      <c r="M582" t="s">
        <v>878</v>
      </c>
      <c r="N582" t="s">
        <v>878</v>
      </c>
      <c r="O582">
        <v>21000</v>
      </c>
      <c r="P582" t="s">
        <v>46</v>
      </c>
      <c r="Q582" t="s">
        <v>47</v>
      </c>
      <c r="R582" t="s">
        <v>48</v>
      </c>
      <c r="T582" t="s">
        <v>36</v>
      </c>
      <c r="U582" t="s">
        <v>36</v>
      </c>
      <c r="V582" t="s">
        <v>36</v>
      </c>
      <c r="W582">
        <v>4000</v>
      </c>
      <c r="X582" t="s">
        <v>49</v>
      </c>
      <c r="Y582" t="s">
        <v>50</v>
      </c>
      <c r="Z582" t="s">
        <v>51</v>
      </c>
      <c r="AA582" t="s">
        <v>37</v>
      </c>
      <c r="AB582" t="s">
        <v>52</v>
      </c>
      <c r="AC582" t="s">
        <v>53</v>
      </c>
      <c r="AD582" t="s">
        <v>54</v>
      </c>
      <c r="AE582">
        <v>12.474168562399999</v>
      </c>
      <c r="AF582">
        <v>2080</v>
      </c>
      <c r="AG582">
        <v>2079.6474206600001</v>
      </c>
      <c r="AH582">
        <v>124743.648891</v>
      </c>
      <c r="AI582">
        <v>48</v>
      </c>
      <c r="AJ582">
        <v>26106.092997811698</v>
      </c>
      <c r="AK582" s="1">
        <f>intersection_ss_Lden___surface[[#This Row],[surf m2 bout ss]]/intersection_ss_Lden___surface[[#This Row],[Shape_Area]]</f>
        <v>0.20927793302425354</v>
      </c>
      <c r="AL582">
        <v>1389</v>
      </c>
      <c r="AM582">
        <f>intersection_ss_Lden___surface[[#This Row],[Population totale 2024 ss]]*intersection_ss_Lden___surface[[#This Row],[Part de la surface du qs dans le noise contour]]</f>
        <v>290.68704897068818</v>
      </c>
    </row>
    <row r="583" spans="1:39" x14ac:dyDescent="0.3">
      <c r="A583">
        <v>613</v>
      </c>
      <c r="B583" t="s">
        <v>902</v>
      </c>
      <c r="C583" t="s">
        <v>903</v>
      </c>
      <c r="D583" t="s">
        <v>904</v>
      </c>
      <c r="E583" t="s">
        <v>904</v>
      </c>
      <c r="F583" t="s">
        <v>896</v>
      </c>
      <c r="G583" t="s">
        <v>874</v>
      </c>
      <c r="H583" t="s">
        <v>875</v>
      </c>
      <c r="I583" t="s">
        <v>876</v>
      </c>
      <c r="J583" t="s">
        <v>36</v>
      </c>
      <c r="K583">
        <v>21012</v>
      </c>
      <c r="L583" t="s">
        <v>877</v>
      </c>
      <c r="M583" t="s">
        <v>878</v>
      </c>
      <c r="N583" t="s">
        <v>878</v>
      </c>
      <c r="O583">
        <v>21000</v>
      </c>
      <c r="P583" t="s">
        <v>46</v>
      </c>
      <c r="Q583" t="s">
        <v>47</v>
      </c>
      <c r="R583" t="s">
        <v>48</v>
      </c>
      <c r="T583" t="s">
        <v>36</v>
      </c>
      <c r="U583" t="s">
        <v>36</v>
      </c>
      <c r="V583" t="s">
        <v>36</v>
      </c>
      <c r="W583">
        <v>4000</v>
      </c>
      <c r="X583" t="s">
        <v>49</v>
      </c>
      <c r="Y583" t="s">
        <v>50</v>
      </c>
      <c r="Z583" t="s">
        <v>51</v>
      </c>
      <c r="AA583" t="s">
        <v>37</v>
      </c>
      <c r="AB583" t="s">
        <v>52</v>
      </c>
      <c r="AC583" t="s">
        <v>53</v>
      </c>
      <c r="AD583" t="s">
        <v>54</v>
      </c>
      <c r="AE583">
        <v>12.389813927600001</v>
      </c>
      <c r="AF583">
        <v>1635</v>
      </c>
      <c r="AG583">
        <v>1635.14731368</v>
      </c>
      <c r="AH583">
        <v>123900.137344</v>
      </c>
      <c r="AI583">
        <v>47</v>
      </c>
      <c r="AJ583">
        <v>121116.41467295399</v>
      </c>
      <c r="AK583" s="1">
        <f>intersection_ss_Lden___surface[[#This Row],[surf m2 bout ss]]/intersection_ss_Lden___surface[[#This Row],[Shape_Area]]</f>
        <v>0.97753252957809722</v>
      </c>
      <c r="AL583">
        <v>1563</v>
      </c>
      <c r="AM583">
        <f>intersection_ss_Lden___surface[[#This Row],[Population totale 2024 ss]]*intersection_ss_Lden___surface[[#This Row],[Part de la surface du qs dans le noise contour]]</f>
        <v>1527.8833437305659</v>
      </c>
    </row>
    <row r="584" spans="1:39" x14ac:dyDescent="0.3">
      <c r="A584">
        <v>614</v>
      </c>
      <c r="B584" t="s">
        <v>902</v>
      </c>
      <c r="C584" t="s">
        <v>903</v>
      </c>
      <c r="D584" t="s">
        <v>904</v>
      </c>
      <c r="E584" t="s">
        <v>904</v>
      </c>
      <c r="F584" t="s">
        <v>896</v>
      </c>
      <c r="G584" t="s">
        <v>874</v>
      </c>
      <c r="H584" t="s">
        <v>875</v>
      </c>
      <c r="I584" t="s">
        <v>876</v>
      </c>
      <c r="J584" t="s">
        <v>36</v>
      </c>
      <c r="K584">
        <v>21012</v>
      </c>
      <c r="L584" t="s">
        <v>877</v>
      </c>
      <c r="M584" t="s">
        <v>878</v>
      </c>
      <c r="N584" t="s">
        <v>878</v>
      </c>
      <c r="O584">
        <v>21000</v>
      </c>
      <c r="P584" t="s">
        <v>46</v>
      </c>
      <c r="Q584" t="s">
        <v>47</v>
      </c>
      <c r="R584" t="s">
        <v>48</v>
      </c>
      <c r="T584" t="s">
        <v>36</v>
      </c>
      <c r="U584" t="s">
        <v>36</v>
      </c>
      <c r="V584" t="s">
        <v>36</v>
      </c>
      <c r="W584">
        <v>4000</v>
      </c>
      <c r="X584" t="s">
        <v>49</v>
      </c>
      <c r="Y584" t="s">
        <v>50</v>
      </c>
      <c r="Z584" t="s">
        <v>51</v>
      </c>
      <c r="AA584" t="s">
        <v>37</v>
      </c>
      <c r="AB584" t="s">
        <v>52</v>
      </c>
      <c r="AC584" t="s">
        <v>53</v>
      </c>
      <c r="AD584" t="s">
        <v>54</v>
      </c>
      <c r="AE584">
        <v>12.389813927600001</v>
      </c>
      <c r="AF584">
        <v>1635</v>
      </c>
      <c r="AG584">
        <v>1635.14731368</v>
      </c>
      <c r="AH584">
        <v>123900.137344</v>
      </c>
      <c r="AI584">
        <v>48</v>
      </c>
      <c r="AJ584">
        <v>2795.9060924947298</v>
      </c>
      <c r="AK584" s="1">
        <f>intersection_ss_Lden___surface[[#This Row],[surf m2 bout ss]]/intersection_ss_Lden___surface[[#This Row],[Shape_Area]]</f>
        <v>2.2565803012244399E-2</v>
      </c>
      <c r="AL584">
        <v>1563</v>
      </c>
      <c r="AM584">
        <f>intersection_ss_Lden___surface[[#This Row],[Population totale 2024 ss]]*intersection_ss_Lden___surface[[#This Row],[Part de la surface du qs dans le noise contour]]</f>
        <v>35.270350108137997</v>
      </c>
    </row>
    <row r="585" spans="1:39" x14ac:dyDescent="0.3">
      <c r="A585">
        <v>615</v>
      </c>
      <c r="B585" t="s">
        <v>905</v>
      </c>
      <c r="C585" t="s">
        <v>906</v>
      </c>
      <c r="D585" t="s">
        <v>907</v>
      </c>
      <c r="E585" t="s">
        <v>907</v>
      </c>
      <c r="F585" t="s">
        <v>896</v>
      </c>
      <c r="G585" t="s">
        <v>874</v>
      </c>
      <c r="H585" t="s">
        <v>875</v>
      </c>
      <c r="I585" t="s">
        <v>876</v>
      </c>
      <c r="J585" t="s">
        <v>36</v>
      </c>
      <c r="K585">
        <v>21012</v>
      </c>
      <c r="L585" t="s">
        <v>877</v>
      </c>
      <c r="M585" t="s">
        <v>878</v>
      </c>
      <c r="N585" t="s">
        <v>878</v>
      </c>
      <c r="O585">
        <v>21000</v>
      </c>
      <c r="P585" t="s">
        <v>46</v>
      </c>
      <c r="Q585" t="s">
        <v>47</v>
      </c>
      <c r="R585" t="s">
        <v>48</v>
      </c>
      <c r="T585" t="s">
        <v>36</v>
      </c>
      <c r="U585" t="s">
        <v>36</v>
      </c>
      <c r="V585" t="s">
        <v>36</v>
      </c>
      <c r="W585">
        <v>4000</v>
      </c>
      <c r="X585" t="s">
        <v>49</v>
      </c>
      <c r="Y585" t="s">
        <v>50</v>
      </c>
      <c r="Z585" t="s">
        <v>51</v>
      </c>
      <c r="AA585" t="s">
        <v>37</v>
      </c>
      <c r="AB585" t="s">
        <v>52</v>
      </c>
      <c r="AC585" t="s">
        <v>53</v>
      </c>
      <c r="AD585" t="s">
        <v>54</v>
      </c>
      <c r="AE585">
        <v>9.8445828973400005</v>
      </c>
      <c r="AF585">
        <v>1578</v>
      </c>
      <c r="AG585">
        <v>1578.5036277199999</v>
      </c>
      <c r="AH585">
        <v>98447.421092599994</v>
      </c>
      <c r="AI585">
        <v>48</v>
      </c>
      <c r="AJ585">
        <v>98457.011238018997</v>
      </c>
      <c r="AK585" s="1">
        <f>intersection_ss_Lden___surface[[#This Row],[surf m2 bout ss]]/intersection_ss_Lden___surface[[#This Row],[Shape_Area]]</f>
        <v>1.0000974138815681</v>
      </c>
      <c r="AL585">
        <v>2573</v>
      </c>
      <c r="AM585">
        <f>intersection_ss_Lden___surface[[#This Row],[Population totale 2024 ss]]*intersection_ss_Lden___surface[[#This Row],[Part de la surface du qs dans le noise contour]]</f>
        <v>2573.2506459172751</v>
      </c>
    </row>
    <row r="586" spans="1:39" x14ac:dyDescent="0.3">
      <c r="A586">
        <v>616</v>
      </c>
      <c r="B586" t="s">
        <v>908</v>
      </c>
      <c r="C586" t="s">
        <v>909</v>
      </c>
      <c r="D586" t="s">
        <v>910</v>
      </c>
      <c r="E586" t="s">
        <v>910</v>
      </c>
      <c r="F586" t="s">
        <v>896</v>
      </c>
      <c r="G586" t="s">
        <v>874</v>
      </c>
      <c r="H586" t="s">
        <v>875</v>
      </c>
      <c r="I586" t="s">
        <v>876</v>
      </c>
      <c r="J586" t="s">
        <v>36</v>
      </c>
      <c r="K586">
        <v>21012</v>
      </c>
      <c r="L586" t="s">
        <v>877</v>
      </c>
      <c r="M586" t="s">
        <v>878</v>
      </c>
      <c r="N586" t="s">
        <v>878</v>
      </c>
      <c r="O586">
        <v>21000</v>
      </c>
      <c r="P586" t="s">
        <v>46</v>
      </c>
      <c r="Q586" t="s">
        <v>47</v>
      </c>
      <c r="R586" t="s">
        <v>48</v>
      </c>
      <c r="T586" t="s">
        <v>36</v>
      </c>
      <c r="U586" t="s">
        <v>36</v>
      </c>
      <c r="V586" t="s">
        <v>36</v>
      </c>
      <c r="W586">
        <v>4000</v>
      </c>
      <c r="X586" t="s">
        <v>49</v>
      </c>
      <c r="Y586" t="s">
        <v>50</v>
      </c>
      <c r="Z586" t="s">
        <v>51</v>
      </c>
      <c r="AA586" t="s">
        <v>37</v>
      </c>
      <c r="AB586" t="s">
        <v>52</v>
      </c>
      <c r="AC586" t="s">
        <v>53</v>
      </c>
      <c r="AD586" t="s">
        <v>54</v>
      </c>
      <c r="AE586">
        <v>18.569707856200001</v>
      </c>
      <c r="AF586">
        <v>2179</v>
      </c>
      <c r="AG586">
        <v>2179.04508201</v>
      </c>
      <c r="AH586">
        <v>185700.07438500001</v>
      </c>
      <c r="AI586">
        <v>48</v>
      </c>
      <c r="AJ586">
        <v>99512.134006917404</v>
      </c>
      <c r="AK586" s="1">
        <f>intersection_ss_Lden___surface[[#This Row],[surf m2 bout ss]]/intersection_ss_Lden___surface[[#This Row],[Shape_Area]]</f>
        <v>0.53587557429086052</v>
      </c>
      <c r="AL586">
        <v>5852</v>
      </c>
      <c r="AM586">
        <f>intersection_ss_Lden___surface[[#This Row],[Population totale 2024 ss]]*intersection_ss_Lden___surface[[#This Row],[Part de la surface du qs dans le noise contour]]</f>
        <v>3135.9438607501156</v>
      </c>
    </row>
    <row r="587" spans="1:39" x14ac:dyDescent="0.3">
      <c r="A587">
        <v>617</v>
      </c>
      <c r="B587" t="s">
        <v>908</v>
      </c>
      <c r="C587" t="s">
        <v>909</v>
      </c>
      <c r="D587" t="s">
        <v>910</v>
      </c>
      <c r="E587" t="s">
        <v>910</v>
      </c>
      <c r="F587" t="s">
        <v>896</v>
      </c>
      <c r="G587" t="s">
        <v>874</v>
      </c>
      <c r="H587" t="s">
        <v>875</v>
      </c>
      <c r="I587" t="s">
        <v>876</v>
      </c>
      <c r="J587" t="s">
        <v>36</v>
      </c>
      <c r="K587">
        <v>21012</v>
      </c>
      <c r="L587" t="s">
        <v>877</v>
      </c>
      <c r="M587" t="s">
        <v>878</v>
      </c>
      <c r="N587" t="s">
        <v>878</v>
      </c>
      <c r="O587">
        <v>21000</v>
      </c>
      <c r="P587" t="s">
        <v>46</v>
      </c>
      <c r="Q587" t="s">
        <v>47</v>
      </c>
      <c r="R587" t="s">
        <v>48</v>
      </c>
      <c r="T587" t="s">
        <v>36</v>
      </c>
      <c r="U587" t="s">
        <v>36</v>
      </c>
      <c r="V587" t="s">
        <v>36</v>
      </c>
      <c r="W587">
        <v>4000</v>
      </c>
      <c r="X587" t="s">
        <v>49</v>
      </c>
      <c r="Y587" t="s">
        <v>50</v>
      </c>
      <c r="Z587" t="s">
        <v>51</v>
      </c>
      <c r="AA587" t="s">
        <v>37</v>
      </c>
      <c r="AB587" t="s">
        <v>52</v>
      </c>
      <c r="AC587" t="s">
        <v>53</v>
      </c>
      <c r="AD587" t="s">
        <v>54</v>
      </c>
      <c r="AE587">
        <v>18.569707856200001</v>
      </c>
      <c r="AF587">
        <v>2179</v>
      </c>
      <c r="AG587">
        <v>2179.04508201</v>
      </c>
      <c r="AH587">
        <v>185700.07438500001</v>
      </c>
      <c r="AI587">
        <v>49</v>
      </c>
      <c r="AJ587">
        <v>86205.909667825297</v>
      </c>
      <c r="AK587" s="1">
        <f>intersection_ss_Lden___surface[[#This Row],[surf m2 bout ss]]/intersection_ss_Lden___surface[[#This Row],[Shape_Area]]</f>
        <v>0.4642211908278514</v>
      </c>
      <c r="AL587">
        <v>5852</v>
      </c>
      <c r="AM587">
        <f>intersection_ss_Lden___surface[[#This Row],[Population totale 2024 ss]]*intersection_ss_Lden___surface[[#This Row],[Part de la surface du qs dans le noise contour]]</f>
        <v>2716.6224087245864</v>
      </c>
    </row>
    <row r="588" spans="1:39" x14ac:dyDescent="0.3">
      <c r="A588">
        <v>618</v>
      </c>
      <c r="B588" t="s">
        <v>911</v>
      </c>
      <c r="C588" t="s">
        <v>912</v>
      </c>
      <c r="D588" t="s">
        <v>913</v>
      </c>
      <c r="E588" t="s">
        <v>913</v>
      </c>
      <c r="F588" t="s">
        <v>896</v>
      </c>
      <c r="G588" t="s">
        <v>874</v>
      </c>
      <c r="H588" t="s">
        <v>875</v>
      </c>
      <c r="I588" t="s">
        <v>876</v>
      </c>
      <c r="J588" t="s">
        <v>36</v>
      </c>
      <c r="K588">
        <v>21012</v>
      </c>
      <c r="L588" t="s">
        <v>877</v>
      </c>
      <c r="M588" t="s">
        <v>878</v>
      </c>
      <c r="N588" t="s">
        <v>878</v>
      </c>
      <c r="O588">
        <v>21000</v>
      </c>
      <c r="P588" t="s">
        <v>46</v>
      </c>
      <c r="Q588" t="s">
        <v>47</v>
      </c>
      <c r="R588" t="s">
        <v>48</v>
      </c>
      <c r="T588" t="s">
        <v>36</v>
      </c>
      <c r="U588" t="s">
        <v>36</v>
      </c>
      <c r="V588" t="s">
        <v>36</v>
      </c>
      <c r="W588">
        <v>4000</v>
      </c>
      <c r="X588" t="s">
        <v>49</v>
      </c>
      <c r="Y588" t="s">
        <v>50</v>
      </c>
      <c r="Z588" t="s">
        <v>51</v>
      </c>
      <c r="AA588" t="s">
        <v>37</v>
      </c>
      <c r="AB588" t="s">
        <v>52</v>
      </c>
      <c r="AC588" t="s">
        <v>53</v>
      </c>
      <c r="AD588" t="s">
        <v>54</v>
      </c>
      <c r="AE588">
        <v>11.4005598815</v>
      </c>
      <c r="AF588">
        <v>1984</v>
      </c>
      <c r="AG588">
        <v>1984.0417148500001</v>
      </c>
      <c r="AH588">
        <v>114007.439977</v>
      </c>
      <c r="AI588">
        <v>47</v>
      </c>
      <c r="AJ588">
        <v>22472.609162638</v>
      </c>
      <c r="AK588" s="1">
        <f>intersection_ss_Lden___surface[[#This Row],[surf m2 bout ss]]/intersection_ss_Lden___surface[[#This Row],[Shape_Area]]</f>
        <v>0.19711528622317676</v>
      </c>
      <c r="AL588">
        <v>1613</v>
      </c>
      <c r="AM588">
        <f>intersection_ss_Lden___surface[[#This Row],[Population totale 2024 ss]]*intersection_ss_Lden___surface[[#This Row],[Part de la surface du qs dans le noise contour]]</f>
        <v>317.94695667798413</v>
      </c>
    </row>
    <row r="589" spans="1:39" x14ac:dyDescent="0.3">
      <c r="A589">
        <v>619</v>
      </c>
      <c r="B589" t="s">
        <v>911</v>
      </c>
      <c r="C589" t="s">
        <v>912</v>
      </c>
      <c r="D589" t="s">
        <v>913</v>
      </c>
      <c r="E589" t="s">
        <v>913</v>
      </c>
      <c r="F589" t="s">
        <v>896</v>
      </c>
      <c r="G589" t="s">
        <v>874</v>
      </c>
      <c r="H589" t="s">
        <v>875</v>
      </c>
      <c r="I589" t="s">
        <v>876</v>
      </c>
      <c r="J589" t="s">
        <v>36</v>
      </c>
      <c r="K589">
        <v>21012</v>
      </c>
      <c r="L589" t="s">
        <v>877</v>
      </c>
      <c r="M589" t="s">
        <v>878</v>
      </c>
      <c r="N589" t="s">
        <v>878</v>
      </c>
      <c r="O589">
        <v>21000</v>
      </c>
      <c r="P589" t="s">
        <v>46</v>
      </c>
      <c r="Q589" t="s">
        <v>47</v>
      </c>
      <c r="R589" t="s">
        <v>48</v>
      </c>
      <c r="T589" t="s">
        <v>36</v>
      </c>
      <c r="U589" t="s">
        <v>36</v>
      </c>
      <c r="V589" t="s">
        <v>36</v>
      </c>
      <c r="W589">
        <v>4000</v>
      </c>
      <c r="X589" t="s">
        <v>49</v>
      </c>
      <c r="Y589" t="s">
        <v>50</v>
      </c>
      <c r="Z589" t="s">
        <v>51</v>
      </c>
      <c r="AA589" t="s">
        <v>37</v>
      </c>
      <c r="AB589" t="s">
        <v>52</v>
      </c>
      <c r="AC589" t="s">
        <v>53</v>
      </c>
      <c r="AD589" t="s">
        <v>54</v>
      </c>
      <c r="AE589">
        <v>11.4005598815</v>
      </c>
      <c r="AF589">
        <v>1984</v>
      </c>
      <c r="AG589">
        <v>1984.0417148500001</v>
      </c>
      <c r="AH589">
        <v>114007.439977</v>
      </c>
      <c r="AI589">
        <v>48</v>
      </c>
      <c r="AJ589">
        <v>91545.969076698602</v>
      </c>
      <c r="AK589" s="1">
        <f>intersection_ss_Lden___surface[[#This Row],[surf m2 bout ss]]/intersection_ss_Lden___surface[[#This Row],[Shape_Area]]</f>
        <v>0.80298241145636806</v>
      </c>
      <c r="AL589">
        <v>1613</v>
      </c>
      <c r="AM589">
        <f>intersection_ss_Lden___surface[[#This Row],[Population totale 2024 ss]]*intersection_ss_Lden___surface[[#This Row],[Part de la surface du qs dans le noise contour]]</f>
        <v>1295.2106296791217</v>
      </c>
    </row>
    <row r="590" spans="1:39" x14ac:dyDescent="0.3">
      <c r="A590">
        <v>620</v>
      </c>
      <c r="B590" t="s">
        <v>914</v>
      </c>
      <c r="C590" t="s">
        <v>915</v>
      </c>
      <c r="D590" t="s">
        <v>915</v>
      </c>
      <c r="E590" t="s">
        <v>915</v>
      </c>
      <c r="F590" t="s">
        <v>916</v>
      </c>
      <c r="G590" t="s">
        <v>874</v>
      </c>
      <c r="H590" t="s">
        <v>875</v>
      </c>
      <c r="I590" t="s">
        <v>876</v>
      </c>
      <c r="J590" t="s">
        <v>36</v>
      </c>
      <c r="K590">
        <v>21012</v>
      </c>
      <c r="L590" t="s">
        <v>877</v>
      </c>
      <c r="M590" t="s">
        <v>878</v>
      </c>
      <c r="N590" t="s">
        <v>878</v>
      </c>
      <c r="O590">
        <v>21000</v>
      </c>
      <c r="P590" t="s">
        <v>46</v>
      </c>
      <c r="Q590" t="s">
        <v>47</v>
      </c>
      <c r="R590" t="s">
        <v>48</v>
      </c>
      <c r="T590" t="s">
        <v>36</v>
      </c>
      <c r="U590" t="s">
        <v>36</v>
      </c>
      <c r="V590" t="s">
        <v>36</v>
      </c>
      <c r="W590">
        <v>4000</v>
      </c>
      <c r="X590" t="s">
        <v>49</v>
      </c>
      <c r="Y590" t="s">
        <v>50</v>
      </c>
      <c r="Z590" t="s">
        <v>51</v>
      </c>
      <c r="AA590" t="s">
        <v>37</v>
      </c>
      <c r="AB590" t="s">
        <v>52</v>
      </c>
      <c r="AC590" t="s">
        <v>53</v>
      </c>
      <c r="AD590" t="s">
        <v>54</v>
      </c>
      <c r="AE590">
        <v>11.7142417794</v>
      </c>
      <c r="AF590">
        <v>1614</v>
      </c>
      <c r="AG590">
        <v>1614.5074101499999</v>
      </c>
      <c r="AH590">
        <v>117144.30001599999</v>
      </c>
      <c r="AI590">
        <v>47</v>
      </c>
      <c r="AJ590">
        <v>117155.796592482</v>
      </c>
      <c r="AK590" s="1">
        <f>intersection_ss_Lden___surface[[#This Row],[surf m2 bout ss]]/intersection_ss_Lden___surface[[#This Row],[Shape_Area]]</f>
        <v>1.0000981402977391</v>
      </c>
      <c r="AL590">
        <v>2238</v>
      </c>
      <c r="AM590">
        <f>intersection_ss_Lden___surface[[#This Row],[Population totale 2024 ss]]*intersection_ss_Lden___surface[[#This Row],[Part de la surface du qs dans le noise contour]]</f>
        <v>2238.2196379863403</v>
      </c>
    </row>
    <row r="591" spans="1:39" x14ac:dyDescent="0.3">
      <c r="A591">
        <v>621</v>
      </c>
      <c r="B591" t="s">
        <v>917</v>
      </c>
      <c r="C591" t="s">
        <v>918</v>
      </c>
      <c r="D591" t="s">
        <v>919</v>
      </c>
      <c r="E591" t="s">
        <v>919</v>
      </c>
      <c r="F591" t="s">
        <v>916</v>
      </c>
      <c r="G591" t="s">
        <v>874</v>
      </c>
      <c r="H591" t="s">
        <v>875</v>
      </c>
      <c r="I591" t="s">
        <v>876</v>
      </c>
      <c r="J591" t="s">
        <v>36</v>
      </c>
      <c r="K591">
        <v>21012</v>
      </c>
      <c r="L591" t="s">
        <v>877</v>
      </c>
      <c r="M591" t="s">
        <v>878</v>
      </c>
      <c r="N591" t="s">
        <v>878</v>
      </c>
      <c r="O591">
        <v>21000</v>
      </c>
      <c r="P591" t="s">
        <v>46</v>
      </c>
      <c r="Q591" t="s">
        <v>47</v>
      </c>
      <c r="R591" t="s">
        <v>48</v>
      </c>
      <c r="T591" t="s">
        <v>36</v>
      </c>
      <c r="U591" t="s">
        <v>36</v>
      </c>
      <c r="V591" t="s">
        <v>36</v>
      </c>
      <c r="W591">
        <v>4000</v>
      </c>
      <c r="X591" t="s">
        <v>49</v>
      </c>
      <c r="Y591" t="s">
        <v>50</v>
      </c>
      <c r="Z591" t="s">
        <v>51</v>
      </c>
      <c r="AA591" t="s">
        <v>37</v>
      </c>
      <c r="AB591" t="s">
        <v>52</v>
      </c>
      <c r="AC591" t="s">
        <v>53</v>
      </c>
      <c r="AD591" t="s">
        <v>54</v>
      </c>
      <c r="AE591">
        <v>4.3943174702599999</v>
      </c>
      <c r="AF591">
        <v>1647</v>
      </c>
      <c r="AG591">
        <v>1646.80327622</v>
      </c>
      <c r="AH591">
        <v>43943.886203800001</v>
      </c>
      <c r="AI591">
        <v>47</v>
      </c>
      <c r="AJ591">
        <v>5644.9515253528998</v>
      </c>
      <c r="AK591" s="1">
        <f>intersection_ss_Lden___surface[[#This Row],[surf m2 bout ss]]/intersection_ss_Lden___surface[[#This Row],[Shape_Area]]</f>
        <v>0.12845817730305242</v>
      </c>
      <c r="AL591">
        <v>1541</v>
      </c>
      <c r="AM591">
        <f>intersection_ss_Lden___surface[[#This Row],[Population totale 2024 ss]]*intersection_ss_Lden___surface[[#This Row],[Part de la surface du qs dans le noise contour]]</f>
        <v>197.95405122400379</v>
      </c>
    </row>
    <row r="592" spans="1:39" x14ac:dyDescent="0.3">
      <c r="A592">
        <v>622</v>
      </c>
      <c r="B592" t="s">
        <v>917</v>
      </c>
      <c r="C592" t="s">
        <v>918</v>
      </c>
      <c r="D592" t="s">
        <v>919</v>
      </c>
      <c r="E592" t="s">
        <v>919</v>
      </c>
      <c r="F592" t="s">
        <v>916</v>
      </c>
      <c r="G592" t="s">
        <v>874</v>
      </c>
      <c r="H592" t="s">
        <v>875</v>
      </c>
      <c r="I592" t="s">
        <v>876</v>
      </c>
      <c r="J592" t="s">
        <v>36</v>
      </c>
      <c r="K592">
        <v>21012</v>
      </c>
      <c r="L592" t="s">
        <v>877</v>
      </c>
      <c r="M592" t="s">
        <v>878</v>
      </c>
      <c r="N592" t="s">
        <v>878</v>
      </c>
      <c r="O592">
        <v>21000</v>
      </c>
      <c r="P592" t="s">
        <v>46</v>
      </c>
      <c r="Q592" t="s">
        <v>47</v>
      </c>
      <c r="R592" t="s">
        <v>48</v>
      </c>
      <c r="T592" t="s">
        <v>36</v>
      </c>
      <c r="U592" t="s">
        <v>36</v>
      </c>
      <c r="V592" t="s">
        <v>36</v>
      </c>
      <c r="W592">
        <v>4000</v>
      </c>
      <c r="X592" t="s">
        <v>49</v>
      </c>
      <c r="Y592" t="s">
        <v>50</v>
      </c>
      <c r="Z592" t="s">
        <v>51</v>
      </c>
      <c r="AA592" t="s">
        <v>37</v>
      </c>
      <c r="AB592" t="s">
        <v>52</v>
      </c>
      <c r="AC592" t="s">
        <v>53</v>
      </c>
      <c r="AD592" t="s">
        <v>54</v>
      </c>
      <c r="AE592">
        <v>4.3943174702599999</v>
      </c>
      <c r="AF592">
        <v>1647</v>
      </c>
      <c r="AG592">
        <v>1646.80327622</v>
      </c>
      <c r="AH592">
        <v>43943.886203800001</v>
      </c>
      <c r="AI592">
        <v>48</v>
      </c>
      <c r="AJ592">
        <v>38303.214598213301</v>
      </c>
      <c r="AK592" s="1">
        <f>intersection_ss_Lden___surface[[#This Row],[surf m2 bout ss]]/intersection_ss_Lden___surface[[#This Row],[Shape_Area]]</f>
        <v>0.87163921781003229</v>
      </c>
      <c r="AL592">
        <v>1541</v>
      </c>
      <c r="AM592">
        <f>intersection_ss_Lden___surface[[#This Row],[Population totale 2024 ss]]*intersection_ss_Lden___surface[[#This Row],[Part de la surface du qs dans le noise contour]]</f>
        <v>1343.1960346452597</v>
      </c>
    </row>
    <row r="593" spans="1:39" x14ac:dyDescent="0.3">
      <c r="A593">
        <v>623</v>
      </c>
      <c r="B593" t="s">
        <v>920</v>
      </c>
      <c r="C593" t="s">
        <v>921</v>
      </c>
      <c r="D593" t="s">
        <v>921</v>
      </c>
      <c r="E593" t="s">
        <v>921</v>
      </c>
      <c r="F593" t="s">
        <v>916</v>
      </c>
      <c r="G593" t="s">
        <v>874</v>
      </c>
      <c r="H593" t="s">
        <v>875</v>
      </c>
      <c r="I593" t="s">
        <v>876</v>
      </c>
      <c r="J593" t="s">
        <v>36</v>
      </c>
      <c r="K593">
        <v>21012</v>
      </c>
      <c r="L593" t="s">
        <v>877</v>
      </c>
      <c r="M593" t="s">
        <v>878</v>
      </c>
      <c r="N593" t="s">
        <v>878</v>
      </c>
      <c r="O593">
        <v>21000</v>
      </c>
      <c r="P593" t="s">
        <v>46</v>
      </c>
      <c r="Q593" t="s">
        <v>47</v>
      </c>
      <c r="R593" t="s">
        <v>48</v>
      </c>
      <c r="T593" t="s">
        <v>36</v>
      </c>
      <c r="U593" t="s">
        <v>36</v>
      </c>
      <c r="V593" t="s">
        <v>36</v>
      </c>
      <c r="W593">
        <v>4000</v>
      </c>
      <c r="X593" t="s">
        <v>49</v>
      </c>
      <c r="Y593" t="s">
        <v>50</v>
      </c>
      <c r="Z593" t="s">
        <v>51</v>
      </c>
      <c r="AA593" t="s">
        <v>37</v>
      </c>
      <c r="AB593" t="s">
        <v>52</v>
      </c>
      <c r="AC593" t="s">
        <v>53</v>
      </c>
      <c r="AD593" t="s">
        <v>54</v>
      </c>
      <c r="AE593">
        <v>4.1350703962599997</v>
      </c>
      <c r="AF593">
        <v>905</v>
      </c>
      <c r="AG593">
        <v>905.25601849400005</v>
      </c>
      <c r="AH593">
        <v>41351.374015100002</v>
      </c>
      <c r="AI593">
        <v>47</v>
      </c>
      <c r="AJ593">
        <v>41355.413308736897</v>
      </c>
      <c r="AK593" s="1">
        <f>intersection_ss_Lden___surface[[#This Row],[surf m2 bout ss]]/intersection_ss_Lden___surface[[#This Row],[Shape_Area]]</f>
        <v>1.0000976822108842</v>
      </c>
      <c r="AL593">
        <v>254</v>
      </c>
      <c r="AM593">
        <f>intersection_ss_Lden___surface[[#This Row],[Population totale 2024 ss]]*intersection_ss_Lden___surface[[#This Row],[Part de la surface du qs dans le noise contour]]</f>
        <v>254.02481128156461</v>
      </c>
    </row>
    <row r="594" spans="1:39" x14ac:dyDescent="0.3">
      <c r="A594">
        <v>624</v>
      </c>
      <c r="B594" t="s">
        <v>922</v>
      </c>
      <c r="C594" t="s">
        <v>923</v>
      </c>
      <c r="D594" t="s">
        <v>924</v>
      </c>
      <c r="E594" t="s">
        <v>924</v>
      </c>
      <c r="F594" t="s">
        <v>916</v>
      </c>
      <c r="G594" t="s">
        <v>874</v>
      </c>
      <c r="H594" t="s">
        <v>875</v>
      </c>
      <c r="I594" t="s">
        <v>876</v>
      </c>
      <c r="J594" t="s">
        <v>36</v>
      </c>
      <c r="K594">
        <v>21012</v>
      </c>
      <c r="L594" t="s">
        <v>877</v>
      </c>
      <c r="M594" t="s">
        <v>878</v>
      </c>
      <c r="N594" t="s">
        <v>878</v>
      </c>
      <c r="O594">
        <v>21000</v>
      </c>
      <c r="P594" t="s">
        <v>46</v>
      </c>
      <c r="Q594" t="s">
        <v>47</v>
      </c>
      <c r="R594" t="s">
        <v>48</v>
      </c>
      <c r="T594" t="s">
        <v>36</v>
      </c>
      <c r="U594" t="s">
        <v>36</v>
      </c>
      <c r="V594" t="s">
        <v>36</v>
      </c>
      <c r="W594">
        <v>4000</v>
      </c>
      <c r="X594" t="s">
        <v>49</v>
      </c>
      <c r="Y594" t="s">
        <v>50</v>
      </c>
      <c r="Z594" t="s">
        <v>51</v>
      </c>
      <c r="AA594" t="s">
        <v>37</v>
      </c>
      <c r="AB594" t="s">
        <v>52</v>
      </c>
      <c r="AC594" t="s">
        <v>53</v>
      </c>
      <c r="AD594" t="s">
        <v>54</v>
      </c>
      <c r="AE594">
        <v>17.199608585099998</v>
      </c>
      <c r="AF594">
        <v>2489</v>
      </c>
      <c r="AG594">
        <v>2489.4347031699999</v>
      </c>
      <c r="AH594">
        <v>171998.85790100001</v>
      </c>
      <c r="AI594">
        <v>46</v>
      </c>
      <c r="AJ594">
        <v>67431.414079955794</v>
      </c>
      <c r="AK594" s="1">
        <f>intersection_ss_Lden___surface[[#This Row],[surf m2 bout ss]]/intersection_ss_Lden___surface[[#This Row],[Shape_Area]]</f>
        <v>0.39204570834283281</v>
      </c>
      <c r="AL594">
        <v>3811</v>
      </c>
      <c r="AM594">
        <f>intersection_ss_Lden___surface[[#This Row],[Population totale 2024 ss]]*intersection_ss_Lden___surface[[#This Row],[Part de la surface du qs dans le noise contour]]</f>
        <v>1494.0861944945359</v>
      </c>
    </row>
    <row r="595" spans="1:39" x14ac:dyDescent="0.3">
      <c r="A595">
        <v>625</v>
      </c>
      <c r="B595" t="s">
        <v>922</v>
      </c>
      <c r="C595" t="s">
        <v>923</v>
      </c>
      <c r="D595" t="s">
        <v>924</v>
      </c>
      <c r="E595" t="s">
        <v>924</v>
      </c>
      <c r="F595" t="s">
        <v>916</v>
      </c>
      <c r="G595" t="s">
        <v>874</v>
      </c>
      <c r="H595" t="s">
        <v>875</v>
      </c>
      <c r="I595" t="s">
        <v>876</v>
      </c>
      <c r="J595" t="s">
        <v>36</v>
      </c>
      <c r="K595">
        <v>21012</v>
      </c>
      <c r="L595" t="s">
        <v>877</v>
      </c>
      <c r="M595" t="s">
        <v>878</v>
      </c>
      <c r="N595" t="s">
        <v>878</v>
      </c>
      <c r="O595">
        <v>21000</v>
      </c>
      <c r="P595" t="s">
        <v>46</v>
      </c>
      <c r="Q595" t="s">
        <v>47</v>
      </c>
      <c r="R595" t="s">
        <v>48</v>
      </c>
      <c r="T595" t="s">
        <v>36</v>
      </c>
      <c r="U595" t="s">
        <v>36</v>
      </c>
      <c r="V595" t="s">
        <v>36</v>
      </c>
      <c r="W595">
        <v>4000</v>
      </c>
      <c r="X595" t="s">
        <v>49</v>
      </c>
      <c r="Y595" t="s">
        <v>50</v>
      </c>
      <c r="Z595" t="s">
        <v>51</v>
      </c>
      <c r="AA595" t="s">
        <v>37</v>
      </c>
      <c r="AB595" t="s">
        <v>52</v>
      </c>
      <c r="AC595" t="s">
        <v>53</v>
      </c>
      <c r="AD595" t="s">
        <v>54</v>
      </c>
      <c r="AE595">
        <v>17.199608585099998</v>
      </c>
      <c r="AF595">
        <v>2489</v>
      </c>
      <c r="AG595">
        <v>2489.4347031699999</v>
      </c>
      <c r="AH595">
        <v>171998.85790100001</v>
      </c>
      <c r="AI595">
        <v>47</v>
      </c>
      <c r="AJ595">
        <v>104584.28761636899</v>
      </c>
      <c r="AK595" s="1">
        <f>intersection_ss_Lden___surface[[#This Row],[surf m2 bout ss]]/intersection_ss_Lden___surface[[#This Row],[Shape_Area]]</f>
        <v>0.60805222135001713</v>
      </c>
      <c r="AL595">
        <v>3811</v>
      </c>
      <c r="AM595">
        <f>intersection_ss_Lden___surface[[#This Row],[Population totale 2024 ss]]*intersection_ss_Lden___surface[[#This Row],[Part de la surface du qs dans le noise contour]]</f>
        <v>2317.2870155649152</v>
      </c>
    </row>
    <row r="596" spans="1:39" x14ac:dyDescent="0.3">
      <c r="A596">
        <v>626</v>
      </c>
      <c r="B596" t="s">
        <v>925</v>
      </c>
      <c r="C596" t="s">
        <v>105</v>
      </c>
      <c r="D596" t="s">
        <v>926</v>
      </c>
      <c r="E596" t="s">
        <v>926</v>
      </c>
      <c r="F596" t="s">
        <v>916</v>
      </c>
      <c r="G596" t="s">
        <v>874</v>
      </c>
      <c r="H596" t="s">
        <v>875</v>
      </c>
      <c r="I596" t="s">
        <v>876</v>
      </c>
      <c r="J596" t="s">
        <v>36</v>
      </c>
      <c r="K596">
        <v>21012</v>
      </c>
      <c r="L596" t="s">
        <v>877</v>
      </c>
      <c r="M596" t="s">
        <v>878</v>
      </c>
      <c r="N596" t="s">
        <v>878</v>
      </c>
      <c r="O596">
        <v>21000</v>
      </c>
      <c r="P596" t="s">
        <v>46</v>
      </c>
      <c r="Q596" t="s">
        <v>47</v>
      </c>
      <c r="R596" t="s">
        <v>48</v>
      </c>
      <c r="T596" t="s">
        <v>36</v>
      </c>
      <c r="U596" t="s">
        <v>36</v>
      </c>
      <c r="V596" t="s">
        <v>36</v>
      </c>
      <c r="W596">
        <v>4000</v>
      </c>
      <c r="X596" t="s">
        <v>49</v>
      </c>
      <c r="Y596" t="s">
        <v>50</v>
      </c>
      <c r="Z596" t="s">
        <v>51</v>
      </c>
      <c r="AA596" t="s">
        <v>37</v>
      </c>
      <c r="AB596" t="s">
        <v>52</v>
      </c>
      <c r="AC596" t="s">
        <v>53</v>
      </c>
      <c r="AD596" t="s">
        <v>54</v>
      </c>
      <c r="AE596">
        <v>13.901757234</v>
      </c>
      <c r="AF596">
        <v>1821</v>
      </c>
      <c r="AG596">
        <v>1821.2352000999999</v>
      </c>
      <c r="AH596">
        <v>139019.814809</v>
      </c>
      <c r="AI596">
        <v>47</v>
      </c>
      <c r="AJ596">
        <v>122065.38791858</v>
      </c>
      <c r="AK596" s="1">
        <f>intersection_ss_Lden___surface[[#This Row],[surf m2 bout ss]]/intersection_ss_Lden___surface[[#This Row],[Shape_Area]]</f>
        <v>0.87804309109666301</v>
      </c>
      <c r="AL596">
        <v>3871</v>
      </c>
      <c r="AM596">
        <f>intersection_ss_Lden___surface[[#This Row],[Population totale 2024 ss]]*intersection_ss_Lden___surface[[#This Row],[Part de la surface du qs dans le noise contour]]</f>
        <v>3398.9048056351826</v>
      </c>
    </row>
    <row r="597" spans="1:39" x14ac:dyDescent="0.3">
      <c r="A597">
        <v>627</v>
      </c>
      <c r="B597" t="s">
        <v>925</v>
      </c>
      <c r="C597" t="s">
        <v>105</v>
      </c>
      <c r="D597" t="s">
        <v>926</v>
      </c>
      <c r="E597" t="s">
        <v>926</v>
      </c>
      <c r="F597" t="s">
        <v>916</v>
      </c>
      <c r="G597" t="s">
        <v>874</v>
      </c>
      <c r="H597" t="s">
        <v>875</v>
      </c>
      <c r="I597" t="s">
        <v>876</v>
      </c>
      <c r="J597" t="s">
        <v>36</v>
      </c>
      <c r="K597">
        <v>21012</v>
      </c>
      <c r="L597" t="s">
        <v>877</v>
      </c>
      <c r="M597" t="s">
        <v>878</v>
      </c>
      <c r="N597" t="s">
        <v>878</v>
      </c>
      <c r="O597">
        <v>21000</v>
      </c>
      <c r="P597" t="s">
        <v>46</v>
      </c>
      <c r="Q597" t="s">
        <v>47</v>
      </c>
      <c r="R597" t="s">
        <v>48</v>
      </c>
      <c r="T597" t="s">
        <v>36</v>
      </c>
      <c r="U597" t="s">
        <v>36</v>
      </c>
      <c r="V597" t="s">
        <v>36</v>
      </c>
      <c r="W597">
        <v>4000</v>
      </c>
      <c r="X597" t="s">
        <v>49</v>
      </c>
      <c r="Y597" t="s">
        <v>50</v>
      </c>
      <c r="Z597" t="s">
        <v>51</v>
      </c>
      <c r="AA597" t="s">
        <v>37</v>
      </c>
      <c r="AB597" t="s">
        <v>52</v>
      </c>
      <c r="AC597" t="s">
        <v>53</v>
      </c>
      <c r="AD597" t="s">
        <v>54</v>
      </c>
      <c r="AE597">
        <v>13.901757234</v>
      </c>
      <c r="AF597">
        <v>1821</v>
      </c>
      <c r="AG597">
        <v>1821.2352000999999</v>
      </c>
      <c r="AH597">
        <v>139019.814809</v>
      </c>
      <c r="AI597">
        <v>48</v>
      </c>
      <c r="AJ597">
        <v>16967.9498701878</v>
      </c>
      <c r="AK597" s="1">
        <f>intersection_ss_Lden___surface[[#This Row],[surf m2 bout ss]]/intersection_ss_Lden___surface[[#This Row],[Shape_Area]]</f>
        <v>0.12205418266094045</v>
      </c>
      <c r="AL597">
        <v>3871</v>
      </c>
      <c r="AM597">
        <f>intersection_ss_Lden___surface[[#This Row],[Population totale 2024 ss]]*intersection_ss_Lden___surface[[#This Row],[Part de la surface du qs dans le noise contour]]</f>
        <v>472.47174108050046</v>
      </c>
    </row>
    <row r="598" spans="1:39" x14ac:dyDescent="0.3">
      <c r="A598">
        <v>628</v>
      </c>
      <c r="B598" t="s">
        <v>927</v>
      </c>
      <c r="C598" t="s">
        <v>928</v>
      </c>
      <c r="D598" t="s">
        <v>928</v>
      </c>
      <c r="E598" t="s">
        <v>928</v>
      </c>
      <c r="F598" t="s">
        <v>916</v>
      </c>
      <c r="G598" t="s">
        <v>874</v>
      </c>
      <c r="H598" t="s">
        <v>875</v>
      </c>
      <c r="I598" t="s">
        <v>876</v>
      </c>
      <c r="J598" t="s">
        <v>36</v>
      </c>
      <c r="K598">
        <v>21012</v>
      </c>
      <c r="L598" t="s">
        <v>877</v>
      </c>
      <c r="M598" t="s">
        <v>878</v>
      </c>
      <c r="N598" t="s">
        <v>878</v>
      </c>
      <c r="O598">
        <v>21000</v>
      </c>
      <c r="P598" t="s">
        <v>46</v>
      </c>
      <c r="Q598" t="s">
        <v>47</v>
      </c>
      <c r="R598" t="s">
        <v>48</v>
      </c>
      <c r="T598" t="s">
        <v>36</v>
      </c>
      <c r="U598" t="s">
        <v>36</v>
      </c>
      <c r="V598" t="s">
        <v>36</v>
      </c>
      <c r="W598">
        <v>4000</v>
      </c>
      <c r="X598" t="s">
        <v>49</v>
      </c>
      <c r="Y598" t="s">
        <v>50</v>
      </c>
      <c r="Z598" t="s">
        <v>51</v>
      </c>
      <c r="AA598" t="s">
        <v>37</v>
      </c>
      <c r="AB598" t="s">
        <v>52</v>
      </c>
      <c r="AC598" t="s">
        <v>53</v>
      </c>
      <c r="AD598" t="s">
        <v>54</v>
      </c>
      <c r="AE598">
        <v>3.1859042933700001</v>
      </c>
      <c r="AF598">
        <v>999</v>
      </c>
      <c r="AG598">
        <v>999.30252309699995</v>
      </c>
      <c r="AH598">
        <v>31859.554734000001</v>
      </c>
      <c r="AI598">
        <v>47</v>
      </c>
      <c r="AJ598">
        <v>1338.1598384603899</v>
      </c>
      <c r="AK598" s="1">
        <f>intersection_ss_Lden___surface[[#This Row],[surf m2 bout ss]]/intersection_ss_Lden___surface[[#This Row],[Shape_Area]]</f>
        <v>4.2001837427825928E-2</v>
      </c>
      <c r="AL598">
        <v>801</v>
      </c>
      <c r="AM598">
        <f>intersection_ss_Lden___surface[[#This Row],[Population totale 2024 ss]]*intersection_ss_Lden___surface[[#This Row],[Part de la surface du qs dans le noise contour]]</f>
        <v>33.643471779688568</v>
      </c>
    </row>
    <row r="599" spans="1:39" x14ac:dyDescent="0.3">
      <c r="A599">
        <v>629</v>
      </c>
      <c r="B599" t="s">
        <v>927</v>
      </c>
      <c r="C599" t="s">
        <v>928</v>
      </c>
      <c r="D599" t="s">
        <v>928</v>
      </c>
      <c r="E599" t="s">
        <v>928</v>
      </c>
      <c r="F599" t="s">
        <v>916</v>
      </c>
      <c r="G599" t="s">
        <v>874</v>
      </c>
      <c r="H599" t="s">
        <v>875</v>
      </c>
      <c r="I599" t="s">
        <v>876</v>
      </c>
      <c r="J599" t="s">
        <v>36</v>
      </c>
      <c r="K599">
        <v>21012</v>
      </c>
      <c r="L599" t="s">
        <v>877</v>
      </c>
      <c r="M599" t="s">
        <v>878</v>
      </c>
      <c r="N599" t="s">
        <v>878</v>
      </c>
      <c r="O599">
        <v>21000</v>
      </c>
      <c r="P599" t="s">
        <v>46</v>
      </c>
      <c r="Q599" t="s">
        <v>47</v>
      </c>
      <c r="R599" t="s">
        <v>48</v>
      </c>
      <c r="T599" t="s">
        <v>36</v>
      </c>
      <c r="U599" t="s">
        <v>36</v>
      </c>
      <c r="V599" t="s">
        <v>36</v>
      </c>
      <c r="W599">
        <v>4000</v>
      </c>
      <c r="X599" t="s">
        <v>49</v>
      </c>
      <c r="Y599" t="s">
        <v>50</v>
      </c>
      <c r="Z599" t="s">
        <v>51</v>
      </c>
      <c r="AA599" t="s">
        <v>37</v>
      </c>
      <c r="AB599" t="s">
        <v>52</v>
      </c>
      <c r="AC599" t="s">
        <v>53</v>
      </c>
      <c r="AD599" t="s">
        <v>54</v>
      </c>
      <c r="AE599">
        <v>3.1859042933700001</v>
      </c>
      <c r="AF599">
        <v>999</v>
      </c>
      <c r="AG599">
        <v>999.30252309699995</v>
      </c>
      <c r="AH599">
        <v>31859.554734000001</v>
      </c>
      <c r="AI599">
        <v>48</v>
      </c>
      <c r="AJ599">
        <v>30524.4892270616</v>
      </c>
      <c r="AK599" s="1">
        <f>intersection_ss_Lden___surface[[#This Row],[surf m2 bout ss]]/intersection_ss_Lden___surface[[#This Row],[Shape_Area]]</f>
        <v>0.95809528670174282</v>
      </c>
      <c r="AL599">
        <v>801</v>
      </c>
      <c r="AM599">
        <f>intersection_ss_Lden___surface[[#This Row],[Population totale 2024 ss]]*intersection_ss_Lden___surface[[#This Row],[Part de la surface du qs dans le noise contour]]</f>
        <v>767.43432464809598</v>
      </c>
    </row>
    <row r="600" spans="1:39" x14ac:dyDescent="0.3">
      <c r="A600">
        <v>630</v>
      </c>
      <c r="B600" t="s">
        <v>929</v>
      </c>
      <c r="C600" t="s">
        <v>930</v>
      </c>
      <c r="D600" t="s">
        <v>931</v>
      </c>
      <c r="E600" t="s">
        <v>931</v>
      </c>
      <c r="F600" t="s">
        <v>916</v>
      </c>
      <c r="G600" t="s">
        <v>874</v>
      </c>
      <c r="H600" t="s">
        <v>875</v>
      </c>
      <c r="I600" t="s">
        <v>876</v>
      </c>
      <c r="J600" t="s">
        <v>36</v>
      </c>
      <c r="K600">
        <v>21012</v>
      </c>
      <c r="L600" t="s">
        <v>877</v>
      </c>
      <c r="M600" t="s">
        <v>878</v>
      </c>
      <c r="N600" t="s">
        <v>878</v>
      </c>
      <c r="O600">
        <v>21000</v>
      </c>
      <c r="P600" t="s">
        <v>46</v>
      </c>
      <c r="Q600" t="s">
        <v>47</v>
      </c>
      <c r="R600" t="s">
        <v>48</v>
      </c>
      <c r="T600" t="s">
        <v>36</v>
      </c>
      <c r="U600" t="s">
        <v>36</v>
      </c>
      <c r="V600" t="s">
        <v>36</v>
      </c>
      <c r="W600">
        <v>4000</v>
      </c>
      <c r="X600" t="s">
        <v>49</v>
      </c>
      <c r="Y600" t="s">
        <v>50</v>
      </c>
      <c r="Z600" t="s">
        <v>51</v>
      </c>
      <c r="AA600" t="s">
        <v>37</v>
      </c>
      <c r="AB600" t="s">
        <v>52</v>
      </c>
      <c r="AC600" t="s">
        <v>53</v>
      </c>
      <c r="AD600" t="s">
        <v>54</v>
      </c>
      <c r="AE600">
        <v>15.191499567899999</v>
      </c>
      <c r="AF600">
        <v>2012</v>
      </c>
      <c r="AG600">
        <v>2012.27498158</v>
      </c>
      <c r="AH600">
        <v>151917.42830500001</v>
      </c>
      <c r="AI600">
        <v>46</v>
      </c>
      <c r="AJ600">
        <v>53399.017059497499</v>
      </c>
      <c r="AK600" s="1">
        <f>intersection_ss_Lden___surface[[#This Row],[surf m2 bout ss]]/intersection_ss_Lden___surface[[#This Row],[Shape_Area]]</f>
        <v>0.35150026995118633</v>
      </c>
      <c r="AL600">
        <v>3944</v>
      </c>
      <c r="AM600">
        <f>intersection_ss_Lden___surface[[#This Row],[Population totale 2024 ss]]*intersection_ss_Lden___surface[[#This Row],[Part de la surface du qs dans le noise contour]]</f>
        <v>1386.3170646874789</v>
      </c>
    </row>
    <row r="601" spans="1:39" x14ac:dyDescent="0.3">
      <c r="A601">
        <v>631</v>
      </c>
      <c r="B601" t="s">
        <v>929</v>
      </c>
      <c r="C601" t="s">
        <v>930</v>
      </c>
      <c r="D601" t="s">
        <v>931</v>
      </c>
      <c r="E601" t="s">
        <v>931</v>
      </c>
      <c r="F601" t="s">
        <v>916</v>
      </c>
      <c r="G601" t="s">
        <v>874</v>
      </c>
      <c r="H601" t="s">
        <v>875</v>
      </c>
      <c r="I601" t="s">
        <v>876</v>
      </c>
      <c r="J601" t="s">
        <v>36</v>
      </c>
      <c r="K601">
        <v>21012</v>
      </c>
      <c r="L601" t="s">
        <v>877</v>
      </c>
      <c r="M601" t="s">
        <v>878</v>
      </c>
      <c r="N601" t="s">
        <v>878</v>
      </c>
      <c r="O601">
        <v>21000</v>
      </c>
      <c r="P601" t="s">
        <v>46</v>
      </c>
      <c r="Q601" t="s">
        <v>47</v>
      </c>
      <c r="R601" t="s">
        <v>48</v>
      </c>
      <c r="T601" t="s">
        <v>36</v>
      </c>
      <c r="U601" t="s">
        <v>36</v>
      </c>
      <c r="V601" t="s">
        <v>36</v>
      </c>
      <c r="W601">
        <v>4000</v>
      </c>
      <c r="X601" t="s">
        <v>49</v>
      </c>
      <c r="Y601" t="s">
        <v>50</v>
      </c>
      <c r="Z601" t="s">
        <v>51</v>
      </c>
      <c r="AA601" t="s">
        <v>37</v>
      </c>
      <c r="AB601" t="s">
        <v>52</v>
      </c>
      <c r="AC601" t="s">
        <v>53</v>
      </c>
      <c r="AD601" t="s">
        <v>54</v>
      </c>
      <c r="AE601">
        <v>15.191499567899999</v>
      </c>
      <c r="AF601">
        <v>2012</v>
      </c>
      <c r="AG601">
        <v>2012.27498158</v>
      </c>
      <c r="AH601">
        <v>151917.42830500001</v>
      </c>
      <c r="AI601">
        <v>47</v>
      </c>
      <c r="AJ601">
        <v>98533.227607466295</v>
      </c>
      <c r="AK601" s="1">
        <f>intersection_ss_Lden___surface[[#This Row],[surf m2 bout ss]]/intersection_ss_Lden___surface[[#This Row],[Shape_Area]]</f>
        <v>0.64859725909554056</v>
      </c>
      <c r="AL601">
        <v>3944</v>
      </c>
      <c r="AM601">
        <f>intersection_ss_Lden___surface[[#This Row],[Population totale 2024 ss]]*intersection_ss_Lden___surface[[#This Row],[Part de la surface du qs dans le noise contour]]</f>
        <v>2558.0675898728118</v>
      </c>
    </row>
    <row r="602" spans="1:39" x14ac:dyDescent="0.3">
      <c r="A602">
        <v>632</v>
      </c>
      <c r="B602" t="s">
        <v>932</v>
      </c>
      <c r="C602" t="s">
        <v>933</v>
      </c>
      <c r="D602" t="s">
        <v>934</v>
      </c>
      <c r="E602" t="s">
        <v>934</v>
      </c>
      <c r="F602" t="s">
        <v>916</v>
      </c>
      <c r="G602" t="s">
        <v>874</v>
      </c>
      <c r="H602" t="s">
        <v>875</v>
      </c>
      <c r="I602" t="s">
        <v>876</v>
      </c>
      <c r="J602" t="s">
        <v>36</v>
      </c>
      <c r="K602">
        <v>21012</v>
      </c>
      <c r="L602" t="s">
        <v>877</v>
      </c>
      <c r="M602" t="s">
        <v>878</v>
      </c>
      <c r="N602" t="s">
        <v>878</v>
      </c>
      <c r="O602">
        <v>21000</v>
      </c>
      <c r="P602" t="s">
        <v>46</v>
      </c>
      <c r="Q602" t="s">
        <v>47</v>
      </c>
      <c r="R602" t="s">
        <v>48</v>
      </c>
      <c r="T602" t="s">
        <v>36</v>
      </c>
      <c r="U602" t="s">
        <v>36</v>
      </c>
      <c r="V602" t="s">
        <v>36</v>
      </c>
      <c r="W602">
        <v>4000</v>
      </c>
      <c r="X602" t="s">
        <v>49</v>
      </c>
      <c r="Y602" t="s">
        <v>50</v>
      </c>
      <c r="Z602" t="s">
        <v>51</v>
      </c>
      <c r="AA602" t="s">
        <v>37</v>
      </c>
      <c r="AB602" t="s">
        <v>52</v>
      </c>
      <c r="AC602" t="s">
        <v>53</v>
      </c>
      <c r="AD602" t="s">
        <v>54</v>
      </c>
      <c r="AE602">
        <v>7.85459060192</v>
      </c>
      <c r="AF602">
        <v>1144</v>
      </c>
      <c r="AG602">
        <v>1143.8858794800001</v>
      </c>
      <c r="AH602">
        <v>78547.164418300003</v>
      </c>
      <c r="AI602">
        <v>47</v>
      </c>
      <c r="AJ602">
        <v>39225.533277772098</v>
      </c>
      <c r="AK602" s="1">
        <f>intersection_ss_Lden___surface[[#This Row],[surf m2 bout ss]]/intersection_ss_Lden___surface[[#This Row],[Shape_Area]]</f>
        <v>0.49938827923663776</v>
      </c>
      <c r="AL602">
        <v>0</v>
      </c>
      <c r="AM602">
        <f>intersection_ss_Lden___surface[[#This Row],[Population totale 2024 ss]]*intersection_ss_Lden___surface[[#This Row],[Part de la surface du qs dans le noise contour]]</f>
        <v>0</v>
      </c>
    </row>
    <row r="603" spans="1:39" x14ac:dyDescent="0.3">
      <c r="A603">
        <v>633</v>
      </c>
      <c r="B603" t="s">
        <v>932</v>
      </c>
      <c r="C603" t="s">
        <v>933</v>
      </c>
      <c r="D603" t="s">
        <v>934</v>
      </c>
      <c r="E603" t="s">
        <v>934</v>
      </c>
      <c r="F603" t="s">
        <v>916</v>
      </c>
      <c r="G603" t="s">
        <v>874</v>
      </c>
      <c r="H603" t="s">
        <v>875</v>
      </c>
      <c r="I603" t="s">
        <v>876</v>
      </c>
      <c r="J603" t="s">
        <v>36</v>
      </c>
      <c r="K603">
        <v>21012</v>
      </c>
      <c r="L603" t="s">
        <v>877</v>
      </c>
      <c r="M603" t="s">
        <v>878</v>
      </c>
      <c r="N603" t="s">
        <v>878</v>
      </c>
      <c r="O603">
        <v>21000</v>
      </c>
      <c r="P603" t="s">
        <v>46</v>
      </c>
      <c r="Q603" t="s">
        <v>47</v>
      </c>
      <c r="R603" t="s">
        <v>48</v>
      </c>
      <c r="T603" t="s">
        <v>36</v>
      </c>
      <c r="U603" t="s">
        <v>36</v>
      </c>
      <c r="V603" t="s">
        <v>36</v>
      </c>
      <c r="W603">
        <v>4000</v>
      </c>
      <c r="X603" t="s">
        <v>49</v>
      </c>
      <c r="Y603" t="s">
        <v>50</v>
      </c>
      <c r="Z603" t="s">
        <v>51</v>
      </c>
      <c r="AA603" t="s">
        <v>37</v>
      </c>
      <c r="AB603" t="s">
        <v>52</v>
      </c>
      <c r="AC603" t="s">
        <v>53</v>
      </c>
      <c r="AD603" t="s">
        <v>54</v>
      </c>
      <c r="AE603">
        <v>7.85459060192</v>
      </c>
      <c r="AF603">
        <v>1144</v>
      </c>
      <c r="AG603">
        <v>1143.8858794800001</v>
      </c>
      <c r="AH603">
        <v>78547.164418300003</v>
      </c>
      <c r="AI603">
        <v>48</v>
      </c>
      <c r="AJ603">
        <v>39329.303977205702</v>
      </c>
      <c r="AK603" s="1">
        <f>intersection_ss_Lden___surface[[#This Row],[surf m2 bout ss]]/intersection_ss_Lden___surface[[#This Row],[Shape_Area]]</f>
        <v>0.50070940521492224</v>
      </c>
      <c r="AL603">
        <v>0</v>
      </c>
      <c r="AM603">
        <f>intersection_ss_Lden___surface[[#This Row],[Population totale 2024 ss]]*intersection_ss_Lden___surface[[#This Row],[Part de la surface du qs dans le noise contour]]</f>
        <v>0</v>
      </c>
    </row>
    <row r="604" spans="1:39" x14ac:dyDescent="0.3">
      <c r="A604">
        <v>634</v>
      </c>
      <c r="B604" t="s">
        <v>935</v>
      </c>
      <c r="C604" t="s">
        <v>936</v>
      </c>
      <c r="D604" t="s">
        <v>937</v>
      </c>
      <c r="E604" t="s">
        <v>937</v>
      </c>
      <c r="F604" t="s">
        <v>916</v>
      </c>
      <c r="G604" t="s">
        <v>874</v>
      </c>
      <c r="H604" t="s">
        <v>875</v>
      </c>
      <c r="I604" t="s">
        <v>876</v>
      </c>
      <c r="J604" t="s">
        <v>36</v>
      </c>
      <c r="K604">
        <v>21012</v>
      </c>
      <c r="L604" t="s">
        <v>877</v>
      </c>
      <c r="M604" t="s">
        <v>878</v>
      </c>
      <c r="N604" t="s">
        <v>878</v>
      </c>
      <c r="O604">
        <v>21000</v>
      </c>
      <c r="P604" t="s">
        <v>46</v>
      </c>
      <c r="Q604" t="s">
        <v>47</v>
      </c>
      <c r="R604" t="s">
        <v>48</v>
      </c>
      <c r="T604" t="s">
        <v>36</v>
      </c>
      <c r="U604" t="s">
        <v>36</v>
      </c>
      <c r="V604" t="s">
        <v>36</v>
      </c>
      <c r="W604">
        <v>4000</v>
      </c>
      <c r="X604" t="s">
        <v>49</v>
      </c>
      <c r="Y604" t="s">
        <v>50</v>
      </c>
      <c r="Z604" t="s">
        <v>51</v>
      </c>
      <c r="AA604" t="s">
        <v>37</v>
      </c>
      <c r="AB604" t="s">
        <v>52</v>
      </c>
      <c r="AC604" t="s">
        <v>53</v>
      </c>
      <c r="AD604" t="s">
        <v>54</v>
      </c>
      <c r="AE604">
        <v>11.866766677799999</v>
      </c>
      <c r="AF604">
        <v>2122</v>
      </c>
      <c r="AG604">
        <v>2122.34730188</v>
      </c>
      <c r="AH604">
        <v>118669.568457</v>
      </c>
      <c r="AI604">
        <v>47</v>
      </c>
      <c r="AJ604">
        <v>6750.6307240128499</v>
      </c>
      <c r="AK604" s="1">
        <f>intersection_ss_Lden___surface[[#This Row],[surf m2 bout ss]]/intersection_ss_Lden___surface[[#This Row],[Shape_Area]]</f>
        <v>5.6885946513397373E-2</v>
      </c>
      <c r="AL604">
        <v>65</v>
      </c>
      <c r="AM604">
        <f>intersection_ss_Lden___surface[[#This Row],[Population totale 2024 ss]]*intersection_ss_Lden___surface[[#This Row],[Part de la surface du qs dans le noise contour]]</f>
        <v>3.6975865233708292</v>
      </c>
    </row>
    <row r="605" spans="1:39" x14ac:dyDescent="0.3">
      <c r="A605">
        <v>635</v>
      </c>
      <c r="B605" t="s">
        <v>935</v>
      </c>
      <c r="C605" t="s">
        <v>936</v>
      </c>
      <c r="D605" t="s">
        <v>937</v>
      </c>
      <c r="E605" t="s">
        <v>937</v>
      </c>
      <c r="F605" t="s">
        <v>916</v>
      </c>
      <c r="G605" t="s">
        <v>874</v>
      </c>
      <c r="H605" t="s">
        <v>875</v>
      </c>
      <c r="I605" t="s">
        <v>876</v>
      </c>
      <c r="J605" t="s">
        <v>36</v>
      </c>
      <c r="K605">
        <v>21012</v>
      </c>
      <c r="L605" t="s">
        <v>877</v>
      </c>
      <c r="M605" t="s">
        <v>878</v>
      </c>
      <c r="N605" t="s">
        <v>878</v>
      </c>
      <c r="O605">
        <v>21000</v>
      </c>
      <c r="P605" t="s">
        <v>46</v>
      </c>
      <c r="Q605" t="s">
        <v>47</v>
      </c>
      <c r="R605" t="s">
        <v>48</v>
      </c>
      <c r="T605" t="s">
        <v>36</v>
      </c>
      <c r="U605" t="s">
        <v>36</v>
      </c>
      <c r="V605" t="s">
        <v>36</v>
      </c>
      <c r="W605">
        <v>4000</v>
      </c>
      <c r="X605" t="s">
        <v>49</v>
      </c>
      <c r="Y605" t="s">
        <v>50</v>
      </c>
      <c r="Z605" t="s">
        <v>51</v>
      </c>
      <c r="AA605" t="s">
        <v>37</v>
      </c>
      <c r="AB605" t="s">
        <v>52</v>
      </c>
      <c r="AC605" t="s">
        <v>53</v>
      </c>
      <c r="AD605" t="s">
        <v>54</v>
      </c>
      <c r="AE605">
        <v>11.866766677799999</v>
      </c>
      <c r="AF605">
        <v>2122</v>
      </c>
      <c r="AG605">
        <v>2122.34730188</v>
      </c>
      <c r="AH605">
        <v>118669.568457</v>
      </c>
      <c r="AI605">
        <v>48</v>
      </c>
      <c r="AJ605">
        <v>111930.47803746301</v>
      </c>
      <c r="AK605" s="1">
        <f>intersection_ss_Lden___surface[[#This Row],[surf m2 bout ss]]/intersection_ss_Lden___surface[[#This Row],[Shape_Area]]</f>
        <v>0.94321130086540339</v>
      </c>
      <c r="AL605">
        <v>65</v>
      </c>
      <c r="AM605">
        <f>intersection_ss_Lden___surface[[#This Row],[Population totale 2024 ss]]*intersection_ss_Lden___surface[[#This Row],[Part de la surface du qs dans le noise contour]]</f>
        <v>61.308734556251217</v>
      </c>
    </row>
    <row r="606" spans="1:39" x14ac:dyDescent="0.3">
      <c r="A606">
        <v>636</v>
      </c>
      <c r="B606" t="s">
        <v>938</v>
      </c>
      <c r="C606" t="s">
        <v>939</v>
      </c>
      <c r="D606" t="s">
        <v>939</v>
      </c>
      <c r="E606" t="s">
        <v>939</v>
      </c>
      <c r="F606" t="s">
        <v>940</v>
      </c>
      <c r="G606" t="s">
        <v>874</v>
      </c>
      <c r="H606" t="s">
        <v>875</v>
      </c>
      <c r="I606" t="s">
        <v>876</v>
      </c>
      <c r="J606" t="s">
        <v>36</v>
      </c>
      <c r="K606">
        <v>21012</v>
      </c>
      <c r="L606" t="s">
        <v>877</v>
      </c>
      <c r="M606" t="s">
        <v>878</v>
      </c>
      <c r="N606" t="s">
        <v>878</v>
      </c>
      <c r="O606">
        <v>21000</v>
      </c>
      <c r="P606" t="s">
        <v>46</v>
      </c>
      <c r="Q606" t="s">
        <v>47</v>
      </c>
      <c r="R606" t="s">
        <v>48</v>
      </c>
      <c r="T606" t="s">
        <v>36</v>
      </c>
      <c r="U606" t="s">
        <v>36</v>
      </c>
      <c r="V606" t="s">
        <v>36</v>
      </c>
      <c r="W606">
        <v>4000</v>
      </c>
      <c r="X606" t="s">
        <v>49</v>
      </c>
      <c r="Y606" t="s">
        <v>50</v>
      </c>
      <c r="Z606" t="s">
        <v>51</v>
      </c>
      <c r="AA606" t="s">
        <v>37</v>
      </c>
      <c r="AB606" t="s">
        <v>52</v>
      </c>
      <c r="AC606" t="s">
        <v>53</v>
      </c>
      <c r="AD606" t="s">
        <v>54</v>
      </c>
      <c r="AE606">
        <v>21.520508599700001</v>
      </c>
      <c r="AF606">
        <v>2233</v>
      </c>
      <c r="AG606">
        <v>2233.0280907599999</v>
      </c>
      <c r="AH606">
        <v>215208.55851999999</v>
      </c>
      <c r="AI606">
        <v>46</v>
      </c>
      <c r="AJ606">
        <v>215229.64361207801</v>
      </c>
      <c r="AK606" s="1">
        <f>intersection_ss_Lden___surface[[#This Row],[surf m2 bout ss]]/intersection_ss_Lden___surface[[#This Row],[Shape_Area]]</f>
        <v>1.000097975155928</v>
      </c>
      <c r="AL606">
        <v>2289</v>
      </c>
      <c r="AM606">
        <f>intersection_ss_Lden___surface[[#This Row],[Population totale 2024 ss]]*intersection_ss_Lden___surface[[#This Row],[Part de la surface du qs dans le noise contour]]</f>
        <v>2289.2242651319193</v>
      </c>
    </row>
    <row r="607" spans="1:39" x14ac:dyDescent="0.3">
      <c r="A607">
        <v>637</v>
      </c>
      <c r="B607" t="s">
        <v>941</v>
      </c>
      <c r="C607" t="s">
        <v>942</v>
      </c>
      <c r="D607" t="s">
        <v>942</v>
      </c>
      <c r="E607" t="s">
        <v>942</v>
      </c>
      <c r="F607" t="s">
        <v>940</v>
      </c>
      <c r="G607" t="s">
        <v>874</v>
      </c>
      <c r="H607" t="s">
        <v>875</v>
      </c>
      <c r="I607" t="s">
        <v>876</v>
      </c>
      <c r="J607" t="s">
        <v>36</v>
      </c>
      <c r="K607">
        <v>21012</v>
      </c>
      <c r="L607" t="s">
        <v>877</v>
      </c>
      <c r="M607" t="s">
        <v>878</v>
      </c>
      <c r="N607" t="s">
        <v>878</v>
      </c>
      <c r="O607">
        <v>21000</v>
      </c>
      <c r="P607" t="s">
        <v>46</v>
      </c>
      <c r="Q607" t="s">
        <v>47</v>
      </c>
      <c r="R607" t="s">
        <v>48</v>
      </c>
      <c r="T607" t="s">
        <v>36</v>
      </c>
      <c r="U607" t="s">
        <v>36</v>
      </c>
      <c r="V607" t="s">
        <v>36</v>
      </c>
      <c r="W607">
        <v>4000</v>
      </c>
      <c r="X607" t="s">
        <v>49</v>
      </c>
      <c r="Y607" t="s">
        <v>50</v>
      </c>
      <c r="Z607" t="s">
        <v>51</v>
      </c>
      <c r="AA607" t="s">
        <v>37</v>
      </c>
      <c r="AB607" t="s">
        <v>52</v>
      </c>
      <c r="AC607" t="s">
        <v>53</v>
      </c>
      <c r="AD607" t="s">
        <v>54</v>
      </c>
      <c r="AE607">
        <v>45.633215219599997</v>
      </c>
      <c r="AF607">
        <v>3269</v>
      </c>
      <c r="AG607">
        <v>3269.2086676899999</v>
      </c>
      <c r="AH607">
        <v>456339.46717199998</v>
      </c>
      <c r="AI607">
        <v>45</v>
      </c>
      <c r="AJ607">
        <v>299563.80902123603</v>
      </c>
      <c r="AK607" s="1">
        <f>intersection_ss_Lden___surface[[#This Row],[surf m2 bout ss]]/intersection_ss_Lden___surface[[#This Row],[Shape_Area]]</f>
        <v>0.65644948677719062</v>
      </c>
      <c r="AL607">
        <v>85</v>
      </c>
      <c r="AM607">
        <f>intersection_ss_Lden___surface[[#This Row],[Population totale 2024 ss]]*intersection_ss_Lden___surface[[#This Row],[Part de la surface du qs dans le noise contour]]</f>
        <v>55.798206376061202</v>
      </c>
    </row>
    <row r="608" spans="1:39" x14ac:dyDescent="0.3">
      <c r="A608">
        <v>638</v>
      </c>
      <c r="B608" t="s">
        <v>941</v>
      </c>
      <c r="C608" t="s">
        <v>942</v>
      </c>
      <c r="D608" t="s">
        <v>942</v>
      </c>
      <c r="E608" t="s">
        <v>942</v>
      </c>
      <c r="F608" t="s">
        <v>940</v>
      </c>
      <c r="G608" t="s">
        <v>874</v>
      </c>
      <c r="H608" t="s">
        <v>875</v>
      </c>
      <c r="I608" t="s">
        <v>876</v>
      </c>
      <c r="J608" t="s">
        <v>36</v>
      </c>
      <c r="K608">
        <v>21012</v>
      </c>
      <c r="L608" t="s">
        <v>877</v>
      </c>
      <c r="M608" t="s">
        <v>878</v>
      </c>
      <c r="N608" t="s">
        <v>878</v>
      </c>
      <c r="O608">
        <v>21000</v>
      </c>
      <c r="P608" t="s">
        <v>46</v>
      </c>
      <c r="Q608" t="s">
        <v>47</v>
      </c>
      <c r="R608" t="s">
        <v>48</v>
      </c>
      <c r="T608" t="s">
        <v>36</v>
      </c>
      <c r="U608" t="s">
        <v>36</v>
      </c>
      <c r="V608" t="s">
        <v>36</v>
      </c>
      <c r="W608">
        <v>4000</v>
      </c>
      <c r="X608" t="s">
        <v>49</v>
      </c>
      <c r="Y608" t="s">
        <v>50</v>
      </c>
      <c r="Z608" t="s">
        <v>51</v>
      </c>
      <c r="AA608" t="s">
        <v>37</v>
      </c>
      <c r="AB608" t="s">
        <v>52</v>
      </c>
      <c r="AC608" t="s">
        <v>53</v>
      </c>
      <c r="AD608" t="s">
        <v>54</v>
      </c>
      <c r="AE608">
        <v>45.633215219599997</v>
      </c>
      <c r="AF608">
        <v>3269</v>
      </c>
      <c r="AG608">
        <v>3269.2086676899999</v>
      </c>
      <c r="AH608">
        <v>456339.46717199998</v>
      </c>
      <c r="AI608">
        <v>46</v>
      </c>
      <c r="AJ608">
        <v>156820.11121394299</v>
      </c>
      <c r="AK608" s="1">
        <f>intersection_ss_Lden___surface[[#This Row],[surf m2 bout ss]]/intersection_ss_Lden___surface[[#This Row],[Shape_Area]]</f>
        <v>0.34364792549235185</v>
      </c>
      <c r="AL608">
        <v>85</v>
      </c>
      <c r="AM608">
        <f>intersection_ss_Lden___surface[[#This Row],[Population totale 2024 ss]]*intersection_ss_Lden___surface[[#This Row],[Part de la surface du qs dans le noise contour]]</f>
        <v>29.210073666849908</v>
      </c>
    </row>
    <row r="609" spans="1:39" x14ac:dyDescent="0.3">
      <c r="A609">
        <v>639</v>
      </c>
      <c r="B609" t="s">
        <v>943</v>
      </c>
      <c r="C609" t="s">
        <v>119</v>
      </c>
      <c r="D609" t="s">
        <v>119</v>
      </c>
      <c r="E609" t="s">
        <v>119</v>
      </c>
      <c r="F609" t="s">
        <v>944</v>
      </c>
      <c r="G609" t="s">
        <v>874</v>
      </c>
      <c r="H609" t="s">
        <v>875</v>
      </c>
      <c r="I609" t="s">
        <v>876</v>
      </c>
      <c r="J609" t="s">
        <v>36</v>
      </c>
      <c r="K609">
        <v>21012</v>
      </c>
      <c r="L609" t="s">
        <v>877</v>
      </c>
      <c r="M609" t="s">
        <v>878</v>
      </c>
      <c r="N609" t="s">
        <v>878</v>
      </c>
      <c r="O609">
        <v>21000</v>
      </c>
      <c r="P609" t="s">
        <v>46</v>
      </c>
      <c r="Q609" t="s">
        <v>47</v>
      </c>
      <c r="R609" t="s">
        <v>48</v>
      </c>
      <c r="T609" t="s">
        <v>36</v>
      </c>
      <c r="U609" t="s">
        <v>36</v>
      </c>
      <c r="V609" t="s">
        <v>36</v>
      </c>
      <c r="W609">
        <v>4000</v>
      </c>
      <c r="X609" t="s">
        <v>49</v>
      </c>
      <c r="Y609" t="s">
        <v>50</v>
      </c>
      <c r="Z609" t="s">
        <v>51</v>
      </c>
      <c r="AA609" t="s">
        <v>37</v>
      </c>
      <c r="AB609" t="s">
        <v>52</v>
      </c>
      <c r="AC609" t="s">
        <v>53</v>
      </c>
      <c r="AD609" t="s">
        <v>54</v>
      </c>
      <c r="AE609">
        <v>24.4328953021</v>
      </c>
      <c r="AF609">
        <v>3435</v>
      </c>
      <c r="AG609">
        <v>3435.4143568700001</v>
      </c>
      <c r="AH609">
        <v>244332.89815699999</v>
      </c>
      <c r="AI609">
        <v>45</v>
      </c>
      <c r="AJ609">
        <v>35989.703018977802</v>
      </c>
      <c r="AK609" s="1">
        <f>intersection_ss_Lden___surface[[#This Row],[surf m2 bout ss]]/intersection_ss_Lden___surface[[#This Row],[Shape_Area]]</f>
        <v>0.14729781904298472</v>
      </c>
      <c r="AL609">
        <v>1686</v>
      </c>
      <c r="AM609">
        <f>intersection_ss_Lden___surface[[#This Row],[Population totale 2024 ss]]*intersection_ss_Lden___surface[[#This Row],[Part de la surface du qs dans le noise contour]]</f>
        <v>248.34412290647225</v>
      </c>
    </row>
    <row r="610" spans="1:39" x14ac:dyDescent="0.3">
      <c r="A610">
        <v>640</v>
      </c>
      <c r="B610" t="s">
        <v>943</v>
      </c>
      <c r="C610" t="s">
        <v>119</v>
      </c>
      <c r="D610" t="s">
        <v>119</v>
      </c>
      <c r="E610" t="s">
        <v>119</v>
      </c>
      <c r="F610" t="s">
        <v>944</v>
      </c>
      <c r="G610" t="s">
        <v>874</v>
      </c>
      <c r="H610" t="s">
        <v>875</v>
      </c>
      <c r="I610" t="s">
        <v>876</v>
      </c>
      <c r="J610" t="s">
        <v>36</v>
      </c>
      <c r="K610">
        <v>21012</v>
      </c>
      <c r="L610" t="s">
        <v>877</v>
      </c>
      <c r="M610" t="s">
        <v>878</v>
      </c>
      <c r="N610" t="s">
        <v>878</v>
      </c>
      <c r="O610">
        <v>21000</v>
      </c>
      <c r="P610" t="s">
        <v>46</v>
      </c>
      <c r="Q610" t="s">
        <v>47</v>
      </c>
      <c r="R610" t="s">
        <v>48</v>
      </c>
      <c r="T610" t="s">
        <v>36</v>
      </c>
      <c r="U610" t="s">
        <v>36</v>
      </c>
      <c r="V610" t="s">
        <v>36</v>
      </c>
      <c r="W610">
        <v>4000</v>
      </c>
      <c r="X610" t="s">
        <v>49</v>
      </c>
      <c r="Y610" t="s">
        <v>50</v>
      </c>
      <c r="Z610" t="s">
        <v>51</v>
      </c>
      <c r="AA610" t="s">
        <v>37</v>
      </c>
      <c r="AB610" t="s">
        <v>52</v>
      </c>
      <c r="AC610" t="s">
        <v>53</v>
      </c>
      <c r="AD610" t="s">
        <v>54</v>
      </c>
      <c r="AE610">
        <v>24.4328953021</v>
      </c>
      <c r="AF610">
        <v>3435</v>
      </c>
      <c r="AG610">
        <v>3435.4143568700001</v>
      </c>
      <c r="AH610">
        <v>244332.89815699999</v>
      </c>
      <c r="AI610">
        <v>46</v>
      </c>
      <c r="AJ610">
        <v>208367.24400919201</v>
      </c>
      <c r="AK610" s="1">
        <f>intersection_ss_Lden___surface[[#This Row],[surf m2 bout ss]]/intersection_ss_Lden___surface[[#This Row],[Shape_Area]]</f>
        <v>0.85280060761732679</v>
      </c>
      <c r="AL610">
        <v>1686</v>
      </c>
      <c r="AM610">
        <f>intersection_ss_Lden___surface[[#This Row],[Population totale 2024 ss]]*intersection_ss_Lden___surface[[#This Row],[Part de la surface du qs dans le noise contour]]</f>
        <v>1437.8218244428131</v>
      </c>
    </row>
    <row r="611" spans="1:39" x14ac:dyDescent="0.3">
      <c r="A611">
        <v>641</v>
      </c>
      <c r="B611" t="s">
        <v>945</v>
      </c>
      <c r="C611" t="s">
        <v>946</v>
      </c>
      <c r="D611" t="s">
        <v>946</v>
      </c>
      <c r="E611" t="s">
        <v>946</v>
      </c>
      <c r="F611" t="s">
        <v>947</v>
      </c>
      <c r="G611" t="s">
        <v>874</v>
      </c>
      <c r="H611" t="s">
        <v>875</v>
      </c>
      <c r="I611" t="s">
        <v>876</v>
      </c>
      <c r="J611" t="s">
        <v>36</v>
      </c>
      <c r="K611">
        <v>21012</v>
      </c>
      <c r="L611" t="s">
        <v>877</v>
      </c>
      <c r="M611" t="s">
        <v>878</v>
      </c>
      <c r="N611" t="s">
        <v>878</v>
      </c>
      <c r="O611">
        <v>21000</v>
      </c>
      <c r="P611" t="s">
        <v>46</v>
      </c>
      <c r="Q611" t="s">
        <v>47</v>
      </c>
      <c r="R611" t="s">
        <v>48</v>
      </c>
      <c r="T611" t="s">
        <v>36</v>
      </c>
      <c r="U611" t="s">
        <v>36</v>
      </c>
      <c r="V611" t="s">
        <v>36</v>
      </c>
      <c r="W611">
        <v>4000</v>
      </c>
      <c r="X611" t="s">
        <v>49</v>
      </c>
      <c r="Y611" t="s">
        <v>50</v>
      </c>
      <c r="Z611" t="s">
        <v>51</v>
      </c>
      <c r="AA611" t="s">
        <v>37</v>
      </c>
      <c r="AB611" t="s">
        <v>52</v>
      </c>
      <c r="AC611" t="s">
        <v>53</v>
      </c>
      <c r="AD611" t="s">
        <v>54</v>
      </c>
      <c r="AE611">
        <v>17.721974993700002</v>
      </c>
      <c r="AF611">
        <v>3254</v>
      </c>
      <c r="AG611">
        <v>3253.5466856200001</v>
      </c>
      <c r="AH611">
        <v>177222.58405899999</v>
      </c>
      <c r="AI611">
        <v>45</v>
      </c>
      <c r="AJ611">
        <v>112509.45752774899</v>
      </c>
      <c r="AK611" s="1">
        <f>intersection_ss_Lden___surface[[#This Row],[surf m2 bout ss]]/intersection_ss_Lden___surface[[#This Row],[Shape_Area]]</f>
        <v>0.63484830742730258</v>
      </c>
      <c r="AL611">
        <v>3407</v>
      </c>
      <c r="AM611">
        <f>intersection_ss_Lden___surface[[#This Row],[Population totale 2024 ss]]*intersection_ss_Lden___surface[[#This Row],[Part de la surface du qs dans le noise contour]]</f>
        <v>2162.9281834048197</v>
      </c>
    </row>
    <row r="612" spans="1:39" x14ac:dyDescent="0.3">
      <c r="A612">
        <v>642</v>
      </c>
      <c r="B612" t="s">
        <v>945</v>
      </c>
      <c r="C612" t="s">
        <v>946</v>
      </c>
      <c r="D612" t="s">
        <v>946</v>
      </c>
      <c r="E612" t="s">
        <v>946</v>
      </c>
      <c r="F612" t="s">
        <v>947</v>
      </c>
      <c r="G612" t="s">
        <v>874</v>
      </c>
      <c r="H612" t="s">
        <v>875</v>
      </c>
      <c r="I612" t="s">
        <v>876</v>
      </c>
      <c r="J612" t="s">
        <v>36</v>
      </c>
      <c r="K612">
        <v>21012</v>
      </c>
      <c r="L612" t="s">
        <v>877</v>
      </c>
      <c r="M612" t="s">
        <v>878</v>
      </c>
      <c r="N612" t="s">
        <v>878</v>
      </c>
      <c r="O612">
        <v>21000</v>
      </c>
      <c r="P612" t="s">
        <v>46</v>
      </c>
      <c r="Q612" t="s">
        <v>47</v>
      </c>
      <c r="R612" t="s">
        <v>48</v>
      </c>
      <c r="T612" t="s">
        <v>36</v>
      </c>
      <c r="U612" t="s">
        <v>36</v>
      </c>
      <c r="V612" t="s">
        <v>36</v>
      </c>
      <c r="W612">
        <v>4000</v>
      </c>
      <c r="X612" t="s">
        <v>49</v>
      </c>
      <c r="Y612" t="s">
        <v>50</v>
      </c>
      <c r="Z612" t="s">
        <v>51</v>
      </c>
      <c r="AA612" t="s">
        <v>37</v>
      </c>
      <c r="AB612" t="s">
        <v>52</v>
      </c>
      <c r="AC612" t="s">
        <v>53</v>
      </c>
      <c r="AD612" t="s">
        <v>54</v>
      </c>
      <c r="AE612">
        <v>17.721974993700002</v>
      </c>
      <c r="AF612">
        <v>3254</v>
      </c>
      <c r="AG612">
        <v>3253.5466856200001</v>
      </c>
      <c r="AH612">
        <v>177222.58405899999</v>
      </c>
      <c r="AI612">
        <v>46</v>
      </c>
      <c r="AJ612">
        <v>64730.011103046403</v>
      </c>
      <c r="AK612" s="1">
        <f>intersection_ss_Lden___surface[[#This Row],[surf m2 bout ss]]/intersection_ss_Lden___surface[[#This Row],[Shape_Area]]</f>
        <v>0.36524696582404442</v>
      </c>
      <c r="AL612">
        <v>3407</v>
      </c>
      <c r="AM612">
        <f>intersection_ss_Lden___surface[[#This Row],[Population totale 2024 ss]]*intersection_ss_Lden___surface[[#This Row],[Part de la surface du qs dans le noise contour]]</f>
        <v>1244.3964125625193</v>
      </c>
    </row>
    <row r="613" spans="1:39" x14ac:dyDescent="0.3">
      <c r="A613">
        <v>643</v>
      </c>
      <c r="B613" t="s">
        <v>948</v>
      </c>
      <c r="C613" t="s">
        <v>949</v>
      </c>
      <c r="D613" t="s">
        <v>950</v>
      </c>
      <c r="E613" t="s">
        <v>950</v>
      </c>
      <c r="F613" t="s">
        <v>947</v>
      </c>
      <c r="G613" t="s">
        <v>874</v>
      </c>
      <c r="H613" t="s">
        <v>875</v>
      </c>
      <c r="I613" t="s">
        <v>876</v>
      </c>
      <c r="J613" t="s">
        <v>36</v>
      </c>
      <c r="K613">
        <v>21012</v>
      </c>
      <c r="L613" t="s">
        <v>877</v>
      </c>
      <c r="M613" t="s">
        <v>878</v>
      </c>
      <c r="N613" t="s">
        <v>878</v>
      </c>
      <c r="O613">
        <v>21000</v>
      </c>
      <c r="P613" t="s">
        <v>46</v>
      </c>
      <c r="Q613" t="s">
        <v>47</v>
      </c>
      <c r="R613" t="s">
        <v>48</v>
      </c>
      <c r="T613" t="s">
        <v>36</v>
      </c>
      <c r="U613" t="s">
        <v>36</v>
      </c>
      <c r="V613" t="s">
        <v>36</v>
      </c>
      <c r="W613">
        <v>4000</v>
      </c>
      <c r="X613" t="s">
        <v>49</v>
      </c>
      <c r="Y613" t="s">
        <v>50</v>
      </c>
      <c r="Z613" t="s">
        <v>51</v>
      </c>
      <c r="AA613" t="s">
        <v>37</v>
      </c>
      <c r="AB613" t="s">
        <v>52</v>
      </c>
      <c r="AC613" t="s">
        <v>53</v>
      </c>
      <c r="AD613" t="s">
        <v>54</v>
      </c>
      <c r="AE613">
        <v>15.7757471001</v>
      </c>
      <c r="AF613">
        <v>1820</v>
      </c>
      <c r="AG613">
        <v>1819.9729192299999</v>
      </c>
      <c r="AH613">
        <v>157760.003967</v>
      </c>
      <c r="AI613">
        <v>46</v>
      </c>
      <c r="AJ613">
        <v>54190.537155747399</v>
      </c>
      <c r="AK613" s="1">
        <f>intersection_ss_Lden___surface[[#This Row],[surf m2 bout ss]]/intersection_ss_Lden___surface[[#This Row],[Shape_Area]]</f>
        <v>0.34349984655859223</v>
      </c>
      <c r="AL613">
        <v>3084</v>
      </c>
      <c r="AM613">
        <f>intersection_ss_Lden___surface[[#This Row],[Population totale 2024 ss]]*intersection_ss_Lden___surface[[#This Row],[Part de la surface du qs dans le noise contour]]</f>
        <v>1059.3535267866985</v>
      </c>
    </row>
    <row r="614" spans="1:39" x14ac:dyDescent="0.3">
      <c r="A614">
        <v>644</v>
      </c>
      <c r="B614" t="s">
        <v>948</v>
      </c>
      <c r="C614" t="s">
        <v>949</v>
      </c>
      <c r="D614" t="s">
        <v>950</v>
      </c>
      <c r="E614" t="s">
        <v>950</v>
      </c>
      <c r="F614" t="s">
        <v>947</v>
      </c>
      <c r="G614" t="s">
        <v>874</v>
      </c>
      <c r="H614" t="s">
        <v>875</v>
      </c>
      <c r="I614" t="s">
        <v>876</v>
      </c>
      <c r="J614" t="s">
        <v>36</v>
      </c>
      <c r="K614">
        <v>21012</v>
      </c>
      <c r="L614" t="s">
        <v>877</v>
      </c>
      <c r="M614" t="s">
        <v>878</v>
      </c>
      <c r="N614" t="s">
        <v>878</v>
      </c>
      <c r="O614">
        <v>21000</v>
      </c>
      <c r="P614" t="s">
        <v>46</v>
      </c>
      <c r="Q614" t="s">
        <v>47</v>
      </c>
      <c r="R614" t="s">
        <v>48</v>
      </c>
      <c r="T614" t="s">
        <v>36</v>
      </c>
      <c r="U614" t="s">
        <v>36</v>
      </c>
      <c r="V614" t="s">
        <v>36</v>
      </c>
      <c r="W614">
        <v>4000</v>
      </c>
      <c r="X614" t="s">
        <v>49</v>
      </c>
      <c r="Y614" t="s">
        <v>50</v>
      </c>
      <c r="Z614" t="s">
        <v>51</v>
      </c>
      <c r="AA614" t="s">
        <v>37</v>
      </c>
      <c r="AB614" t="s">
        <v>52</v>
      </c>
      <c r="AC614" t="s">
        <v>53</v>
      </c>
      <c r="AD614" t="s">
        <v>54</v>
      </c>
      <c r="AE614">
        <v>15.7757471001</v>
      </c>
      <c r="AF614">
        <v>1820</v>
      </c>
      <c r="AG614">
        <v>1819.9729192299999</v>
      </c>
      <c r="AH614">
        <v>157760.003967</v>
      </c>
      <c r="AI614">
        <v>47</v>
      </c>
      <c r="AJ614">
        <v>103584.68613962299</v>
      </c>
      <c r="AK614" s="1">
        <f>intersection_ss_Lden___surface[[#This Row],[surf m2 bout ss]]/intersection_ss_Lden___surface[[#This Row],[Shape_Area]]</f>
        <v>0.65659662484092407</v>
      </c>
      <c r="AL614">
        <v>3084</v>
      </c>
      <c r="AM614">
        <f>intersection_ss_Lden___surface[[#This Row],[Population totale 2024 ss]]*intersection_ss_Lden___surface[[#This Row],[Part de la surface du qs dans le noise contour]]</f>
        <v>2024.9439910094097</v>
      </c>
    </row>
    <row r="615" spans="1:39" x14ac:dyDescent="0.3">
      <c r="A615">
        <v>645</v>
      </c>
      <c r="B615" t="s">
        <v>951</v>
      </c>
      <c r="C615" t="s">
        <v>952</v>
      </c>
      <c r="D615" t="s">
        <v>953</v>
      </c>
      <c r="E615" t="s">
        <v>953</v>
      </c>
      <c r="F615" t="s">
        <v>947</v>
      </c>
      <c r="G615" t="s">
        <v>874</v>
      </c>
      <c r="H615" t="s">
        <v>875</v>
      </c>
      <c r="I615" t="s">
        <v>876</v>
      </c>
      <c r="J615" t="s">
        <v>36</v>
      </c>
      <c r="K615">
        <v>21012</v>
      </c>
      <c r="L615" t="s">
        <v>877</v>
      </c>
      <c r="M615" t="s">
        <v>878</v>
      </c>
      <c r="N615" t="s">
        <v>878</v>
      </c>
      <c r="O615">
        <v>21000</v>
      </c>
      <c r="P615" t="s">
        <v>46</v>
      </c>
      <c r="Q615" t="s">
        <v>47</v>
      </c>
      <c r="R615" t="s">
        <v>48</v>
      </c>
      <c r="T615" t="s">
        <v>36</v>
      </c>
      <c r="U615" t="s">
        <v>36</v>
      </c>
      <c r="V615" t="s">
        <v>36</v>
      </c>
      <c r="W615">
        <v>4000</v>
      </c>
      <c r="X615" t="s">
        <v>49</v>
      </c>
      <c r="Y615" t="s">
        <v>50</v>
      </c>
      <c r="Z615" t="s">
        <v>51</v>
      </c>
      <c r="AA615" t="s">
        <v>37</v>
      </c>
      <c r="AB615" t="s">
        <v>52</v>
      </c>
      <c r="AC615" t="s">
        <v>53</v>
      </c>
      <c r="AD615" t="s">
        <v>54</v>
      </c>
      <c r="AE615">
        <v>21.267666585899999</v>
      </c>
      <c r="AF615">
        <v>2665</v>
      </c>
      <c r="AG615">
        <v>2665.0309694699999</v>
      </c>
      <c r="AH615">
        <v>212680.09346800001</v>
      </c>
      <c r="AI615">
        <v>46</v>
      </c>
      <c r="AJ615">
        <v>17673.175958904401</v>
      </c>
      <c r="AK615" s="1">
        <f>intersection_ss_Lden___surface[[#This Row],[surf m2 bout ss]]/intersection_ss_Lden___surface[[#This Row],[Shape_Area]]</f>
        <v>8.3097461876767129E-2</v>
      </c>
      <c r="AL615">
        <v>4112</v>
      </c>
      <c r="AM615">
        <f>intersection_ss_Lden___surface[[#This Row],[Population totale 2024 ss]]*intersection_ss_Lden___surface[[#This Row],[Part de la surface du qs dans le noise contour]]</f>
        <v>341.69676323726645</v>
      </c>
    </row>
    <row r="616" spans="1:39" x14ac:dyDescent="0.3">
      <c r="A616">
        <v>646</v>
      </c>
      <c r="B616" t="s">
        <v>951</v>
      </c>
      <c r="C616" t="s">
        <v>952</v>
      </c>
      <c r="D616" t="s">
        <v>953</v>
      </c>
      <c r="E616" t="s">
        <v>953</v>
      </c>
      <c r="F616" t="s">
        <v>947</v>
      </c>
      <c r="G616" t="s">
        <v>874</v>
      </c>
      <c r="H616" t="s">
        <v>875</v>
      </c>
      <c r="I616" t="s">
        <v>876</v>
      </c>
      <c r="J616" t="s">
        <v>36</v>
      </c>
      <c r="K616">
        <v>21012</v>
      </c>
      <c r="L616" t="s">
        <v>877</v>
      </c>
      <c r="M616" t="s">
        <v>878</v>
      </c>
      <c r="N616" t="s">
        <v>878</v>
      </c>
      <c r="O616">
        <v>21000</v>
      </c>
      <c r="P616" t="s">
        <v>46</v>
      </c>
      <c r="Q616" t="s">
        <v>47</v>
      </c>
      <c r="R616" t="s">
        <v>48</v>
      </c>
      <c r="T616" t="s">
        <v>36</v>
      </c>
      <c r="U616" t="s">
        <v>36</v>
      </c>
      <c r="V616" t="s">
        <v>36</v>
      </c>
      <c r="W616">
        <v>4000</v>
      </c>
      <c r="X616" t="s">
        <v>49</v>
      </c>
      <c r="Y616" t="s">
        <v>50</v>
      </c>
      <c r="Z616" t="s">
        <v>51</v>
      </c>
      <c r="AA616" t="s">
        <v>37</v>
      </c>
      <c r="AB616" t="s">
        <v>52</v>
      </c>
      <c r="AC616" t="s">
        <v>53</v>
      </c>
      <c r="AD616" t="s">
        <v>54</v>
      </c>
      <c r="AE616">
        <v>21.267666585899999</v>
      </c>
      <c r="AF616">
        <v>2665</v>
      </c>
      <c r="AG616">
        <v>2665.0309694699999</v>
      </c>
      <c r="AH616">
        <v>212680.09346800001</v>
      </c>
      <c r="AI616">
        <v>47</v>
      </c>
      <c r="AJ616">
        <v>175577.45415896599</v>
      </c>
      <c r="AK616" s="1">
        <f>intersection_ss_Lden___surface[[#This Row],[surf m2 bout ss]]/intersection_ss_Lden___surface[[#This Row],[Shape_Area]]</f>
        <v>0.82554719295054046</v>
      </c>
      <c r="AL616">
        <v>4112</v>
      </c>
      <c r="AM616">
        <f>intersection_ss_Lden___surface[[#This Row],[Population totale 2024 ss]]*intersection_ss_Lden___surface[[#This Row],[Part de la surface du qs dans le noise contour]]</f>
        <v>3394.6500574126226</v>
      </c>
    </row>
    <row r="617" spans="1:39" x14ac:dyDescent="0.3">
      <c r="A617">
        <v>647</v>
      </c>
      <c r="B617" t="s">
        <v>951</v>
      </c>
      <c r="C617" t="s">
        <v>952</v>
      </c>
      <c r="D617" t="s">
        <v>953</v>
      </c>
      <c r="E617" t="s">
        <v>953</v>
      </c>
      <c r="F617" t="s">
        <v>947</v>
      </c>
      <c r="G617" t="s">
        <v>874</v>
      </c>
      <c r="H617" t="s">
        <v>875</v>
      </c>
      <c r="I617" t="s">
        <v>876</v>
      </c>
      <c r="J617" t="s">
        <v>36</v>
      </c>
      <c r="K617">
        <v>21012</v>
      </c>
      <c r="L617" t="s">
        <v>877</v>
      </c>
      <c r="M617" t="s">
        <v>878</v>
      </c>
      <c r="N617" t="s">
        <v>878</v>
      </c>
      <c r="O617">
        <v>21000</v>
      </c>
      <c r="P617" t="s">
        <v>46</v>
      </c>
      <c r="Q617" t="s">
        <v>47</v>
      </c>
      <c r="R617" t="s">
        <v>48</v>
      </c>
      <c r="T617" t="s">
        <v>36</v>
      </c>
      <c r="U617" t="s">
        <v>36</v>
      </c>
      <c r="V617" t="s">
        <v>36</v>
      </c>
      <c r="W617">
        <v>4000</v>
      </c>
      <c r="X617" t="s">
        <v>49</v>
      </c>
      <c r="Y617" t="s">
        <v>50</v>
      </c>
      <c r="Z617" t="s">
        <v>51</v>
      </c>
      <c r="AA617" t="s">
        <v>37</v>
      </c>
      <c r="AB617" t="s">
        <v>52</v>
      </c>
      <c r="AC617" t="s">
        <v>53</v>
      </c>
      <c r="AD617" t="s">
        <v>54</v>
      </c>
      <c r="AE617">
        <v>21.267666585899999</v>
      </c>
      <c r="AF617">
        <v>2665</v>
      </c>
      <c r="AG617">
        <v>2665.0309694699999</v>
      </c>
      <c r="AH617">
        <v>212680.09346800001</v>
      </c>
      <c r="AI617">
        <v>48</v>
      </c>
      <c r="AJ617">
        <v>19449.828158892698</v>
      </c>
      <c r="AK617" s="1">
        <f>intersection_ss_Lden___surface[[#This Row],[surf m2 bout ss]]/intersection_ss_Lden___surface[[#This Row],[Shape_Area]]</f>
        <v>9.1451098416124837E-2</v>
      </c>
      <c r="AL617">
        <v>4112</v>
      </c>
      <c r="AM617">
        <f>intersection_ss_Lden___surface[[#This Row],[Population totale 2024 ss]]*intersection_ss_Lden___surface[[#This Row],[Part de la surface du qs dans le noise contour]]</f>
        <v>376.04691668710535</v>
      </c>
    </row>
    <row r="618" spans="1:39" x14ac:dyDescent="0.3">
      <c r="A618">
        <v>648</v>
      </c>
      <c r="B618" t="s">
        <v>954</v>
      </c>
      <c r="C618" t="s">
        <v>745</v>
      </c>
      <c r="D618" t="s">
        <v>745</v>
      </c>
      <c r="E618" t="s">
        <v>745</v>
      </c>
      <c r="F618" t="s">
        <v>947</v>
      </c>
      <c r="G618" t="s">
        <v>874</v>
      </c>
      <c r="H618" t="s">
        <v>875</v>
      </c>
      <c r="I618" t="s">
        <v>876</v>
      </c>
      <c r="J618" t="s">
        <v>36</v>
      </c>
      <c r="K618">
        <v>21012</v>
      </c>
      <c r="L618" t="s">
        <v>877</v>
      </c>
      <c r="M618" t="s">
        <v>878</v>
      </c>
      <c r="N618" t="s">
        <v>878</v>
      </c>
      <c r="O618">
        <v>21000</v>
      </c>
      <c r="P618" t="s">
        <v>46</v>
      </c>
      <c r="Q618" t="s">
        <v>47</v>
      </c>
      <c r="R618" t="s">
        <v>48</v>
      </c>
      <c r="T618" t="s">
        <v>36</v>
      </c>
      <c r="U618" t="s">
        <v>36</v>
      </c>
      <c r="V618" t="s">
        <v>36</v>
      </c>
      <c r="W618">
        <v>4000</v>
      </c>
      <c r="X618" t="s">
        <v>49</v>
      </c>
      <c r="Y618" t="s">
        <v>50</v>
      </c>
      <c r="Z618" t="s">
        <v>51</v>
      </c>
      <c r="AA618" t="s">
        <v>37</v>
      </c>
      <c r="AB618" t="s">
        <v>52</v>
      </c>
      <c r="AC618" t="s">
        <v>53</v>
      </c>
      <c r="AD618" t="s">
        <v>54</v>
      </c>
      <c r="AE618">
        <v>3.7964613109399998</v>
      </c>
      <c r="AF618">
        <v>822</v>
      </c>
      <c r="AG618">
        <v>822.10897559399996</v>
      </c>
      <c r="AH618">
        <v>37965.219614299996</v>
      </c>
      <c r="AI618">
        <v>47</v>
      </c>
      <c r="AJ618">
        <v>15236.500302382699</v>
      </c>
      <c r="AK618" s="1">
        <f>intersection_ss_Lden___surface[[#This Row],[surf m2 bout ss]]/intersection_ss_Lden___surface[[#This Row],[Shape_Area]]</f>
        <v>0.40132785895024065</v>
      </c>
      <c r="AL618">
        <v>325</v>
      </c>
      <c r="AM618">
        <f>intersection_ss_Lden___surface[[#This Row],[Population totale 2024 ss]]*intersection_ss_Lden___surface[[#This Row],[Part de la surface du qs dans le noise contour]]</f>
        <v>130.43155415882822</v>
      </c>
    </row>
    <row r="619" spans="1:39" x14ac:dyDescent="0.3">
      <c r="A619">
        <v>649</v>
      </c>
      <c r="B619" t="s">
        <v>954</v>
      </c>
      <c r="C619" t="s">
        <v>745</v>
      </c>
      <c r="D619" t="s">
        <v>745</v>
      </c>
      <c r="E619" t="s">
        <v>745</v>
      </c>
      <c r="F619" t="s">
        <v>947</v>
      </c>
      <c r="G619" t="s">
        <v>874</v>
      </c>
      <c r="H619" t="s">
        <v>875</v>
      </c>
      <c r="I619" t="s">
        <v>876</v>
      </c>
      <c r="J619" t="s">
        <v>36</v>
      </c>
      <c r="K619">
        <v>21012</v>
      </c>
      <c r="L619" t="s">
        <v>877</v>
      </c>
      <c r="M619" t="s">
        <v>878</v>
      </c>
      <c r="N619" t="s">
        <v>878</v>
      </c>
      <c r="O619">
        <v>21000</v>
      </c>
      <c r="P619" t="s">
        <v>46</v>
      </c>
      <c r="Q619" t="s">
        <v>47</v>
      </c>
      <c r="R619" t="s">
        <v>48</v>
      </c>
      <c r="T619" t="s">
        <v>36</v>
      </c>
      <c r="U619" t="s">
        <v>36</v>
      </c>
      <c r="V619" t="s">
        <v>36</v>
      </c>
      <c r="W619">
        <v>4000</v>
      </c>
      <c r="X619" t="s">
        <v>49</v>
      </c>
      <c r="Y619" t="s">
        <v>50</v>
      </c>
      <c r="Z619" t="s">
        <v>51</v>
      </c>
      <c r="AA619" t="s">
        <v>37</v>
      </c>
      <c r="AB619" t="s">
        <v>52</v>
      </c>
      <c r="AC619" t="s">
        <v>53</v>
      </c>
      <c r="AD619" t="s">
        <v>54</v>
      </c>
      <c r="AE619">
        <v>3.7964613109399998</v>
      </c>
      <c r="AF619">
        <v>822</v>
      </c>
      <c r="AG619">
        <v>822.10897559399996</v>
      </c>
      <c r="AH619">
        <v>37965.219614299996</v>
      </c>
      <c r="AI619">
        <v>48</v>
      </c>
      <c r="AJ619">
        <v>22732.351417481899</v>
      </c>
      <c r="AK619" s="1">
        <f>intersection_ss_Lden___surface[[#This Row],[surf m2 bout ss]]/intersection_ss_Lden___surface[[#This Row],[Shape_Area]]</f>
        <v>0.5987678103386902</v>
      </c>
      <c r="AL619">
        <v>325</v>
      </c>
      <c r="AM619">
        <f>intersection_ss_Lden___surface[[#This Row],[Population totale 2024 ss]]*intersection_ss_Lden___surface[[#This Row],[Part de la surface du qs dans le noise contour]]</f>
        <v>194.59953836007432</v>
      </c>
    </row>
    <row r="620" spans="1:39" x14ac:dyDescent="0.3">
      <c r="A620">
        <v>650</v>
      </c>
      <c r="B620" t="s">
        <v>955</v>
      </c>
      <c r="C620" t="s">
        <v>956</v>
      </c>
      <c r="D620" t="s">
        <v>956</v>
      </c>
      <c r="E620" t="s">
        <v>956</v>
      </c>
      <c r="F620" t="s">
        <v>947</v>
      </c>
      <c r="G620" t="s">
        <v>874</v>
      </c>
      <c r="H620" t="s">
        <v>875</v>
      </c>
      <c r="I620" t="s">
        <v>876</v>
      </c>
      <c r="J620" t="s">
        <v>36</v>
      </c>
      <c r="K620">
        <v>21012</v>
      </c>
      <c r="L620" t="s">
        <v>877</v>
      </c>
      <c r="M620" t="s">
        <v>878</v>
      </c>
      <c r="N620" t="s">
        <v>878</v>
      </c>
      <c r="O620">
        <v>21000</v>
      </c>
      <c r="P620" t="s">
        <v>46</v>
      </c>
      <c r="Q620" t="s">
        <v>47</v>
      </c>
      <c r="R620" t="s">
        <v>48</v>
      </c>
      <c r="T620" t="s">
        <v>36</v>
      </c>
      <c r="U620" t="s">
        <v>36</v>
      </c>
      <c r="V620" t="s">
        <v>36</v>
      </c>
      <c r="W620">
        <v>4000</v>
      </c>
      <c r="X620" t="s">
        <v>49</v>
      </c>
      <c r="Y620" t="s">
        <v>50</v>
      </c>
      <c r="Z620" t="s">
        <v>51</v>
      </c>
      <c r="AA620" t="s">
        <v>37</v>
      </c>
      <c r="AB620" t="s">
        <v>52</v>
      </c>
      <c r="AC620" t="s">
        <v>53</v>
      </c>
      <c r="AD620" t="s">
        <v>54</v>
      </c>
      <c r="AE620">
        <v>26.0714383742</v>
      </c>
      <c r="AF620">
        <v>2433</v>
      </c>
      <c r="AG620">
        <v>2432.7639268299999</v>
      </c>
      <c r="AH620">
        <v>260718.581752</v>
      </c>
      <c r="AI620">
        <v>47</v>
      </c>
      <c r="AJ620">
        <v>115335.878671306</v>
      </c>
      <c r="AK620" s="1">
        <f>intersection_ss_Lden___surface[[#This Row],[surf m2 bout ss]]/intersection_ss_Lden___surface[[#This Row],[Shape_Area]]</f>
        <v>0.44237690269815699</v>
      </c>
      <c r="AL620">
        <v>3397</v>
      </c>
      <c r="AM620">
        <f>intersection_ss_Lden___surface[[#This Row],[Population totale 2024 ss]]*intersection_ss_Lden___surface[[#This Row],[Part de la surface du qs dans le noise contour]]</f>
        <v>1502.7543384656392</v>
      </c>
    </row>
    <row r="621" spans="1:39" x14ac:dyDescent="0.3">
      <c r="A621">
        <v>651</v>
      </c>
      <c r="B621" t="s">
        <v>955</v>
      </c>
      <c r="C621" t="s">
        <v>956</v>
      </c>
      <c r="D621" t="s">
        <v>956</v>
      </c>
      <c r="E621" t="s">
        <v>956</v>
      </c>
      <c r="F621" t="s">
        <v>947</v>
      </c>
      <c r="G621" t="s">
        <v>874</v>
      </c>
      <c r="H621" t="s">
        <v>875</v>
      </c>
      <c r="I621" t="s">
        <v>876</v>
      </c>
      <c r="J621" t="s">
        <v>36</v>
      </c>
      <c r="K621">
        <v>21012</v>
      </c>
      <c r="L621" t="s">
        <v>877</v>
      </c>
      <c r="M621" t="s">
        <v>878</v>
      </c>
      <c r="N621" t="s">
        <v>878</v>
      </c>
      <c r="O621">
        <v>21000</v>
      </c>
      <c r="P621" t="s">
        <v>46</v>
      </c>
      <c r="Q621" t="s">
        <v>47</v>
      </c>
      <c r="R621" t="s">
        <v>48</v>
      </c>
      <c r="T621" t="s">
        <v>36</v>
      </c>
      <c r="U621" t="s">
        <v>36</v>
      </c>
      <c r="V621" t="s">
        <v>36</v>
      </c>
      <c r="W621">
        <v>4000</v>
      </c>
      <c r="X621" t="s">
        <v>49</v>
      </c>
      <c r="Y621" t="s">
        <v>50</v>
      </c>
      <c r="Z621" t="s">
        <v>51</v>
      </c>
      <c r="AA621" t="s">
        <v>37</v>
      </c>
      <c r="AB621" t="s">
        <v>52</v>
      </c>
      <c r="AC621" t="s">
        <v>53</v>
      </c>
      <c r="AD621" t="s">
        <v>54</v>
      </c>
      <c r="AE621">
        <v>26.0714383742</v>
      </c>
      <c r="AF621">
        <v>2433</v>
      </c>
      <c r="AG621">
        <v>2432.7639268299999</v>
      </c>
      <c r="AH621">
        <v>260718.581752</v>
      </c>
      <c r="AI621">
        <v>48</v>
      </c>
      <c r="AJ621">
        <v>145407.86696781401</v>
      </c>
      <c r="AK621" s="1">
        <f>intersection_ss_Lden___surface[[#This Row],[surf m2 bout ss]]/intersection_ss_Lden___surface[[#This Row],[Shape_Area]]</f>
        <v>0.55771961473052378</v>
      </c>
      <c r="AL621">
        <v>3397</v>
      </c>
      <c r="AM621">
        <f>intersection_ss_Lden___surface[[#This Row],[Population totale 2024 ss]]*intersection_ss_Lden___surface[[#This Row],[Part de la surface du qs dans le noise contour]]</f>
        <v>1894.5735312395893</v>
      </c>
    </row>
    <row r="622" spans="1:39" x14ac:dyDescent="0.3">
      <c r="A622">
        <v>652</v>
      </c>
      <c r="B622" t="s">
        <v>957</v>
      </c>
      <c r="C622" t="s">
        <v>958</v>
      </c>
      <c r="D622" t="s">
        <v>958</v>
      </c>
      <c r="E622" t="s">
        <v>958</v>
      </c>
      <c r="F622" t="s">
        <v>947</v>
      </c>
      <c r="G622" t="s">
        <v>874</v>
      </c>
      <c r="H622" t="s">
        <v>875</v>
      </c>
      <c r="I622" t="s">
        <v>876</v>
      </c>
      <c r="J622" t="s">
        <v>36</v>
      </c>
      <c r="K622">
        <v>21012</v>
      </c>
      <c r="L622" t="s">
        <v>877</v>
      </c>
      <c r="M622" t="s">
        <v>878</v>
      </c>
      <c r="N622" t="s">
        <v>878</v>
      </c>
      <c r="O622">
        <v>21000</v>
      </c>
      <c r="P622" t="s">
        <v>46</v>
      </c>
      <c r="Q622" t="s">
        <v>47</v>
      </c>
      <c r="R622" t="s">
        <v>48</v>
      </c>
      <c r="T622" t="s">
        <v>36</v>
      </c>
      <c r="U622" t="s">
        <v>36</v>
      </c>
      <c r="V622" t="s">
        <v>36</v>
      </c>
      <c r="W622">
        <v>4000</v>
      </c>
      <c r="X622" t="s">
        <v>49</v>
      </c>
      <c r="Y622" t="s">
        <v>50</v>
      </c>
      <c r="Z622" t="s">
        <v>51</v>
      </c>
      <c r="AA622" t="s">
        <v>37</v>
      </c>
      <c r="AB622" t="s">
        <v>52</v>
      </c>
      <c r="AC622" t="s">
        <v>53</v>
      </c>
      <c r="AD622" t="s">
        <v>54</v>
      </c>
      <c r="AE622">
        <v>4.2391322220000003</v>
      </c>
      <c r="AF622">
        <v>1168</v>
      </c>
      <c r="AG622">
        <v>1167.5354176200001</v>
      </c>
      <c r="AH622">
        <v>42392.0088263</v>
      </c>
      <c r="AI622">
        <v>46</v>
      </c>
      <c r="AJ622">
        <v>23615.3820017814</v>
      </c>
      <c r="AK622" s="1">
        <f>intersection_ss_Lden___surface[[#This Row],[surf m2 bout ss]]/intersection_ss_Lden___surface[[#This Row],[Shape_Area]]</f>
        <v>0.55707154852096596</v>
      </c>
      <c r="AL622">
        <v>1397</v>
      </c>
      <c r="AM622">
        <f>intersection_ss_Lden___surface[[#This Row],[Population totale 2024 ss]]*intersection_ss_Lden___surface[[#This Row],[Part de la surface du qs dans le noise contour]]</f>
        <v>778.22895328378945</v>
      </c>
    </row>
    <row r="623" spans="1:39" x14ac:dyDescent="0.3">
      <c r="A623">
        <v>653</v>
      </c>
      <c r="B623" t="s">
        <v>957</v>
      </c>
      <c r="C623" t="s">
        <v>958</v>
      </c>
      <c r="D623" t="s">
        <v>958</v>
      </c>
      <c r="E623" t="s">
        <v>958</v>
      </c>
      <c r="F623" t="s">
        <v>947</v>
      </c>
      <c r="G623" t="s">
        <v>874</v>
      </c>
      <c r="H623" t="s">
        <v>875</v>
      </c>
      <c r="I623" t="s">
        <v>876</v>
      </c>
      <c r="J623" t="s">
        <v>36</v>
      </c>
      <c r="K623">
        <v>21012</v>
      </c>
      <c r="L623" t="s">
        <v>877</v>
      </c>
      <c r="M623" t="s">
        <v>878</v>
      </c>
      <c r="N623" t="s">
        <v>878</v>
      </c>
      <c r="O623">
        <v>21000</v>
      </c>
      <c r="P623" t="s">
        <v>46</v>
      </c>
      <c r="Q623" t="s">
        <v>47</v>
      </c>
      <c r="R623" t="s">
        <v>48</v>
      </c>
      <c r="T623" t="s">
        <v>36</v>
      </c>
      <c r="U623" t="s">
        <v>36</v>
      </c>
      <c r="V623" t="s">
        <v>36</v>
      </c>
      <c r="W623">
        <v>4000</v>
      </c>
      <c r="X623" t="s">
        <v>49</v>
      </c>
      <c r="Y623" t="s">
        <v>50</v>
      </c>
      <c r="Z623" t="s">
        <v>51</v>
      </c>
      <c r="AA623" t="s">
        <v>37</v>
      </c>
      <c r="AB623" t="s">
        <v>52</v>
      </c>
      <c r="AC623" t="s">
        <v>53</v>
      </c>
      <c r="AD623" t="s">
        <v>54</v>
      </c>
      <c r="AE623">
        <v>4.2391322220000003</v>
      </c>
      <c r="AF623">
        <v>1168</v>
      </c>
      <c r="AG623">
        <v>1167.5354176200001</v>
      </c>
      <c r="AH623">
        <v>42392.0088263</v>
      </c>
      <c r="AI623">
        <v>47</v>
      </c>
      <c r="AJ623">
        <v>18780.698692298</v>
      </c>
      <c r="AK623" s="1">
        <f>intersection_ss_Lden___surface[[#This Row],[surf m2 bout ss]]/intersection_ss_Lden___surface[[#This Row],[Shape_Area]]</f>
        <v>0.44302450419963246</v>
      </c>
      <c r="AL623">
        <v>1397</v>
      </c>
      <c r="AM623">
        <f>intersection_ss_Lden___surface[[#This Row],[Population totale 2024 ss]]*intersection_ss_Lden___surface[[#This Row],[Part de la surface du qs dans le noise contour]]</f>
        <v>618.90523236688659</v>
      </c>
    </row>
    <row r="624" spans="1:39" x14ac:dyDescent="0.3">
      <c r="A624">
        <v>654</v>
      </c>
      <c r="B624" t="s">
        <v>959</v>
      </c>
      <c r="C624" t="s">
        <v>960</v>
      </c>
      <c r="D624" t="s">
        <v>960</v>
      </c>
      <c r="E624" t="s">
        <v>960</v>
      </c>
      <c r="F624" t="s">
        <v>947</v>
      </c>
      <c r="G624" t="s">
        <v>874</v>
      </c>
      <c r="H624" t="s">
        <v>875</v>
      </c>
      <c r="I624" t="s">
        <v>876</v>
      </c>
      <c r="J624" t="s">
        <v>36</v>
      </c>
      <c r="K624">
        <v>21012</v>
      </c>
      <c r="L624" t="s">
        <v>877</v>
      </c>
      <c r="M624" t="s">
        <v>878</v>
      </c>
      <c r="N624" t="s">
        <v>878</v>
      </c>
      <c r="O624">
        <v>21000</v>
      </c>
      <c r="P624" t="s">
        <v>46</v>
      </c>
      <c r="Q624" t="s">
        <v>47</v>
      </c>
      <c r="R624" t="s">
        <v>48</v>
      </c>
      <c r="T624" t="s">
        <v>36</v>
      </c>
      <c r="U624" t="s">
        <v>36</v>
      </c>
      <c r="V624" t="s">
        <v>36</v>
      </c>
      <c r="W624">
        <v>4000</v>
      </c>
      <c r="X624" t="s">
        <v>49</v>
      </c>
      <c r="Y624" t="s">
        <v>50</v>
      </c>
      <c r="Z624" t="s">
        <v>51</v>
      </c>
      <c r="AA624" t="s">
        <v>37</v>
      </c>
      <c r="AB624" t="s">
        <v>52</v>
      </c>
      <c r="AC624" t="s">
        <v>53</v>
      </c>
      <c r="AD624" t="s">
        <v>54</v>
      </c>
      <c r="AE624">
        <v>18.596203577299999</v>
      </c>
      <c r="AF624">
        <v>1895</v>
      </c>
      <c r="AG624">
        <v>1895.2865280399999</v>
      </c>
      <c r="AH624">
        <v>185965.05229299999</v>
      </c>
      <c r="AI624">
        <v>45</v>
      </c>
      <c r="AJ624">
        <v>7577.9427853487396</v>
      </c>
      <c r="AK624" s="1">
        <f>intersection_ss_Lden___surface[[#This Row],[surf m2 bout ss]]/intersection_ss_Lden___surface[[#This Row],[Shape_Area]]</f>
        <v>4.0749284297832478E-2</v>
      </c>
      <c r="AL624">
        <v>18</v>
      </c>
      <c r="AM624">
        <f>intersection_ss_Lden___surface[[#This Row],[Population totale 2024 ss]]*intersection_ss_Lden___surface[[#This Row],[Part de la surface du qs dans le noise contour]]</f>
        <v>0.7334871173609846</v>
      </c>
    </row>
    <row r="625" spans="1:39" x14ac:dyDescent="0.3">
      <c r="A625">
        <v>655</v>
      </c>
      <c r="B625" t="s">
        <v>959</v>
      </c>
      <c r="C625" t="s">
        <v>960</v>
      </c>
      <c r="D625" t="s">
        <v>960</v>
      </c>
      <c r="E625" t="s">
        <v>960</v>
      </c>
      <c r="F625" t="s">
        <v>947</v>
      </c>
      <c r="G625" t="s">
        <v>874</v>
      </c>
      <c r="H625" t="s">
        <v>875</v>
      </c>
      <c r="I625" t="s">
        <v>876</v>
      </c>
      <c r="J625" t="s">
        <v>36</v>
      </c>
      <c r="K625">
        <v>21012</v>
      </c>
      <c r="L625" t="s">
        <v>877</v>
      </c>
      <c r="M625" t="s">
        <v>878</v>
      </c>
      <c r="N625" t="s">
        <v>878</v>
      </c>
      <c r="O625">
        <v>21000</v>
      </c>
      <c r="P625" t="s">
        <v>46</v>
      </c>
      <c r="Q625" t="s">
        <v>47</v>
      </c>
      <c r="R625" t="s">
        <v>48</v>
      </c>
      <c r="T625" t="s">
        <v>36</v>
      </c>
      <c r="U625" t="s">
        <v>36</v>
      </c>
      <c r="V625" t="s">
        <v>36</v>
      </c>
      <c r="W625">
        <v>4000</v>
      </c>
      <c r="X625" t="s">
        <v>49</v>
      </c>
      <c r="Y625" t="s">
        <v>50</v>
      </c>
      <c r="Z625" t="s">
        <v>51</v>
      </c>
      <c r="AA625" t="s">
        <v>37</v>
      </c>
      <c r="AB625" t="s">
        <v>52</v>
      </c>
      <c r="AC625" t="s">
        <v>53</v>
      </c>
      <c r="AD625" t="s">
        <v>54</v>
      </c>
      <c r="AE625">
        <v>18.596203577299999</v>
      </c>
      <c r="AF625">
        <v>1895</v>
      </c>
      <c r="AG625">
        <v>1895.2865280399999</v>
      </c>
      <c r="AH625">
        <v>185965.05229299999</v>
      </c>
      <c r="AI625">
        <v>46</v>
      </c>
      <c r="AJ625">
        <v>177578.53374571601</v>
      </c>
      <c r="AK625" s="1">
        <f>intersection_ss_Lden___surface[[#This Row],[surf m2 bout ss]]/intersection_ss_Lden___surface[[#This Row],[Shape_Area]]</f>
        <v>0.95490271723705122</v>
      </c>
      <c r="AL625">
        <v>18</v>
      </c>
      <c r="AM625">
        <f>intersection_ss_Lden___surface[[#This Row],[Population totale 2024 ss]]*intersection_ss_Lden___surface[[#This Row],[Part de la surface du qs dans le noise contour]]</f>
        <v>17.188248910266921</v>
      </c>
    </row>
    <row r="626" spans="1:39" x14ac:dyDescent="0.3">
      <c r="A626">
        <v>656</v>
      </c>
      <c r="B626" t="s">
        <v>959</v>
      </c>
      <c r="C626" t="s">
        <v>960</v>
      </c>
      <c r="D626" t="s">
        <v>960</v>
      </c>
      <c r="E626" t="s">
        <v>960</v>
      </c>
      <c r="F626" t="s">
        <v>947</v>
      </c>
      <c r="G626" t="s">
        <v>874</v>
      </c>
      <c r="H626" t="s">
        <v>875</v>
      </c>
      <c r="I626" t="s">
        <v>876</v>
      </c>
      <c r="J626" t="s">
        <v>36</v>
      </c>
      <c r="K626">
        <v>21012</v>
      </c>
      <c r="L626" t="s">
        <v>877</v>
      </c>
      <c r="M626" t="s">
        <v>878</v>
      </c>
      <c r="N626" t="s">
        <v>878</v>
      </c>
      <c r="O626">
        <v>21000</v>
      </c>
      <c r="P626" t="s">
        <v>46</v>
      </c>
      <c r="Q626" t="s">
        <v>47</v>
      </c>
      <c r="R626" t="s">
        <v>48</v>
      </c>
      <c r="T626" t="s">
        <v>36</v>
      </c>
      <c r="U626" t="s">
        <v>36</v>
      </c>
      <c r="V626" t="s">
        <v>36</v>
      </c>
      <c r="W626">
        <v>4000</v>
      </c>
      <c r="X626" t="s">
        <v>49</v>
      </c>
      <c r="Y626" t="s">
        <v>50</v>
      </c>
      <c r="Z626" t="s">
        <v>51</v>
      </c>
      <c r="AA626" t="s">
        <v>37</v>
      </c>
      <c r="AB626" t="s">
        <v>52</v>
      </c>
      <c r="AC626" t="s">
        <v>53</v>
      </c>
      <c r="AD626" t="s">
        <v>54</v>
      </c>
      <c r="AE626">
        <v>18.596203577299999</v>
      </c>
      <c r="AF626">
        <v>1895</v>
      </c>
      <c r="AG626">
        <v>1895.2865280399999</v>
      </c>
      <c r="AH626">
        <v>185965.05229299999</v>
      </c>
      <c r="AI626">
        <v>47</v>
      </c>
      <c r="AJ626">
        <v>826.34857324510801</v>
      </c>
      <c r="AK626" s="1">
        <f>intersection_ss_Lden___surface[[#This Row],[surf m2 bout ss]]/intersection_ss_Lden___surface[[#This Row],[Shape_Area]]</f>
        <v>4.4435691709598336E-3</v>
      </c>
      <c r="AL626">
        <v>18</v>
      </c>
      <c r="AM626">
        <f>intersection_ss_Lden___surface[[#This Row],[Population totale 2024 ss]]*intersection_ss_Lden___surface[[#This Row],[Part de la surface du qs dans le noise contour]]</f>
        <v>7.9984245077277E-2</v>
      </c>
    </row>
    <row r="627" spans="1:39" x14ac:dyDescent="0.3">
      <c r="A627">
        <v>657</v>
      </c>
      <c r="B627" t="s">
        <v>961</v>
      </c>
      <c r="C627" t="s">
        <v>962</v>
      </c>
      <c r="D627" t="s">
        <v>963</v>
      </c>
      <c r="E627" t="s">
        <v>963</v>
      </c>
      <c r="F627" t="s">
        <v>964</v>
      </c>
      <c r="G627" t="s">
        <v>874</v>
      </c>
      <c r="H627" t="s">
        <v>875</v>
      </c>
      <c r="I627" t="s">
        <v>876</v>
      </c>
      <c r="J627" t="s">
        <v>36</v>
      </c>
      <c r="K627">
        <v>21012</v>
      </c>
      <c r="L627" t="s">
        <v>877</v>
      </c>
      <c r="M627" t="s">
        <v>878</v>
      </c>
      <c r="N627" t="s">
        <v>878</v>
      </c>
      <c r="O627">
        <v>21000</v>
      </c>
      <c r="P627" t="s">
        <v>46</v>
      </c>
      <c r="Q627" t="s">
        <v>47</v>
      </c>
      <c r="R627" t="s">
        <v>48</v>
      </c>
      <c r="T627" t="s">
        <v>36</v>
      </c>
      <c r="U627" t="s">
        <v>36</v>
      </c>
      <c r="V627" t="s">
        <v>36</v>
      </c>
      <c r="W627">
        <v>4000</v>
      </c>
      <c r="X627" t="s">
        <v>49</v>
      </c>
      <c r="Y627" t="s">
        <v>50</v>
      </c>
      <c r="Z627" t="s">
        <v>51</v>
      </c>
      <c r="AA627" t="s">
        <v>37</v>
      </c>
      <c r="AB627" t="s">
        <v>52</v>
      </c>
      <c r="AC627" t="s">
        <v>53</v>
      </c>
      <c r="AD627" t="s">
        <v>54</v>
      </c>
      <c r="AE627">
        <v>18.7811272169</v>
      </c>
      <c r="AF627">
        <v>2289</v>
      </c>
      <c r="AG627">
        <v>2288.8941197899999</v>
      </c>
      <c r="AH627">
        <v>187814.279973</v>
      </c>
      <c r="AI627">
        <v>49</v>
      </c>
      <c r="AJ627">
        <v>187832.05470022099</v>
      </c>
      <c r="AK627" s="1">
        <f>intersection_ss_Lden___surface[[#This Row],[surf m2 bout ss]]/intersection_ss_Lden___surface[[#This Row],[Shape_Area]]</f>
        <v>1.0000946399135549</v>
      </c>
      <c r="AL627">
        <v>4836</v>
      </c>
      <c r="AM627">
        <f>intersection_ss_Lden___surface[[#This Row],[Population totale 2024 ss]]*intersection_ss_Lden___surface[[#This Row],[Part de la surface du qs dans le noise contour]]</f>
        <v>4836.4576786219513</v>
      </c>
    </row>
    <row r="628" spans="1:39" x14ac:dyDescent="0.3">
      <c r="A628">
        <v>658</v>
      </c>
      <c r="B628" t="s">
        <v>965</v>
      </c>
      <c r="C628" t="s">
        <v>966</v>
      </c>
      <c r="D628" t="s">
        <v>966</v>
      </c>
      <c r="E628" t="s">
        <v>966</v>
      </c>
      <c r="F628" t="s">
        <v>964</v>
      </c>
      <c r="G628" t="s">
        <v>874</v>
      </c>
      <c r="H628" t="s">
        <v>875</v>
      </c>
      <c r="I628" t="s">
        <v>876</v>
      </c>
      <c r="J628" t="s">
        <v>36</v>
      </c>
      <c r="K628">
        <v>21012</v>
      </c>
      <c r="L628" t="s">
        <v>877</v>
      </c>
      <c r="M628" t="s">
        <v>878</v>
      </c>
      <c r="N628" t="s">
        <v>878</v>
      </c>
      <c r="O628">
        <v>21000</v>
      </c>
      <c r="P628" t="s">
        <v>46</v>
      </c>
      <c r="Q628" t="s">
        <v>47</v>
      </c>
      <c r="R628" t="s">
        <v>48</v>
      </c>
      <c r="T628" t="s">
        <v>36</v>
      </c>
      <c r="U628" t="s">
        <v>36</v>
      </c>
      <c r="V628" t="s">
        <v>36</v>
      </c>
      <c r="W628">
        <v>4000</v>
      </c>
      <c r="X628" t="s">
        <v>49</v>
      </c>
      <c r="Y628" t="s">
        <v>50</v>
      </c>
      <c r="Z628" t="s">
        <v>51</v>
      </c>
      <c r="AA628" t="s">
        <v>37</v>
      </c>
      <c r="AB628" t="s">
        <v>52</v>
      </c>
      <c r="AC628" t="s">
        <v>53</v>
      </c>
      <c r="AD628" t="s">
        <v>54</v>
      </c>
      <c r="AE628">
        <v>6.9815254956099997</v>
      </c>
      <c r="AF628">
        <v>1554</v>
      </c>
      <c r="AG628">
        <v>1554.47033472</v>
      </c>
      <c r="AH628">
        <v>69816.360794099994</v>
      </c>
      <c r="AI628">
        <v>49</v>
      </c>
      <c r="AJ628">
        <v>57536.205524941201</v>
      </c>
      <c r="AK628" s="1">
        <f>intersection_ss_Lden___surface[[#This Row],[surf m2 bout ss]]/intersection_ss_Lden___surface[[#This Row],[Shape_Area]]</f>
        <v>0.82410777173884775</v>
      </c>
      <c r="AL628">
        <v>1790</v>
      </c>
      <c r="AM628">
        <f>intersection_ss_Lden___surface[[#This Row],[Population totale 2024 ss]]*intersection_ss_Lden___surface[[#This Row],[Part de la surface du qs dans le noise contour]]</f>
        <v>1475.1529114125374</v>
      </c>
    </row>
    <row r="629" spans="1:39" x14ac:dyDescent="0.3">
      <c r="A629">
        <v>659</v>
      </c>
      <c r="B629" t="s">
        <v>965</v>
      </c>
      <c r="C629" t="s">
        <v>966</v>
      </c>
      <c r="D629" t="s">
        <v>966</v>
      </c>
      <c r="E629" t="s">
        <v>966</v>
      </c>
      <c r="F629" t="s">
        <v>964</v>
      </c>
      <c r="G629" t="s">
        <v>874</v>
      </c>
      <c r="H629" t="s">
        <v>875</v>
      </c>
      <c r="I629" t="s">
        <v>876</v>
      </c>
      <c r="J629" t="s">
        <v>36</v>
      </c>
      <c r="K629">
        <v>21012</v>
      </c>
      <c r="L629" t="s">
        <v>877</v>
      </c>
      <c r="M629" t="s">
        <v>878</v>
      </c>
      <c r="N629" t="s">
        <v>878</v>
      </c>
      <c r="O629">
        <v>21000</v>
      </c>
      <c r="P629" t="s">
        <v>46</v>
      </c>
      <c r="Q629" t="s">
        <v>47</v>
      </c>
      <c r="R629" t="s">
        <v>48</v>
      </c>
      <c r="T629" t="s">
        <v>36</v>
      </c>
      <c r="U629" t="s">
        <v>36</v>
      </c>
      <c r="V629" t="s">
        <v>36</v>
      </c>
      <c r="W629">
        <v>4000</v>
      </c>
      <c r="X629" t="s">
        <v>49</v>
      </c>
      <c r="Y629" t="s">
        <v>50</v>
      </c>
      <c r="Z629" t="s">
        <v>51</v>
      </c>
      <c r="AA629" t="s">
        <v>37</v>
      </c>
      <c r="AB629" t="s">
        <v>52</v>
      </c>
      <c r="AC629" t="s">
        <v>53</v>
      </c>
      <c r="AD629" t="s">
        <v>54</v>
      </c>
      <c r="AE629">
        <v>6.9815254956099997</v>
      </c>
      <c r="AF629">
        <v>1554</v>
      </c>
      <c r="AG629">
        <v>1554.47033472</v>
      </c>
      <c r="AH629">
        <v>69816.360794099994</v>
      </c>
      <c r="AI629">
        <v>50</v>
      </c>
      <c r="AJ629">
        <v>12286.8303611144</v>
      </c>
      <c r="AK629" s="1">
        <f>intersection_ss_Lden___surface[[#This Row],[surf m2 bout ss]]/intersection_ss_Lden___surface[[#This Row],[Shape_Area]]</f>
        <v>0.17598783754069189</v>
      </c>
      <c r="AL629">
        <v>1790</v>
      </c>
      <c r="AM629">
        <f>intersection_ss_Lden___surface[[#This Row],[Population totale 2024 ss]]*intersection_ss_Lden___surface[[#This Row],[Part de la surface du qs dans le noise contour]]</f>
        <v>315.01822919783848</v>
      </c>
    </row>
    <row r="630" spans="1:39" x14ac:dyDescent="0.3">
      <c r="A630">
        <v>660</v>
      </c>
      <c r="B630" t="s">
        <v>967</v>
      </c>
      <c r="C630" t="s">
        <v>968</v>
      </c>
      <c r="D630" t="s">
        <v>969</v>
      </c>
      <c r="E630" t="s">
        <v>969</v>
      </c>
      <c r="F630" t="s">
        <v>964</v>
      </c>
      <c r="G630" t="s">
        <v>874</v>
      </c>
      <c r="H630" t="s">
        <v>875</v>
      </c>
      <c r="I630" t="s">
        <v>876</v>
      </c>
      <c r="J630" t="s">
        <v>36</v>
      </c>
      <c r="K630">
        <v>21012</v>
      </c>
      <c r="L630" t="s">
        <v>877</v>
      </c>
      <c r="M630" t="s">
        <v>878</v>
      </c>
      <c r="N630" t="s">
        <v>878</v>
      </c>
      <c r="O630">
        <v>21000</v>
      </c>
      <c r="P630" t="s">
        <v>46</v>
      </c>
      <c r="Q630" t="s">
        <v>47</v>
      </c>
      <c r="R630" t="s">
        <v>48</v>
      </c>
      <c r="T630" t="s">
        <v>36</v>
      </c>
      <c r="U630" t="s">
        <v>36</v>
      </c>
      <c r="V630" t="s">
        <v>36</v>
      </c>
      <c r="W630">
        <v>4000</v>
      </c>
      <c r="X630" t="s">
        <v>49</v>
      </c>
      <c r="Y630" t="s">
        <v>50</v>
      </c>
      <c r="Z630" t="s">
        <v>51</v>
      </c>
      <c r="AA630" t="s">
        <v>37</v>
      </c>
      <c r="AB630" t="s">
        <v>52</v>
      </c>
      <c r="AC630" t="s">
        <v>53</v>
      </c>
      <c r="AD630" t="s">
        <v>54</v>
      </c>
      <c r="AE630">
        <v>18.984880594300002</v>
      </c>
      <c r="AF630">
        <v>1912</v>
      </c>
      <c r="AG630">
        <v>1912.2596662000001</v>
      </c>
      <c r="AH630">
        <v>189851.83914699999</v>
      </c>
      <c r="AI630">
        <v>48</v>
      </c>
      <c r="AJ630">
        <v>113998.95844780099</v>
      </c>
      <c r="AK630" s="1">
        <f>intersection_ss_Lden___surface[[#This Row],[surf m2 bout ss]]/intersection_ss_Lden___surface[[#This Row],[Shape_Area]]</f>
        <v>0.60046275537806604</v>
      </c>
      <c r="AL630">
        <v>5229</v>
      </c>
      <c r="AM630">
        <f>intersection_ss_Lden___surface[[#This Row],[Population totale 2024 ss]]*intersection_ss_Lden___surface[[#This Row],[Part de la surface du qs dans le noise contour]]</f>
        <v>3139.8197478719071</v>
      </c>
    </row>
    <row r="631" spans="1:39" x14ac:dyDescent="0.3">
      <c r="A631">
        <v>661</v>
      </c>
      <c r="B631" t="s">
        <v>967</v>
      </c>
      <c r="C631" t="s">
        <v>968</v>
      </c>
      <c r="D631" t="s">
        <v>969</v>
      </c>
      <c r="E631" t="s">
        <v>969</v>
      </c>
      <c r="F631" t="s">
        <v>964</v>
      </c>
      <c r="G631" t="s">
        <v>874</v>
      </c>
      <c r="H631" t="s">
        <v>875</v>
      </c>
      <c r="I631" t="s">
        <v>876</v>
      </c>
      <c r="J631" t="s">
        <v>36</v>
      </c>
      <c r="K631">
        <v>21012</v>
      </c>
      <c r="L631" t="s">
        <v>877</v>
      </c>
      <c r="M631" t="s">
        <v>878</v>
      </c>
      <c r="N631" t="s">
        <v>878</v>
      </c>
      <c r="O631">
        <v>21000</v>
      </c>
      <c r="P631" t="s">
        <v>46</v>
      </c>
      <c r="Q631" t="s">
        <v>47</v>
      </c>
      <c r="R631" t="s">
        <v>48</v>
      </c>
      <c r="T631" t="s">
        <v>36</v>
      </c>
      <c r="U631" t="s">
        <v>36</v>
      </c>
      <c r="V631" t="s">
        <v>36</v>
      </c>
      <c r="W631">
        <v>4000</v>
      </c>
      <c r="X631" t="s">
        <v>49</v>
      </c>
      <c r="Y631" t="s">
        <v>50</v>
      </c>
      <c r="Z631" t="s">
        <v>51</v>
      </c>
      <c r="AA631" t="s">
        <v>37</v>
      </c>
      <c r="AB631" t="s">
        <v>52</v>
      </c>
      <c r="AC631" t="s">
        <v>53</v>
      </c>
      <c r="AD631" t="s">
        <v>54</v>
      </c>
      <c r="AE631">
        <v>18.984880594300002</v>
      </c>
      <c r="AF631">
        <v>1912</v>
      </c>
      <c r="AG631">
        <v>1912.2596662000001</v>
      </c>
      <c r="AH631">
        <v>189851.83914699999</v>
      </c>
      <c r="AI631">
        <v>49</v>
      </c>
      <c r="AJ631">
        <v>75870.887107233895</v>
      </c>
      <c r="AK631" s="1">
        <f>intersection_ss_Lden___surface[[#This Row],[surf m2 bout ss]]/intersection_ss_Lden___surface[[#This Row],[Shape_Area]]</f>
        <v>0.39963208914972892</v>
      </c>
      <c r="AL631">
        <v>5229</v>
      </c>
      <c r="AM631">
        <f>intersection_ss_Lden___surface[[#This Row],[Population totale 2024 ss]]*intersection_ss_Lden___surface[[#This Row],[Part de la surface du qs dans le noise contour]]</f>
        <v>2089.6761941639325</v>
      </c>
    </row>
    <row r="632" spans="1:39" x14ac:dyDescent="0.3">
      <c r="A632">
        <v>662</v>
      </c>
      <c r="B632" t="s">
        <v>970</v>
      </c>
      <c r="C632" t="s">
        <v>971</v>
      </c>
      <c r="D632" t="s">
        <v>972</v>
      </c>
      <c r="E632" t="s">
        <v>972</v>
      </c>
      <c r="F632" t="s">
        <v>964</v>
      </c>
      <c r="G632" t="s">
        <v>874</v>
      </c>
      <c r="H632" t="s">
        <v>875</v>
      </c>
      <c r="I632" t="s">
        <v>876</v>
      </c>
      <c r="J632" t="s">
        <v>36</v>
      </c>
      <c r="K632">
        <v>21012</v>
      </c>
      <c r="L632" t="s">
        <v>877</v>
      </c>
      <c r="M632" t="s">
        <v>878</v>
      </c>
      <c r="N632" t="s">
        <v>878</v>
      </c>
      <c r="O632">
        <v>21000</v>
      </c>
      <c r="P632" t="s">
        <v>46</v>
      </c>
      <c r="Q632" t="s">
        <v>47</v>
      </c>
      <c r="R632" t="s">
        <v>48</v>
      </c>
      <c r="T632" t="s">
        <v>36</v>
      </c>
      <c r="U632" t="s">
        <v>36</v>
      </c>
      <c r="V632" t="s">
        <v>36</v>
      </c>
      <c r="W632">
        <v>4000</v>
      </c>
      <c r="X632" t="s">
        <v>49</v>
      </c>
      <c r="Y632" t="s">
        <v>50</v>
      </c>
      <c r="Z632" t="s">
        <v>51</v>
      </c>
      <c r="AA632" t="s">
        <v>37</v>
      </c>
      <c r="AB632" t="s">
        <v>52</v>
      </c>
      <c r="AC632" t="s">
        <v>53</v>
      </c>
      <c r="AD632" t="s">
        <v>54</v>
      </c>
      <c r="AE632">
        <v>13.702064979099999</v>
      </c>
      <c r="AF632">
        <v>1574</v>
      </c>
      <c r="AG632">
        <v>1574.51128017</v>
      </c>
      <c r="AH632">
        <v>137022.83927999999</v>
      </c>
      <c r="AI632">
        <v>48</v>
      </c>
      <c r="AJ632">
        <v>51176.0864679273</v>
      </c>
      <c r="AK632" s="1">
        <f>intersection_ss_Lden___surface[[#This Row],[surf m2 bout ss]]/intersection_ss_Lden___surface[[#This Row],[Shape_Area]]</f>
        <v>0.37348581256115471</v>
      </c>
      <c r="AL632">
        <v>2017</v>
      </c>
      <c r="AM632">
        <f>intersection_ss_Lden___surface[[#This Row],[Population totale 2024 ss]]*intersection_ss_Lden___surface[[#This Row],[Part de la surface du qs dans le noise contour]]</f>
        <v>753.320883935849</v>
      </c>
    </row>
    <row r="633" spans="1:39" x14ac:dyDescent="0.3">
      <c r="A633">
        <v>663</v>
      </c>
      <c r="B633" t="s">
        <v>970</v>
      </c>
      <c r="C633" t="s">
        <v>971</v>
      </c>
      <c r="D633" t="s">
        <v>972</v>
      </c>
      <c r="E633" t="s">
        <v>972</v>
      </c>
      <c r="F633" t="s">
        <v>964</v>
      </c>
      <c r="G633" t="s">
        <v>874</v>
      </c>
      <c r="H633" t="s">
        <v>875</v>
      </c>
      <c r="I633" t="s">
        <v>876</v>
      </c>
      <c r="J633" t="s">
        <v>36</v>
      </c>
      <c r="K633">
        <v>21012</v>
      </c>
      <c r="L633" t="s">
        <v>877</v>
      </c>
      <c r="M633" t="s">
        <v>878</v>
      </c>
      <c r="N633" t="s">
        <v>878</v>
      </c>
      <c r="O633">
        <v>21000</v>
      </c>
      <c r="P633" t="s">
        <v>46</v>
      </c>
      <c r="Q633" t="s">
        <v>47</v>
      </c>
      <c r="R633" t="s">
        <v>48</v>
      </c>
      <c r="T633" t="s">
        <v>36</v>
      </c>
      <c r="U633" t="s">
        <v>36</v>
      </c>
      <c r="V633" t="s">
        <v>36</v>
      </c>
      <c r="W633">
        <v>4000</v>
      </c>
      <c r="X633" t="s">
        <v>49</v>
      </c>
      <c r="Y633" t="s">
        <v>50</v>
      </c>
      <c r="Z633" t="s">
        <v>51</v>
      </c>
      <c r="AA633" t="s">
        <v>37</v>
      </c>
      <c r="AB633" t="s">
        <v>52</v>
      </c>
      <c r="AC633" t="s">
        <v>53</v>
      </c>
      <c r="AD633" t="s">
        <v>54</v>
      </c>
      <c r="AE633">
        <v>13.702064979099999</v>
      </c>
      <c r="AF633">
        <v>1574</v>
      </c>
      <c r="AG633">
        <v>1574.51128017</v>
      </c>
      <c r="AH633">
        <v>137022.83927999999</v>
      </c>
      <c r="AI633">
        <v>49</v>
      </c>
      <c r="AJ633">
        <v>85859.620949344695</v>
      </c>
      <c r="AK633" s="1">
        <f>intersection_ss_Lden___surface[[#This Row],[surf m2 bout ss]]/intersection_ss_Lden___surface[[#This Row],[Shape_Area]]</f>
        <v>0.62660809979199483</v>
      </c>
      <c r="AL633">
        <v>2017</v>
      </c>
      <c r="AM633">
        <f>intersection_ss_Lden___surface[[#This Row],[Population totale 2024 ss]]*intersection_ss_Lden___surface[[#This Row],[Part de la surface du qs dans le noise contour]]</f>
        <v>1263.8685372804537</v>
      </c>
    </row>
    <row r="634" spans="1:39" x14ac:dyDescent="0.3">
      <c r="A634">
        <v>664</v>
      </c>
      <c r="B634" t="s">
        <v>973</v>
      </c>
      <c r="C634" t="s">
        <v>974</v>
      </c>
      <c r="D634" t="s">
        <v>974</v>
      </c>
      <c r="E634" t="s">
        <v>974</v>
      </c>
      <c r="F634" t="s">
        <v>964</v>
      </c>
      <c r="G634" t="s">
        <v>874</v>
      </c>
      <c r="H634" t="s">
        <v>875</v>
      </c>
      <c r="I634" t="s">
        <v>876</v>
      </c>
      <c r="J634" t="s">
        <v>36</v>
      </c>
      <c r="K634">
        <v>21012</v>
      </c>
      <c r="L634" t="s">
        <v>877</v>
      </c>
      <c r="M634" t="s">
        <v>878</v>
      </c>
      <c r="N634" t="s">
        <v>878</v>
      </c>
      <c r="O634">
        <v>21000</v>
      </c>
      <c r="P634" t="s">
        <v>46</v>
      </c>
      <c r="Q634" t="s">
        <v>47</v>
      </c>
      <c r="R634" t="s">
        <v>48</v>
      </c>
      <c r="T634" t="s">
        <v>36</v>
      </c>
      <c r="U634" t="s">
        <v>36</v>
      </c>
      <c r="V634" t="s">
        <v>36</v>
      </c>
      <c r="W634">
        <v>4000</v>
      </c>
      <c r="X634" t="s">
        <v>49</v>
      </c>
      <c r="Y634" t="s">
        <v>50</v>
      </c>
      <c r="Z634" t="s">
        <v>51</v>
      </c>
      <c r="AA634" t="s">
        <v>37</v>
      </c>
      <c r="AB634" t="s">
        <v>52</v>
      </c>
      <c r="AC634" t="s">
        <v>53</v>
      </c>
      <c r="AD634" t="s">
        <v>54</v>
      </c>
      <c r="AE634">
        <v>16.370048375500001</v>
      </c>
      <c r="AF634">
        <v>1608</v>
      </c>
      <c r="AG634">
        <v>1608.4345977999999</v>
      </c>
      <c r="AH634">
        <v>163703.13534800001</v>
      </c>
      <c r="AI634">
        <v>49</v>
      </c>
      <c r="AJ634">
        <v>67869.641223541199</v>
      </c>
      <c r="AK634" s="1">
        <f>intersection_ss_Lden___surface[[#This Row],[surf m2 bout ss]]/intersection_ss_Lden___surface[[#This Row],[Shape_Area]]</f>
        <v>0.41458974551259486</v>
      </c>
      <c r="AL634">
        <v>2433</v>
      </c>
      <c r="AM634">
        <f>intersection_ss_Lden___surface[[#This Row],[Population totale 2024 ss]]*intersection_ss_Lden___surface[[#This Row],[Part de la surface du qs dans le noise contour]]</f>
        <v>1008.6968508321434</v>
      </c>
    </row>
    <row r="635" spans="1:39" x14ac:dyDescent="0.3">
      <c r="A635">
        <v>665</v>
      </c>
      <c r="B635" t="s">
        <v>973</v>
      </c>
      <c r="C635" t="s">
        <v>974</v>
      </c>
      <c r="D635" t="s">
        <v>974</v>
      </c>
      <c r="E635" t="s">
        <v>974</v>
      </c>
      <c r="F635" t="s">
        <v>964</v>
      </c>
      <c r="G635" t="s">
        <v>874</v>
      </c>
      <c r="H635" t="s">
        <v>875</v>
      </c>
      <c r="I635" t="s">
        <v>876</v>
      </c>
      <c r="J635" t="s">
        <v>36</v>
      </c>
      <c r="K635">
        <v>21012</v>
      </c>
      <c r="L635" t="s">
        <v>877</v>
      </c>
      <c r="M635" t="s">
        <v>878</v>
      </c>
      <c r="N635" t="s">
        <v>878</v>
      </c>
      <c r="O635">
        <v>21000</v>
      </c>
      <c r="P635" t="s">
        <v>46</v>
      </c>
      <c r="Q635" t="s">
        <v>47</v>
      </c>
      <c r="R635" t="s">
        <v>48</v>
      </c>
      <c r="T635" t="s">
        <v>36</v>
      </c>
      <c r="U635" t="s">
        <v>36</v>
      </c>
      <c r="V635" t="s">
        <v>36</v>
      </c>
      <c r="W635">
        <v>4000</v>
      </c>
      <c r="X635" t="s">
        <v>49</v>
      </c>
      <c r="Y635" t="s">
        <v>50</v>
      </c>
      <c r="Z635" t="s">
        <v>51</v>
      </c>
      <c r="AA635" t="s">
        <v>37</v>
      </c>
      <c r="AB635" t="s">
        <v>52</v>
      </c>
      <c r="AC635" t="s">
        <v>53</v>
      </c>
      <c r="AD635" t="s">
        <v>54</v>
      </c>
      <c r="AE635">
        <v>16.370048375500001</v>
      </c>
      <c r="AF635">
        <v>1608</v>
      </c>
      <c r="AG635">
        <v>1608.4345977999999</v>
      </c>
      <c r="AH635">
        <v>163703.13534800001</v>
      </c>
      <c r="AI635">
        <v>50</v>
      </c>
      <c r="AJ635">
        <v>95849.096158838307</v>
      </c>
      <c r="AK635" s="1">
        <f>intersection_ss_Lden___surface[[#This Row],[surf m2 bout ss]]/intersection_ss_Lden___surface[[#This Row],[Shape_Area]]</f>
        <v>0.58550556136314902</v>
      </c>
      <c r="AL635">
        <v>2433</v>
      </c>
      <c r="AM635">
        <f>intersection_ss_Lden___surface[[#This Row],[Population totale 2024 ss]]*intersection_ss_Lden___surface[[#This Row],[Part de la surface du qs dans le noise contour]]</f>
        <v>1424.5350307965416</v>
      </c>
    </row>
    <row r="636" spans="1:39" x14ac:dyDescent="0.3">
      <c r="A636">
        <v>666</v>
      </c>
      <c r="B636" t="s">
        <v>975</v>
      </c>
      <c r="C636" t="s">
        <v>976</v>
      </c>
      <c r="D636" t="s">
        <v>976</v>
      </c>
      <c r="E636" t="s">
        <v>976</v>
      </c>
      <c r="F636" t="s">
        <v>977</v>
      </c>
      <c r="G636" t="s">
        <v>874</v>
      </c>
      <c r="H636" t="s">
        <v>875</v>
      </c>
      <c r="I636" t="s">
        <v>876</v>
      </c>
      <c r="J636" t="s">
        <v>36</v>
      </c>
      <c r="K636">
        <v>21012</v>
      </c>
      <c r="L636" t="s">
        <v>877</v>
      </c>
      <c r="M636" t="s">
        <v>878</v>
      </c>
      <c r="N636" t="s">
        <v>878</v>
      </c>
      <c r="O636">
        <v>21000</v>
      </c>
      <c r="P636" t="s">
        <v>46</v>
      </c>
      <c r="Q636" t="s">
        <v>47</v>
      </c>
      <c r="R636" t="s">
        <v>48</v>
      </c>
      <c r="T636" t="s">
        <v>36</v>
      </c>
      <c r="U636" t="s">
        <v>36</v>
      </c>
      <c r="V636" t="s">
        <v>36</v>
      </c>
      <c r="W636">
        <v>4000</v>
      </c>
      <c r="X636" t="s">
        <v>49</v>
      </c>
      <c r="Y636" t="s">
        <v>50</v>
      </c>
      <c r="Z636" t="s">
        <v>51</v>
      </c>
      <c r="AA636" t="s">
        <v>37</v>
      </c>
      <c r="AB636" t="s">
        <v>52</v>
      </c>
      <c r="AC636" t="s">
        <v>53</v>
      </c>
      <c r="AD636" t="s">
        <v>54</v>
      </c>
      <c r="AE636">
        <v>14.2628548451</v>
      </c>
      <c r="AF636">
        <v>2259</v>
      </c>
      <c r="AG636">
        <v>2258.7598523400002</v>
      </c>
      <c r="AH636">
        <v>142630.82261800001</v>
      </c>
      <c r="AI636">
        <v>49</v>
      </c>
      <c r="AJ636">
        <v>142644.52009944999</v>
      </c>
      <c r="AK636" s="1">
        <f>intersection_ss_Lden___surface[[#This Row],[surf m2 bout ss]]/intersection_ss_Lden___surface[[#This Row],[Shape_Area]]</f>
        <v>1.000096034512026</v>
      </c>
      <c r="AL636">
        <v>3782</v>
      </c>
      <c r="AM636">
        <f>intersection_ss_Lden___surface[[#This Row],[Population totale 2024 ss]]*intersection_ss_Lden___surface[[#This Row],[Part de la surface du qs dans le noise contour]]</f>
        <v>3782.3632025244824</v>
      </c>
    </row>
    <row r="637" spans="1:39" x14ac:dyDescent="0.3">
      <c r="A637">
        <v>667</v>
      </c>
      <c r="B637" t="s">
        <v>978</v>
      </c>
      <c r="C637" t="s">
        <v>979</v>
      </c>
      <c r="D637" t="s">
        <v>979</v>
      </c>
      <c r="E637" t="s">
        <v>979</v>
      </c>
      <c r="F637" t="s">
        <v>977</v>
      </c>
      <c r="G637" t="s">
        <v>874</v>
      </c>
      <c r="H637" t="s">
        <v>875</v>
      </c>
      <c r="I637" t="s">
        <v>876</v>
      </c>
      <c r="J637" t="s">
        <v>36</v>
      </c>
      <c r="K637">
        <v>21012</v>
      </c>
      <c r="L637" t="s">
        <v>877</v>
      </c>
      <c r="M637" t="s">
        <v>878</v>
      </c>
      <c r="N637" t="s">
        <v>878</v>
      </c>
      <c r="O637">
        <v>21000</v>
      </c>
      <c r="P637" t="s">
        <v>46</v>
      </c>
      <c r="Q637" t="s">
        <v>47</v>
      </c>
      <c r="R637" t="s">
        <v>48</v>
      </c>
      <c r="T637" t="s">
        <v>36</v>
      </c>
      <c r="U637" t="s">
        <v>36</v>
      </c>
      <c r="V637" t="s">
        <v>36</v>
      </c>
      <c r="W637">
        <v>4000</v>
      </c>
      <c r="X637" t="s">
        <v>49</v>
      </c>
      <c r="Y637" t="s">
        <v>50</v>
      </c>
      <c r="Z637" t="s">
        <v>51</v>
      </c>
      <c r="AA637" t="s">
        <v>37</v>
      </c>
      <c r="AB637" t="s">
        <v>52</v>
      </c>
      <c r="AC637" t="s">
        <v>53</v>
      </c>
      <c r="AD637" t="s">
        <v>54</v>
      </c>
      <c r="AE637">
        <v>10.7101584983</v>
      </c>
      <c r="AF637">
        <v>1476</v>
      </c>
      <c r="AG637">
        <v>1475.8188542600001</v>
      </c>
      <c r="AH637">
        <v>107103.33409999999</v>
      </c>
      <c r="AI637">
        <v>49</v>
      </c>
      <c r="AJ637">
        <v>107113.62864693299</v>
      </c>
      <c r="AK637" s="1">
        <f>intersection_ss_Lden___surface[[#This Row],[surf m2 bout ss]]/intersection_ss_Lden___surface[[#This Row],[Shape_Area]]</f>
        <v>1.0000961178941767</v>
      </c>
      <c r="AL637">
        <v>2583</v>
      </c>
      <c r="AM637">
        <f>intersection_ss_Lden___surface[[#This Row],[Population totale 2024 ss]]*intersection_ss_Lden___surface[[#This Row],[Part de la surface du qs dans le noise contour]]</f>
        <v>2583.2482725206587</v>
      </c>
    </row>
    <row r="638" spans="1:39" x14ac:dyDescent="0.3">
      <c r="A638">
        <v>668</v>
      </c>
      <c r="B638" t="s">
        <v>980</v>
      </c>
      <c r="C638" t="s">
        <v>981</v>
      </c>
      <c r="D638" t="s">
        <v>982</v>
      </c>
      <c r="E638" t="s">
        <v>982</v>
      </c>
      <c r="F638" t="s">
        <v>977</v>
      </c>
      <c r="G638" t="s">
        <v>874</v>
      </c>
      <c r="H638" t="s">
        <v>875</v>
      </c>
      <c r="I638" t="s">
        <v>876</v>
      </c>
      <c r="J638" t="s">
        <v>36</v>
      </c>
      <c r="K638">
        <v>21012</v>
      </c>
      <c r="L638" t="s">
        <v>877</v>
      </c>
      <c r="M638" t="s">
        <v>878</v>
      </c>
      <c r="N638" t="s">
        <v>878</v>
      </c>
      <c r="O638">
        <v>21000</v>
      </c>
      <c r="P638" t="s">
        <v>46</v>
      </c>
      <c r="Q638" t="s">
        <v>47</v>
      </c>
      <c r="R638" t="s">
        <v>48</v>
      </c>
      <c r="T638" t="s">
        <v>36</v>
      </c>
      <c r="U638" t="s">
        <v>36</v>
      </c>
      <c r="V638" t="s">
        <v>36</v>
      </c>
      <c r="W638">
        <v>4000</v>
      </c>
      <c r="X638" t="s">
        <v>49</v>
      </c>
      <c r="Y638" t="s">
        <v>50</v>
      </c>
      <c r="Z638" t="s">
        <v>51</v>
      </c>
      <c r="AA638" t="s">
        <v>37</v>
      </c>
      <c r="AB638" t="s">
        <v>52</v>
      </c>
      <c r="AC638" t="s">
        <v>53</v>
      </c>
      <c r="AD638" t="s">
        <v>54</v>
      </c>
      <c r="AE638">
        <v>7.9882652047700002</v>
      </c>
      <c r="AF638">
        <v>1284</v>
      </c>
      <c r="AG638">
        <v>1284.35079847</v>
      </c>
      <c r="AH638">
        <v>79883.945808300006</v>
      </c>
      <c r="AI638">
        <v>49</v>
      </c>
      <c r="AJ638">
        <v>79891.645356013207</v>
      </c>
      <c r="AK638" s="1">
        <f>intersection_ss_Lden___surface[[#This Row],[surf m2 bout ss]]/intersection_ss_Lden___surface[[#This Row],[Shape_Area]]</f>
        <v>1.00009638416875</v>
      </c>
      <c r="AL638">
        <v>1407</v>
      </c>
      <c r="AM638">
        <f>intersection_ss_Lden___surface[[#This Row],[Population totale 2024 ss]]*intersection_ss_Lden___surface[[#This Row],[Part de la surface du qs dans le noise contour]]</f>
        <v>1407.1356125254313</v>
      </c>
    </row>
    <row r="639" spans="1:39" x14ac:dyDescent="0.3">
      <c r="A639">
        <v>669</v>
      </c>
      <c r="B639" t="s">
        <v>983</v>
      </c>
      <c r="C639" t="s">
        <v>984</v>
      </c>
      <c r="D639" t="s">
        <v>985</v>
      </c>
      <c r="E639" t="s">
        <v>985</v>
      </c>
      <c r="F639" t="s">
        <v>986</v>
      </c>
      <c r="G639" t="s">
        <v>874</v>
      </c>
      <c r="H639" t="s">
        <v>875</v>
      </c>
      <c r="I639" t="s">
        <v>876</v>
      </c>
      <c r="J639" t="s">
        <v>36</v>
      </c>
      <c r="K639">
        <v>21012</v>
      </c>
      <c r="L639" t="s">
        <v>877</v>
      </c>
      <c r="M639" t="s">
        <v>878</v>
      </c>
      <c r="N639" t="s">
        <v>878</v>
      </c>
      <c r="O639">
        <v>21000</v>
      </c>
      <c r="P639" t="s">
        <v>46</v>
      </c>
      <c r="Q639" t="s">
        <v>47</v>
      </c>
      <c r="R639" t="s">
        <v>48</v>
      </c>
      <c r="T639" t="s">
        <v>36</v>
      </c>
      <c r="U639" t="s">
        <v>36</v>
      </c>
      <c r="V639" t="s">
        <v>36</v>
      </c>
      <c r="W639">
        <v>4000</v>
      </c>
      <c r="X639" t="s">
        <v>49</v>
      </c>
      <c r="Y639" t="s">
        <v>50</v>
      </c>
      <c r="Z639" t="s">
        <v>51</v>
      </c>
      <c r="AA639" t="s">
        <v>37</v>
      </c>
      <c r="AB639" t="s">
        <v>52</v>
      </c>
      <c r="AC639" t="s">
        <v>53</v>
      </c>
      <c r="AD639" t="s">
        <v>54</v>
      </c>
      <c r="AE639">
        <v>5.7850928039299996</v>
      </c>
      <c r="AF639">
        <v>1316</v>
      </c>
      <c r="AG639">
        <v>1316.2836123899999</v>
      </c>
      <c r="AH639">
        <v>57851.856502000002</v>
      </c>
      <c r="AI639">
        <v>45</v>
      </c>
      <c r="AJ639">
        <v>49242.662951091901</v>
      </c>
      <c r="AK639" s="1">
        <f>intersection_ss_Lden___surface[[#This Row],[surf m2 bout ss]]/intersection_ss_Lden___surface[[#This Row],[Shape_Area]]</f>
        <v>0.85118552676679493</v>
      </c>
      <c r="AL639">
        <v>867</v>
      </c>
      <c r="AM639">
        <f>intersection_ss_Lden___surface[[#This Row],[Population totale 2024 ss]]*intersection_ss_Lden___surface[[#This Row],[Part de la surface du qs dans le noise contour]]</f>
        <v>737.97785170681118</v>
      </c>
    </row>
    <row r="640" spans="1:39" x14ac:dyDescent="0.3">
      <c r="A640">
        <v>670</v>
      </c>
      <c r="B640" t="s">
        <v>983</v>
      </c>
      <c r="C640" t="s">
        <v>984</v>
      </c>
      <c r="D640" t="s">
        <v>985</v>
      </c>
      <c r="E640" t="s">
        <v>985</v>
      </c>
      <c r="F640" t="s">
        <v>986</v>
      </c>
      <c r="G640" t="s">
        <v>874</v>
      </c>
      <c r="H640" t="s">
        <v>875</v>
      </c>
      <c r="I640" t="s">
        <v>876</v>
      </c>
      <c r="J640" t="s">
        <v>36</v>
      </c>
      <c r="K640">
        <v>21012</v>
      </c>
      <c r="L640" t="s">
        <v>877</v>
      </c>
      <c r="M640" t="s">
        <v>878</v>
      </c>
      <c r="N640" t="s">
        <v>878</v>
      </c>
      <c r="O640">
        <v>21000</v>
      </c>
      <c r="P640" t="s">
        <v>46</v>
      </c>
      <c r="Q640" t="s">
        <v>47</v>
      </c>
      <c r="R640" t="s">
        <v>48</v>
      </c>
      <c r="T640" t="s">
        <v>36</v>
      </c>
      <c r="U640" t="s">
        <v>36</v>
      </c>
      <c r="V640" t="s">
        <v>36</v>
      </c>
      <c r="W640">
        <v>4000</v>
      </c>
      <c r="X640" t="s">
        <v>49</v>
      </c>
      <c r="Y640" t="s">
        <v>50</v>
      </c>
      <c r="Z640" t="s">
        <v>51</v>
      </c>
      <c r="AA640" t="s">
        <v>37</v>
      </c>
      <c r="AB640" t="s">
        <v>52</v>
      </c>
      <c r="AC640" t="s">
        <v>53</v>
      </c>
      <c r="AD640" t="s">
        <v>54</v>
      </c>
      <c r="AE640">
        <v>5.7850928039299996</v>
      </c>
      <c r="AF640">
        <v>1316</v>
      </c>
      <c r="AG640">
        <v>1316.2836123899999</v>
      </c>
      <c r="AH640">
        <v>57851.856502000002</v>
      </c>
      <c r="AI640">
        <v>46</v>
      </c>
      <c r="AJ640">
        <v>8614.7389971663906</v>
      </c>
      <c r="AK640" s="1">
        <f>intersection_ss_Lden___surface[[#This Row],[surf m2 bout ss]]/intersection_ss_Lden___surface[[#This Row],[Shape_Area]]</f>
        <v>0.1489103292107587</v>
      </c>
      <c r="AL640">
        <v>867</v>
      </c>
      <c r="AM640">
        <f>intersection_ss_Lden___surface[[#This Row],[Population totale 2024 ss]]*intersection_ss_Lden___surface[[#This Row],[Part de la surface du qs dans le noise contour]]</f>
        <v>129.10525542572779</v>
      </c>
    </row>
    <row r="641" spans="1:39" x14ac:dyDescent="0.3">
      <c r="A641">
        <v>671</v>
      </c>
      <c r="B641" t="s">
        <v>987</v>
      </c>
      <c r="C641" t="s">
        <v>988</v>
      </c>
      <c r="D641" t="s">
        <v>988</v>
      </c>
      <c r="E641" t="s">
        <v>988</v>
      </c>
      <c r="F641" t="s">
        <v>986</v>
      </c>
      <c r="G641" t="s">
        <v>874</v>
      </c>
      <c r="H641" t="s">
        <v>875</v>
      </c>
      <c r="I641" t="s">
        <v>876</v>
      </c>
      <c r="J641" t="s">
        <v>36</v>
      </c>
      <c r="K641">
        <v>21012</v>
      </c>
      <c r="L641" t="s">
        <v>877</v>
      </c>
      <c r="M641" t="s">
        <v>878</v>
      </c>
      <c r="N641" t="s">
        <v>878</v>
      </c>
      <c r="O641">
        <v>21000</v>
      </c>
      <c r="P641" t="s">
        <v>46</v>
      </c>
      <c r="Q641" t="s">
        <v>47</v>
      </c>
      <c r="R641" t="s">
        <v>48</v>
      </c>
      <c r="T641" t="s">
        <v>36</v>
      </c>
      <c r="U641" t="s">
        <v>36</v>
      </c>
      <c r="V641" t="s">
        <v>36</v>
      </c>
      <c r="W641">
        <v>4000</v>
      </c>
      <c r="X641" t="s">
        <v>49</v>
      </c>
      <c r="Y641" t="s">
        <v>50</v>
      </c>
      <c r="Z641" t="s">
        <v>51</v>
      </c>
      <c r="AA641" t="s">
        <v>37</v>
      </c>
      <c r="AB641" t="s">
        <v>52</v>
      </c>
      <c r="AC641" t="s">
        <v>53</v>
      </c>
      <c r="AD641" t="s">
        <v>54</v>
      </c>
      <c r="AE641">
        <v>24.463689845899999</v>
      </c>
      <c r="AF641">
        <v>2453</v>
      </c>
      <c r="AG641">
        <v>2452.6029577099998</v>
      </c>
      <c r="AH641">
        <v>244640.82914799999</v>
      </c>
      <c r="AI641">
        <v>45</v>
      </c>
      <c r="AJ641">
        <v>77571.854231267207</v>
      </c>
      <c r="AK641" s="1">
        <f>intersection_ss_Lden___surface[[#This Row],[surf m2 bout ss]]/intersection_ss_Lden___surface[[#This Row],[Shape_Area]]</f>
        <v>0.31708466040367561</v>
      </c>
      <c r="AL641">
        <v>5380</v>
      </c>
      <c r="AM641">
        <f>intersection_ss_Lden___surface[[#This Row],[Population totale 2024 ss]]*intersection_ss_Lden___surface[[#This Row],[Part de la surface du qs dans le noise contour]]</f>
        <v>1705.9154729717748</v>
      </c>
    </row>
    <row r="642" spans="1:39" x14ac:dyDescent="0.3">
      <c r="A642">
        <v>672</v>
      </c>
      <c r="B642" t="s">
        <v>987</v>
      </c>
      <c r="C642" t="s">
        <v>988</v>
      </c>
      <c r="D642" t="s">
        <v>988</v>
      </c>
      <c r="E642" t="s">
        <v>988</v>
      </c>
      <c r="F642" t="s">
        <v>986</v>
      </c>
      <c r="G642" t="s">
        <v>874</v>
      </c>
      <c r="H642" t="s">
        <v>875</v>
      </c>
      <c r="I642" t="s">
        <v>876</v>
      </c>
      <c r="J642" t="s">
        <v>36</v>
      </c>
      <c r="K642">
        <v>21012</v>
      </c>
      <c r="L642" t="s">
        <v>877</v>
      </c>
      <c r="M642" t="s">
        <v>878</v>
      </c>
      <c r="N642" t="s">
        <v>878</v>
      </c>
      <c r="O642">
        <v>21000</v>
      </c>
      <c r="P642" t="s">
        <v>46</v>
      </c>
      <c r="Q642" t="s">
        <v>47</v>
      </c>
      <c r="R642" t="s">
        <v>48</v>
      </c>
      <c r="T642" t="s">
        <v>36</v>
      </c>
      <c r="U642" t="s">
        <v>36</v>
      </c>
      <c r="V642" t="s">
        <v>36</v>
      </c>
      <c r="W642">
        <v>4000</v>
      </c>
      <c r="X642" t="s">
        <v>49</v>
      </c>
      <c r="Y642" t="s">
        <v>50</v>
      </c>
      <c r="Z642" t="s">
        <v>51</v>
      </c>
      <c r="AA642" t="s">
        <v>37</v>
      </c>
      <c r="AB642" t="s">
        <v>52</v>
      </c>
      <c r="AC642" t="s">
        <v>53</v>
      </c>
      <c r="AD642" t="s">
        <v>54</v>
      </c>
      <c r="AE642">
        <v>24.463689845899999</v>
      </c>
      <c r="AF642">
        <v>2453</v>
      </c>
      <c r="AG642">
        <v>2452.6029577099998</v>
      </c>
      <c r="AH642">
        <v>244640.82914799999</v>
      </c>
      <c r="AI642">
        <v>46</v>
      </c>
      <c r="AJ642">
        <v>167092.55992286999</v>
      </c>
      <c r="AK642" s="1">
        <f>intersection_ss_Lden___surface[[#This Row],[surf m2 bout ss]]/intersection_ss_Lden___surface[[#This Row],[Shape_Area]]</f>
        <v>0.68301174626000083</v>
      </c>
      <c r="AL642">
        <v>5380</v>
      </c>
      <c r="AM642">
        <f>intersection_ss_Lden___surface[[#This Row],[Population totale 2024 ss]]*intersection_ss_Lden___surface[[#This Row],[Part de la surface du qs dans le noise contour]]</f>
        <v>3674.6031948788045</v>
      </c>
    </row>
    <row r="643" spans="1:39" x14ac:dyDescent="0.3">
      <c r="A643">
        <v>673</v>
      </c>
      <c r="B643" t="s">
        <v>989</v>
      </c>
      <c r="C643" t="s">
        <v>990</v>
      </c>
      <c r="D643" t="s">
        <v>990</v>
      </c>
      <c r="E643" t="s">
        <v>990</v>
      </c>
      <c r="F643" t="s">
        <v>986</v>
      </c>
      <c r="G643" t="s">
        <v>874</v>
      </c>
      <c r="H643" t="s">
        <v>875</v>
      </c>
      <c r="I643" t="s">
        <v>876</v>
      </c>
      <c r="J643" t="s">
        <v>36</v>
      </c>
      <c r="K643">
        <v>21012</v>
      </c>
      <c r="L643" t="s">
        <v>877</v>
      </c>
      <c r="M643" t="s">
        <v>878</v>
      </c>
      <c r="N643" t="s">
        <v>878</v>
      </c>
      <c r="O643">
        <v>21000</v>
      </c>
      <c r="P643" t="s">
        <v>46</v>
      </c>
      <c r="Q643" t="s">
        <v>47</v>
      </c>
      <c r="R643" t="s">
        <v>48</v>
      </c>
      <c r="T643" t="s">
        <v>36</v>
      </c>
      <c r="U643" t="s">
        <v>36</v>
      </c>
      <c r="V643" t="s">
        <v>36</v>
      </c>
      <c r="W643">
        <v>4000</v>
      </c>
      <c r="X643" t="s">
        <v>49</v>
      </c>
      <c r="Y643" t="s">
        <v>50</v>
      </c>
      <c r="Z643" t="s">
        <v>51</v>
      </c>
      <c r="AA643" t="s">
        <v>37</v>
      </c>
      <c r="AB643" t="s">
        <v>52</v>
      </c>
      <c r="AC643" t="s">
        <v>53</v>
      </c>
      <c r="AD643" t="s">
        <v>54</v>
      </c>
      <c r="AE643">
        <v>11.2287618119</v>
      </c>
      <c r="AF643">
        <v>1623</v>
      </c>
      <c r="AG643">
        <v>1623.4892711299999</v>
      </c>
      <c r="AH643">
        <v>112289.429967</v>
      </c>
      <c r="AI643">
        <v>45</v>
      </c>
      <c r="AJ643">
        <v>84554.961071944606</v>
      </c>
      <c r="AK643" s="1">
        <f>intersection_ss_Lden___surface[[#This Row],[surf m2 bout ss]]/intersection_ss_Lden___surface[[#This Row],[Shape_Area]]</f>
        <v>0.75300908640104325</v>
      </c>
      <c r="AL643">
        <v>432</v>
      </c>
      <c r="AM643">
        <f>intersection_ss_Lden___surface[[#This Row],[Population totale 2024 ss]]*intersection_ss_Lden___surface[[#This Row],[Part de la surface du qs dans le noise contour]]</f>
        <v>325.29992532525068</v>
      </c>
    </row>
    <row r="644" spans="1:39" x14ac:dyDescent="0.3">
      <c r="A644">
        <v>674</v>
      </c>
      <c r="B644" t="s">
        <v>989</v>
      </c>
      <c r="C644" t="s">
        <v>990</v>
      </c>
      <c r="D644" t="s">
        <v>990</v>
      </c>
      <c r="E644" t="s">
        <v>990</v>
      </c>
      <c r="F644" t="s">
        <v>986</v>
      </c>
      <c r="G644" t="s">
        <v>874</v>
      </c>
      <c r="H644" t="s">
        <v>875</v>
      </c>
      <c r="I644" t="s">
        <v>876</v>
      </c>
      <c r="J644" t="s">
        <v>36</v>
      </c>
      <c r="K644">
        <v>21012</v>
      </c>
      <c r="L644" t="s">
        <v>877</v>
      </c>
      <c r="M644" t="s">
        <v>878</v>
      </c>
      <c r="N644" t="s">
        <v>878</v>
      </c>
      <c r="O644">
        <v>21000</v>
      </c>
      <c r="P644" t="s">
        <v>46</v>
      </c>
      <c r="Q644" t="s">
        <v>47</v>
      </c>
      <c r="R644" t="s">
        <v>48</v>
      </c>
      <c r="T644" t="s">
        <v>36</v>
      </c>
      <c r="U644" t="s">
        <v>36</v>
      </c>
      <c r="V644" t="s">
        <v>36</v>
      </c>
      <c r="W644">
        <v>4000</v>
      </c>
      <c r="X644" t="s">
        <v>49</v>
      </c>
      <c r="Y644" t="s">
        <v>50</v>
      </c>
      <c r="Z644" t="s">
        <v>51</v>
      </c>
      <c r="AA644" t="s">
        <v>37</v>
      </c>
      <c r="AB644" t="s">
        <v>52</v>
      </c>
      <c r="AC644" t="s">
        <v>53</v>
      </c>
      <c r="AD644" t="s">
        <v>54</v>
      </c>
      <c r="AE644">
        <v>11.2287618119</v>
      </c>
      <c r="AF644">
        <v>1623</v>
      </c>
      <c r="AG644">
        <v>1623.4892711299999</v>
      </c>
      <c r="AH644">
        <v>112289.429967</v>
      </c>
      <c r="AI644">
        <v>46</v>
      </c>
      <c r="AJ644">
        <v>27745.352898472702</v>
      </c>
      <c r="AK644" s="1">
        <f>intersection_ss_Lden___surface[[#This Row],[surf m2 bout ss]]/intersection_ss_Lden___surface[[#This Row],[Shape_Area]]</f>
        <v>0.24708784171962223</v>
      </c>
      <c r="AL644">
        <v>432</v>
      </c>
      <c r="AM644">
        <f>intersection_ss_Lden___surface[[#This Row],[Population totale 2024 ss]]*intersection_ss_Lden___surface[[#This Row],[Part de la surface du qs dans le noise contour]]</f>
        <v>106.74194762287681</v>
      </c>
    </row>
    <row r="645" spans="1:39" x14ac:dyDescent="0.3">
      <c r="A645">
        <v>675</v>
      </c>
      <c r="B645" t="s">
        <v>991</v>
      </c>
      <c r="C645" t="s">
        <v>992</v>
      </c>
      <c r="D645" t="s">
        <v>992</v>
      </c>
      <c r="E645" t="s">
        <v>992</v>
      </c>
      <c r="F645" t="s">
        <v>986</v>
      </c>
      <c r="G645" t="s">
        <v>874</v>
      </c>
      <c r="H645" t="s">
        <v>875</v>
      </c>
      <c r="I645" t="s">
        <v>876</v>
      </c>
      <c r="J645" t="s">
        <v>36</v>
      </c>
      <c r="K645">
        <v>21012</v>
      </c>
      <c r="L645" t="s">
        <v>877</v>
      </c>
      <c r="M645" t="s">
        <v>878</v>
      </c>
      <c r="N645" t="s">
        <v>878</v>
      </c>
      <c r="O645">
        <v>21000</v>
      </c>
      <c r="P645" t="s">
        <v>46</v>
      </c>
      <c r="Q645" t="s">
        <v>47</v>
      </c>
      <c r="R645" t="s">
        <v>48</v>
      </c>
      <c r="T645" t="s">
        <v>36</v>
      </c>
      <c r="U645" t="s">
        <v>36</v>
      </c>
      <c r="V645" t="s">
        <v>36</v>
      </c>
      <c r="W645">
        <v>4000</v>
      </c>
      <c r="X645" t="s">
        <v>49</v>
      </c>
      <c r="Y645" t="s">
        <v>50</v>
      </c>
      <c r="Z645" t="s">
        <v>51</v>
      </c>
      <c r="AA645" t="s">
        <v>37</v>
      </c>
      <c r="AB645" t="s">
        <v>52</v>
      </c>
      <c r="AC645" t="s">
        <v>53</v>
      </c>
      <c r="AD645" t="s">
        <v>54</v>
      </c>
      <c r="AE645">
        <v>7.0903956198599998</v>
      </c>
      <c r="AF645">
        <v>1300</v>
      </c>
      <c r="AG645">
        <v>1300.0479911100001</v>
      </c>
      <c r="AH645">
        <v>70905.109893999994</v>
      </c>
      <c r="AI645">
        <v>46</v>
      </c>
      <c r="AJ645">
        <v>70911.984782585205</v>
      </c>
      <c r="AK645" s="1">
        <f>intersection_ss_Lden___surface[[#This Row],[surf m2 bout ss]]/intersection_ss_Lden___surface[[#This Row],[Shape_Area]]</f>
        <v>1.0000969590004936</v>
      </c>
      <c r="AL645">
        <v>2231</v>
      </c>
      <c r="AM645">
        <f>intersection_ss_Lden___surface[[#This Row],[Population totale 2024 ss]]*intersection_ss_Lden___surface[[#This Row],[Part de la surface du qs dans le noise contour]]</f>
        <v>2231.2163155301009</v>
      </c>
    </row>
    <row r="646" spans="1:39" x14ac:dyDescent="0.3">
      <c r="A646">
        <v>676</v>
      </c>
      <c r="B646" t="s">
        <v>993</v>
      </c>
      <c r="C646" t="s">
        <v>994</v>
      </c>
      <c r="D646" t="s">
        <v>994</v>
      </c>
      <c r="E646" t="s">
        <v>994</v>
      </c>
      <c r="F646" t="s">
        <v>986</v>
      </c>
      <c r="G646" t="s">
        <v>874</v>
      </c>
      <c r="H646" t="s">
        <v>875</v>
      </c>
      <c r="I646" t="s">
        <v>876</v>
      </c>
      <c r="J646" t="s">
        <v>36</v>
      </c>
      <c r="K646">
        <v>21012</v>
      </c>
      <c r="L646" t="s">
        <v>877</v>
      </c>
      <c r="M646" t="s">
        <v>878</v>
      </c>
      <c r="N646" t="s">
        <v>878</v>
      </c>
      <c r="O646">
        <v>21000</v>
      </c>
      <c r="P646" t="s">
        <v>46</v>
      </c>
      <c r="Q646" t="s">
        <v>47</v>
      </c>
      <c r="R646" t="s">
        <v>48</v>
      </c>
      <c r="T646" t="s">
        <v>36</v>
      </c>
      <c r="U646" t="s">
        <v>36</v>
      </c>
      <c r="V646" t="s">
        <v>36</v>
      </c>
      <c r="W646">
        <v>4000</v>
      </c>
      <c r="X646" t="s">
        <v>49</v>
      </c>
      <c r="Y646" t="s">
        <v>50</v>
      </c>
      <c r="Z646" t="s">
        <v>51</v>
      </c>
      <c r="AA646" t="s">
        <v>37</v>
      </c>
      <c r="AB646" t="s">
        <v>52</v>
      </c>
      <c r="AC646" t="s">
        <v>53</v>
      </c>
      <c r="AD646" t="s">
        <v>54</v>
      </c>
      <c r="AE646">
        <v>12.385575279899999</v>
      </c>
      <c r="AF646">
        <v>2777</v>
      </c>
      <c r="AG646">
        <v>2776.6212028700002</v>
      </c>
      <c r="AH646">
        <v>123857.74987</v>
      </c>
      <c r="AI646">
        <v>46</v>
      </c>
      <c r="AJ646">
        <v>108910.58986709701</v>
      </c>
      <c r="AK646" s="1">
        <f>intersection_ss_Lden___surface[[#This Row],[surf m2 bout ss]]/intersection_ss_Lden___surface[[#This Row],[Shape_Area]]</f>
        <v>0.87931994551337</v>
      </c>
      <c r="AL646">
        <v>1959</v>
      </c>
      <c r="AM646">
        <f>intersection_ss_Lden___surface[[#This Row],[Population totale 2024 ss]]*intersection_ss_Lden___surface[[#This Row],[Part de la surface du qs dans le noise contour]]</f>
        <v>1722.5877732606918</v>
      </c>
    </row>
    <row r="647" spans="1:39" x14ac:dyDescent="0.3">
      <c r="A647">
        <v>677</v>
      </c>
      <c r="B647" t="s">
        <v>993</v>
      </c>
      <c r="C647" t="s">
        <v>994</v>
      </c>
      <c r="D647" t="s">
        <v>994</v>
      </c>
      <c r="E647" t="s">
        <v>994</v>
      </c>
      <c r="F647" t="s">
        <v>986</v>
      </c>
      <c r="G647" t="s">
        <v>874</v>
      </c>
      <c r="H647" t="s">
        <v>875</v>
      </c>
      <c r="I647" t="s">
        <v>876</v>
      </c>
      <c r="J647" t="s">
        <v>36</v>
      </c>
      <c r="K647">
        <v>21012</v>
      </c>
      <c r="L647" t="s">
        <v>877</v>
      </c>
      <c r="M647" t="s">
        <v>878</v>
      </c>
      <c r="N647" t="s">
        <v>878</v>
      </c>
      <c r="O647">
        <v>21000</v>
      </c>
      <c r="P647" t="s">
        <v>46</v>
      </c>
      <c r="Q647" t="s">
        <v>47</v>
      </c>
      <c r="R647" t="s">
        <v>48</v>
      </c>
      <c r="T647" t="s">
        <v>36</v>
      </c>
      <c r="U647" t="s">
        <v>36</v>
      </c>
      <c r="V647" t="s">
        <v>36</v>
      </c>
      <c r="W647">
        <v>4000</v>
      </c>
      <c r="X647" t="s">
        <v>49</v>
      </c>
      <c r="Y647" t="s">
        <v>50</v>
      </c>
      <c r="Z647" t="s">
        <v>51</v>
      </c>
      <c r="AA647" t="s">
        <v>37</v>
      </c>
      <c r="AB647" t="s">
        <v>52</v>
      </c>
      <c r="AC647" t="s">
        <v>53</v>
      </c>
      <c r="AD647" t="s">
        <v>54</v>
      </c>
      <c r="AE647">
        <v>12.385575279899999</v>
      </c>
      <c r="AF647">
        <v>2777</v>
      </c>
      <c r="AG647">
        <v>2776.6212028700002</v>
      </c>
      <c r="AH647">
        <v>123857.74987</v>
      </c>
      <c r="AI647">
        <v>47</v>
      </c>
      <c r="AJ647">
        <v>14959.1785729649</v>
      </c>
      <c r="AK647" s="1">
        <f>intersection_ss_Lden___surface[[#This Row],[surf m2 bout ss]]/intersection_ss_Lden___surface[[#This Row],[Shape_Area]]</f>
        <v>0.12077708975551325</v>
      </c>
      <c r="AL647">
        <v>1959</v>
      </c>
      <c r="AM647">
        <f>intersection_ss_Lden___surface[[#This Row],[Population totale 2024 ss]]*intersection_ss_Lden___surface[[#This Row],[Part de la surface du qs dans le noise contour]]</f>
        <v>236.60231883105047</v>
      </c>
    </row>
    <row r="648" spans="1:39" x14ac:dyDescent="0.3">
      <c r="A648">
        <v>678</v>
      </c>
      <c r="B648" t="s">
        <v>995</v>
      </c>
      <c r="C648" t="s">
        <v>996</v>
      </c>
      <c r="D648" t="s">
        <v>996</v>
      </c>
      <c r="E648" t="s">
        <v>996</v>
      </c>
      <c r="F648" t="s">
        <v>986</v>
      </c>
      <c r="G648" t="s">
        <v>874</v>
      </c>
      <c r="H648" t="s">
        <v>875</v>
      </c>
      <c r="I648" t="s">
        <v>876</v>
      </c>
      <c r="J648" t="s">
        <v>36</v>
      </c>
      <c r="K648">
        <v>21012</v>
      </c>
      <c r="L648" t="s">
        <v>877</v>
      </c>
      <c r="M648" t="s">
        <v>878</v>
      </c>
      <c r="N648" t="s">
        <v>878</v>
      </c>
      <c r="O648">
        <v>21000</v>
      </c>
      <c r="P648" t="s">
        <v>46</v>
      </c>
      <c r="Q648" t="s">
        <v>47</v>
      </c>
      <c r="R648" t="s">
        <v>48</v>
      </c>
      <c r="T648" t="s">
        <v>36</v>
      </c>
      <c r="U648" t="s">
        <v>36</v>
      </c>
      <c r="V648" t="s">
        <v>36</v>
      </c>
      <c r="W648">
        <v>4000</v>
      </c>
      <c r="X648" t="s">
        <v>49</v>
      </c>
      <c r="Y648" t="s">
        <v>50</v>
      </c>
      <c r="Z648" t="s">
        <v>51</v>
      </c>
      <c r="AA648" t="s">
        <v>37</v>
      </c>
      <c r="AB648" t="s">
        <v>52</v>
      </c>
      <c r="AC648" t="s">
        <v>53</v>
      </c>
      <c r="AD648" t="s">
        <v>54</v>
      </c>
      <c r="AE648">
        <v>9.4008662477799998</v>
      </c>
      <c r="AF648">
        <v>1261</v>
      </c>
      <c r="AG648">
        <v>1260.5840428399999</v>
      </c>
      <c r="AH648">
        <v>94010.159125699996</v>
      </c>
      <c r="AI648">
        <v>46</v>
      </c>
      <c r="AJ648">
        <v>45821.971219330997</v>
      </c>
      <c r="AK648" s="1">
        <f>intersection_ss_Lden___surface[[#This Row],[surf m2 bout ss]]/intersection_ss_Lden___surface[[#This Row],[Shape_Area]]</f>
        <v>0.48741510114947173</v>
      </c>
      <c r="AL648">
        <v>500</v>
      </c>
      <c r="AM648">
        <f>intersection_ss_Lden___surface[[#This Row],[Population totale 2024 ss]]*intersection_ss_Lden___surface[[#This Row],[Part de la surface du qs dans le noise contour]]</f>
        <v>243.70755057473588</v>
      </c>
    </row>
    <row r="649" spans="1:39" x14ac:dyDescent="0.3">
      <c r="A649">
        <v>679</v>
      </c>
      <c r="B649" t="s">
        <v>995</v>
      </c>
      <c r="C649" t="s">
        <v>996</v>
      </c>
      <c r="D649" t="s">
        <v>996</v>
      </c>
      <c r="E649" t="s">
        <v>996</v>
      </c>
      <c r="F649" t="s">
        <v>986</v>
      </c>
      <c r="G649" t="s">
        <v>874</v>
      </c>
      <c r="H649" t="s">
        <v>875</v>
      </c>
      <c r="I649" t="s">
        <v>876</v>
      </c>
      <c r="J649" t="s">
        <v>36</v>
      </c>
      <c r="K649">
        <v>21012</v>
      </c>
      <c r="L649" t="s">
        <v>877</v>
      </c>
      <c r="M649" t="s">
        <v>878</v>
      </c>
      <c r="N649" t="s">
        <v>878</v>
      </c>
      <c r="O649">
        <v>21000</v>
      </c>
      <c r="P649" t="s">
        <v>46</v>
      </c>
      <c r="Q649" t="s">
        <v>47</v>
      </c>
      <c r="R649" t="s">
        <v>48</v>
      </c>
      <c r="T649" t="s">
        <v>36</v>
      </c>
      <c r="U649" t="s">
        <v>36</v>
      </c>
      <c r="V649" t="s">
        <v>36</v>
      </c>
      <c r="W649">
        <v>4000</v>
      </c>
      <c r="X649" t="s">
        <v>49</v>
      </c>
      <c r="Y649" t="s">
        <v>50</v>
      </c>
      <c r="Z649" t="s">
        <v>51</v>
      </c>
      <c r="AA649" t="s">
        <v>37</v>
      </c>
      <c r="AB649" t="s">
        <v>52</v>
      </c>
      <c r="AC649" t="s">
        <v>53</v>
      </c>
      <c r="AD649" t="s">
        <v>54</v>
      </c>
      <c r="AE649">
        <v>9.4008662477799998</v>
      </c>
      <c r="AF649">
        <v>1261</v>
      </c>
      <c r="AG649">
        <v>1260.5840428399999</v>
      </c>
      <c r="AH649">
        <v>94010.159125699996</v>
      </c>
      <c r="AI649">
        <v>47</v>
      </c>
      <c r="AJ649">
        <v>48197.296970590898</v>
      </c>
      <c r="AK649" s="1">
        <f>intersection_ss_Lden___surface[[#This Row],[surf m2 bout ss]]/intersection_ss_Lden___surface[[#This Row],[Shape_Area]]</f>
        <v>0.51268179331711161</v>
      </c>
      <c r="AL649">
        <v>500</v>
      </c>
      <c r="AM649">
        <f>intersection_ss_Lden___surface[[#This Row],[Population totale 2024 ss]]*intersection_ss_Lden___surface[[#This Row],[Part de la surface du qs dans le noise contour]]</f>
        <v>256.34089665855578</v>
      </c>
    </row>
    <row r="650" spans="1:39" x14ac:dyDescent="0.3">
      <c r="A650">
        <v>680</v>
      </c>
      <c r="B650" t="s">
        <v>997</v>
      </c>
      <c r="C650" t="s">
        <v>998</v>
      </c>
      <c r="D650" t="s">
        <v>999</v>
      </c>
      <c r="E650" t="s">
        <v>999</v>
      </c>
      <c r="F650" t="s">
        <v>1000</v>
      </c>
      <c r="G650" t="s">
        <v>1001</v>
      </c>
      <c r="H650" t="s">
        <v>1002</v>
      </c>
      <c r="I650" t="s">
        <v>1003</v>
      </c>
      <c r="J650" t="s">
        <v>36</v>
      </c>
      <c r="K650">
        <v>21013</v>
      </c>
      <c r="L650" t="s">
        <v>1004</v>
      </c>
      <c r="M650" t="s">
        <v>1005</v>
      </c>
      <c r="N650" t="s">
        <v>1005</v>
      </c>
      <c r="O650">
        <v>21000</v>
      </c>
      <c r="P650" t="s">
        <v>46</v>
      </c>
      <c r="Q650" t="s">
        <v>47</v>
      </c>
      <c r="R650" t="s">
        <v>48</v>
      </c>
      <c r="T650" t="s">
        <v>36</v>
      </c>
      <c r="U650" t="s">
        <v>36</v>
      </c>
      <c r="V650" t="s">
        <v>36</v>
      </c>
      <c r="W650">
        <v>4000</v>
      </c>
      <c r="X650" t="s">
        <v>49</v>
      </c>
      <c r="Y650" t="s">
        <v>50</v>
      </c>
      <c r="Z650" t="s">
        <v>51</v>
      </c>
      <c r="AA650" t="s">
        <v>37</v>
      </c>
      <c r="AB650" t="s">
        <v>52</v>
      </c>
      <c r="AC650" t="s">
        <v>53</v>
      </c>
      <c r="AD650" t="s">
        <v>54</v>
      </c>
      <c r="AE650">
        <v>13.5906600623</v>
      </c>
      <c r="AF650">
        <v>1629</v>
      </c>
      <c r="AG650">
        <v>1629.31192089</v>
      </c>
      <c r="AH650">
        <v>135908.78975600001</v>
      </c>
      <c r="AI650">
        <v>45</v>
      </c>
      <c r="AJ650">
        <v>135922.52625049601</v>
      </c>
      <c r="AK650" s="1">
        <f>intersection_ss_Lden___surface[[#This Row],[surf m2 bout ss]]/intersection_ss_Lden___surface[[#This Row],[Shape_Area]]</f>
        <v>1.0001010714209189</v>
      </c>
      <c r="AL650">
        <v>2434</v>
      </c>
      <c r="AM650">
        <f>intersection_ss_Lden___surface[[#This Row],[Population totale 2024 ss]]*intersection_ss_Lden___surface[[#This Row],[Part de la surface du qs dans le noise contour]]</f>
        <v>2434.2460078385166</v>
      </c>
    </row>
    <row r="651" spans="1:39" x14ac:dyDescent="0.3">
      <c r="A651">
        <v>681</v>
      </c>
      <c r="B651" t="s">
        <v>1006</v>
      </c>
      <c r="C651" t="s">
        <v>1007</v>
      </c>
      <c r="D651" t="s">
        <v>1007</v>
      </c>
      <c r="E651" t="s">
        <v>1007</v>
      </c>
      <c r="F651" t="s">
        <v>1000</v>
      </c>
      <c r="G651" t="s">
        <v>1001</v>
      </c>
      <c r="H651" t="s">
        <v>1002</v>
      </c>
      <c r="I651" t="s">
        <v>1003</v>
      </c>
      <c r="J651" t="s">
        <v>36</v>
      </c>
      <c r="K651">
        <v>21013</v>
      </c>
      <c r="L651" t="s">
        <v>1004</v>
      </c>
      <c r="M651" t="s">
        <v>1005</v>
      </c>
      <c r="N651" t="s">
        <v>1005</v>
      </c>
      <c r="O651">
        <v>21000</v>
      </c>
      <c r="P651" t="s">
        <v>46</v>
      </c>
      <c r="Q651" t="s">
        <v>47</v>
      </c>
      <c r="R651" t="s">
        <v>48</v>
      </c>
      <c r="T651" t="s">
        <v>36</v>
      </c>
      <c r="U651" t="s">
        <v>36</v>
      </c>
      <c r="V651" t="s">
        <v>36</v>
      </c>
      <c r="W651">
        <v>4000</v>
      </c>
      <c r="X651" t="s">
        <v>49</v>
      </c>
      <c r="Y651" t="s">
        <v>50</v>
      </c>
      <c r="Z651" t="s">
        <v>51</v>
      </c>
      <c r="AA651" t="s">
        <v>37</v>
      </c>
      <c r="AB651" t="s">
        <v>52</v>
      </c>
      <c r="AC651" t="s">
        <v>53</v>
      </c>
      <c r="AD651" t="s">
        <v>54</v>
      </c>
      <c r="AE651">
        <v>8.0831619267299999</v>
      </c>
      <c r="AF651">
        <v>1379</v>
      </c>
      <c r="AG651">
        <v>1379.12854358</v>
      </c>
      <c r="AH651">
        <v>80832.919033300001</v>
      </c>
      <c r="AI651">
        <v>45</v>
      </c>
      <c r="AJ651">
        <v>43908.020078583002</v>
      </c>
      <c r="AK651" s="1">
        <f>intersection_ss_Lden___surface[[#This Row],[surf m2 bout ss]]/intersection_ss_Lden___surface[[#This Row],[Shape_Area]]</f>
        <v>0.5431947850416563</v>
      </c>
      <c r="AL651">
        <v>2310</v>
      </c>
      <c r="AM651">
        <f>intersection_ss_Lden___surface[[#This Row],[Population totale 2024 ss]]*intersection_ss_Lden___surface[[#This Row],[Part de la surface du qs dans le noise contour]]</f>
        <v>1254.779953446226</v>
      </c>
    </row>
    <row r="652" spans="1:39" x14ac:dyDescent="0.3">
      <c r="A652">
        <v>682</v>
      </c>
      <c r="B652" t="s">
        <v>1008</v>
      </c>
      <c r="C652" t="s">
        <v>1009</v>
      </c>
      <c r="D652" t="s">
        <v>1010</v>
      </c>
      <c r="E652" t="s">
        <v>1010</v>
      </c>
      <c r="F652" t="s">
        <v>1000</v>
      </c>
      <c r="G652" t="s">
        <v>1001</v>
      </c>
      <c r="H652" t="s">
        <v>1002</v>
      </c>
      <c r="I652" t="s">
        <v>1003</v>
      </c>
      <c r="J652" t="s">
        <v>36</v>
      </c>
      <c r="K652">
        <v>21013</v>
      </c>
      <c r="L652" t="s">
        <v>1004</v>
      </c>
      <c r="M652" t="s">
        <v>1005</v>
      </c>
      <c r="N652" t="s">
        <v>1005</v>
      </c>
      <c r="O652">
        <v>21000</v>
      </c>
      <c r="P652" t="s">
        <v>46</v>
      </c>
      <c r="Q652" t="s">
        <v>47</v>
      </c>
      <c r="R652" t="s">
        <v>48</v>
      </c>
      <c r="T652" t="s">
        <v>36</v>
      </c>
      <c r="U652" t="s">
        <v>36</v>
      </c>
      <c r="V652" t="s">
        <v>36</v>
      </c>
      <c r="W652">
        <v>4000</v>
      </c>
      <c r="X652" t="s">
        <v>49</v>
      </c>
      <c r="Y652" t="s">
        <v>50</v>
      </c>
      <c r="Z652" t="s">
        <v>51</v>
      </c>
      <c r="AA652" t="s">
        <v>37</v>
      </c>
      <c r="AB652" t="s">
        <v>52</v>
      </c>
      <c r="AC652" t="s">
        <v>53</v>
      </c>
      <c r="AD652" t="s">
        <v>54</v>
      </c>
      <c r="AE652">
        <v>11.3611797978</v>
      </c>
      <c r="AF652">
        <v>1699</v>
      </c>
      <c r="AG652">
        <v>1698.9686349799999</v>
      </c>
      <c r="AH652">
        <v>113613.619378</v>
      </c>
      <c r="AI652">
        <v>45</v>
      </c>
      <c r="AJ652">
        <v>38441.598414515502</v>
      </c>
      <c r="AK652" s="1">
        <f>intersection_ss_Lden___surface[[#This Row],[surf m2 bout ss]]/intersection_ss_Lden___surface[[#This Row],[Shape_Area]]</f>
        <v>0.33835378738017113</v>
      </c>
      <c r="AL652">
        <v>3601</v>
      </c>
      <c r="AM652">
        <f>intersection_ss_Lden___surface[[#This Row],[Population totale 2024 ss]]*intersection_ss_Lden___surface[[#This Row],[Part de la surface du qs dans le noise contour]]</f>
        <v>1218.4119883559963</v>
      </c>
    </row>
    <row r="653" spans="1:39" x14ac:dyDescent="0.3">
      <c r="A653">
        <v>683</v>
      </c>
      <c r="B653" t="s">
        <v>1011</v>
      </c>
      <c r="C653" t="s">
        <v>1012</v>
      </c>
      <c r="D653" t="s">
        <v>1013</v>
      </c>
      <c r="E653" t="s">
        <v>1013</v>
      </c>
      <c r="F653" t="s">
        <v>1000</v>
      </c>
      <c r="G653" t="s">
        <v>1001</v>
      </c>
      <c r="H653" t="s">
        <v>1002</v>
      </c>
      <c r="I653" t="s">
        <v>1003</v>
      </c>
      <c r="J653" t="s">
        <v>36</v>
      </c>
      <c r="K653">
        <v>21013</v>
      </c>
      <c r="L653" t="s">
        <v>1004</v>
      </c>
      <c r="M653" t="s">
        <v>1005</v>
      </c>
      <c r="N653" t="s">
        <v>1005</v>
      </c>
      <c r="O653">
        <v>21000</v>
      </c>
      <c r="P653" t="s">
        <v>46</v>
      </c>
      <c r="Q653" t="s">
        <v>47</v>
      </c>
      <c r="R653" t="s">
        <v>48</v>
      </c>
      <c r="T653" t="s">
        <v>36</v>
      </c>
      <c r="U653" t="s">
        <v>36</v>
      </c>
      <c r="V653" t="s">
        <v>36</v>
      </c>
      <c r="W653">
        <v>4000</v>
      </c>
      <c r="X653" t="s">
        <v>49</v>
      </c>
      <c r="Y653" t="s">
        <v>50</v>
      </c>
      <c r="Z653" t="s">
        <v>51</v>
      </c>
      <c r="AA653" t="s">
        <v>37</v>
      </c>
      <c r="AB653" t="s">
        <v>52</v>
      </c>
      <c r="AC653" t="s">
        <v>53</v>
      </c>
      <c r="AD653" t="s">
        <v>54</v>
      </c>
      <c r="AE653">
        <v>8.6773446588399992</v>
      </c>
      <c r="AF653">
        <v>1276</v>
      </c>
      <c r="AG653">
        <v>1276.3853112300001</v>
      </c>
      <c r="AH653">
        <v>86774.842025299993</v>
      </c>
      <c r="AI653">
        <v>45</v>
      </c>
      <c r="AJ653">
        <v>86783.697327158006</v>
      </c>
      <c r="AK653" s="1">
        <f>intersection_ss_Lden___surface[[#This Row],[surf m2 bout ss]]/intersection_ss_Lden___surface[[#This Row],[Shape_Area]]</f>
        <v>1.0001020491844332</v>
      </c>
      <c r="AL653">
        <v>1410</v>
      </c>
      <c r="AM653">
        <f>intersection_ss_Lden___surface[[#This Row],[Population totale 2024 ss]]*intersection_ss_Lden___surface[[#This Row],[Part de la surface du qs dans le noise contour]]</f>
        <v>1410.1438893500508</v>
      </c>
    </row>
    <row r="654" spans="1:39" x14ac:dyDescent="0.3">
      <c r="A654">
        <v>684</v>
      </c>
      <c r="B654" t="s">
        <v>1014</v>
      </c>
      <c r="C654" t="s">
        <v>1015</v>
      </c>
      <c r="D654" t="s">
        <v>1016</v>
      </c>
      <c r="E654" t="s">
        <v>1016</v>
      </c>
      <c r="F654" t="s">
        <v>1000</v>
      </c>
      <c r="G654" t="s">
        <v>1001</v>
      </c>
      <c r="H654" t="s">
        <v>1002</v>
      </c>
      <c r="I654" t="s">
        <v>1003</v>
      </c>
      <c r="J654" t="s">
        <v>36</v>
      </c>
      <c r="K654">
        <v>21013</v>
      </c>
      <c r="L654" t="s">
        <v>1004</v>
      </c>
      <c r="M654" t="s">
        <v>1005</v>
      </c>
      <c r="N654" t="s">
        <v>1005</v>
      </c>
      <c r="O654">
        <v>21000</v>
      </c>
      <c r="P654" t="s">
        <v>46</v>
      </c>
      <c r="Q654" t="s">
        <v>47</v>
      </c>
      <c r="R654" t="s">
        <v>48</v>
      </c>
      <c r="T654" t="s">
        <v>36</v>
      </c>
      <c r="U654" t="s">
        <v>36</v>
      </c>
      <c r="V654" t="s">
        <v>36</v>
      </c>
      <c r="W654">
        <v>4000</v>
      </c>
      <c r="X654" t="s">
        <v>49</v>
      </c>
      <c r="Y654" t="s">
        <v>50</v>
      </c>
      <c r="Z654" t="s">
        <v>51</v>
      </c>
      <c r="AA654" t="s">
        <v>37</v>
      </c>
      <c r="AB654" t="s">
        <v>52</v>
      </c>
      <c r="AC654" t="s">
        <v>53</v>
      </c>
      <c r="AD654" t="s">
        <v>54</v>
      </c>
      <c r="AE654">
        <v>7.4446433893300004</v>
      </c>
      <c r="AF654">
        <v>1373</v>
      </c>
      <c r="AG654">
        <v>1373.052594</v>
      </c>
      <c r="AH654">
        <v>74447.646458999996</v>
      </c>
      <c r="AI654">
        <v>45</v>
      </c>
      <c r="AJ654">
        <v>37728.9522248516</v>
      </c>
      <c r="AK654" s="1">
        <f>intersection_ss_Lden___surface[[#This Row],[surf m2 bout ss]]/intersection_ss_Lden___surface[[#This Row],[Shape_Area]]</f>
        <v>0.50678502302460005</v>
      </c>
      <c r="AL654">
        <v>1805</v>
      </c>
      <c r="AM654">
        <f>intersection_ss_Lden___surface[[#This Row],[Population totale 2024 ss]]*intersection_ss_Lden___surface[[#This Row],[Part de la surface du qs dans le noise contour]]</f>
        <v>914.74696655940306</v>
      </c>
    </row>
    <row r="655" spans="1:39" x14ac:dyDescent="0.3">
      <c r="A655">
        <v>685</v>
      </c>
      <c r="B655" t="s">
        <v>1017</v>
      </c>
      <c r="C655" t="s">
        <v>1018</v>
      </c>
      <c r="D655" t="s">
        <v>1019</v>
      </c>
      <c r="E655" t="s">
        <v>1019</v>
      </c>
      <c r="F655" t="s">
        <v>1000</v>
      </c>
      <c r="G655" t="s">
        <v>1001</v>
      </c>
      <c r="H655" t="s">
        <v>1002</v>
      </c>
      <c r="I655" t="s">
        <v>1003</v>
      </c>
      <c r="J655" t="s">
        <v>36</v>
      </c>
      <c r="K655">
        <v>21013</v>
      </c>
      <c r="L655" t="s">
        <v>1004</v>
      </c>
      <c r="M655" t="s">
        <v>1005</v>
      </c>
      <c r="N655" t="s">
        <v>1005</v>
      </c>
      <c r="O655">
        <v>21000</v>
      </c>
      <c r="P655" t="s">
        <v>46</v>
      </c>
      <c r="Q655" t="s">
        <v>47</v>
      </c>
      <c r="R655" t="s">
        <v>48</v>
      </c>
      <c r="T655" t="s">
        <v>36</v>
      </c>
      <c r="U655" t="s">
        <v>36</v>
      </c>
      <c r="V655" t="s">
        <v>36</v>
      </c>
      <c r="W655">
        <v>4000</v>
      </c>
      <c r="X655" t="s">
        <v>49</v>
      </c>
      <c r="Y655" t="s">
        <v>50</v>
      </c>
      <c r="Z655" t="s">
        <v>51</v>
      </c>
      <c r="AA655" t="s">
        <v>37</v>
      </c>
      <c r="AB655" t="s">
        <v>52</v>
      </c>
      <c r="AC655" t="s">
        <v>53</v>
      </c>
      <c r="AD655" t="s">
        <v>54</v>
      </c>
      <c r="AE655">
        <v>6.5127610233500004</v>
      </c>
      <c r="AF655">
        <v>1030</v>
      </c>
      <c r="AG655">
        <v>1029.98920933</v>
      </c>
      <c r="AH655">
        <v>65128.6457811</v>
      </c>
      <c r="AI655">
        <v>45</v>
      </c>
      <c r="AJ655">
        <v>65135.263392762303</v>
      </c>
      <c r="AK655" s="1">
        <f>intersection_ss_Lden___surface[[#This Row],[surf m2 bout ss]]/intersection_ss_Lden___surface[[#This Row],[Shape_Area]]</f>
        <v>1.0001016083104897</v>
      </c>
      <c r="AL655">
        <v>1976</v>
      </c>
      <c r="AM655">
        <f>intersection_ss_Lden___surface[[#This Row],[Population totale 2024 ss]]*intersection_ss_Lden___surface[[#This Row],[Part de la surface du qs dans le noise contour]]</f>
        <v>1976.2007780215276</v>
      </c>
    </row>
    <row r="656" spans="1:39" x14ac:dyDescent="0.3">
      <c r="A656">
        <v>686</v>
      </c>
      <c r="B656" t="s">
        <v>1020</v>
      </c>
      <c r="C656" t="s">
        <v>1021</v>
      </c>
      <c r="D656" t="s">
        <v>1022</v>
      </c>
      <c r="E656" t="s">
        <v>1022</v>
      </c>
      <c r="F656" t="s">
        <v>1000</v>
      </c>
      <c r="G656" t="s">
        <v>1001</v>
      </c>
      <c r="H656" t="s">
        <v>1002</v>
      </c>
      <c r="I656" t="s">
        <v>1003</v>
      </c>
      <c r="J656" t="s">
        <v>36</v>
      </c>
      <c r="K656">
        <v>21013</v>
      </c>
      <c r="L656" t="s">
        <v>1004</v>
      </c>
      <c r="M656" t="s">
        <v>1005</v>
      </c>
      <c r="N656" t="s">
        <v>1005</v>
      </c>
      <c r="O656">
        <v>21000</v>
      </c>
      <c r="P656" t="s">
        <v>46</v>
      </c>
      <c r="Q656" t="s">
        <v>47</v>
      </c>
      <c r="R656" t="s">
        <v>48</v>
      </c>
      <c r="T656" t="s">
        <v>36</v>
      </c>
      <c r="U656" t="s">
        <v>36</v>
      </c>
      <c r="V656" t="s">
        <v>36</v>
      </c>
      <c r="W656">
        <v>4000</v>
      </c>
      <c r="X656" t="s">
        <v>49</v>
      </c>
      <c r="Y656" t="s">
        <v>50</v>
      </c>
      <c r="Z656" t="s">
        <v>51</v>
      </c>
      <c r="AA656" t="s">
        <v>37</v>
      </c>
      <c r="AB656" t="s">
        <v>52</v>
      </c>
      <c r="AC656" t="s">
        <v>53</v>
      </c>
      <c r="AD656" t="s">
        <v>54</v>
      </c>
      <c r="AE656">
        <v>24.7493336396</v>
      </c>
      <c r="AF656">
        <v>3212</v>
      </c>
      <c r="AG656">
        <v>3211.8518508799998</v>
      </c>
      <c r="AH656">
        <v>247497.32633899999</v>
      </c>
      <c r="AI656">
        <v>45</v>
      </c>
      <c r="AJ656">
        <v>200173.46146314501</v>
      </c>
      <c r="AK656" s="1">
        <f>intersection_ss_Lden___surface[[#This Row],[surf m2 bout ss]]/intersection_ss_Lden___surface[[#This Row],[Shape_Area]]</f>
        <v>0.80879039957371124</v>
      </c>
      <c r="AL656">
        <v>0</v>
      </c>
      <c r="AM656">
        <f>intersection_ss_Lden___surface[[#This Row],[Population totale 2024 ss]]*intersection_ss_Lden___surface[[#This Row],[Part de la surface du qs dans le noise contour]]</f>
        <v>0</v>
      </c>
    </row>
    <row r="657" spans="1:39" x14ac:dyDescent="0.3">
      <c r="A657">
        <v>687</v>
      </c>
      <c r="B657" t="s">
        <v>1020</v>
      </c>
      <c r="C657" t="s">
        <v>1021</v>
      </c>
      <c r="D657" t="s">
        <v>1022</v>
      </c>
      <c r="E657" t="s">
        <v>1022</v>
      </c>
      <c r="F657" t="s">
        <v>1000</v>
      </c>
      <c r="G657" t="s">
        <v>1001</v>
      </c>
      <c r="H657" t="s">
        <v>1002</v>
      </c>
      <c r="I657" t="s">
        <v>1003</v>
      </c>
      <c r="J657" t="s">
        <v>36</v>
      </c>
      <c r="K657">
        <v>21013</v>
      </c>
      <c r="L657" t="s">
        <v>1004</v>
      </c>
      <c r="M657" t="s">
        <v>1005</v>
      </c>
      <c r="N657" t="s">
        <v>1005</v>
      </c>
      <c r="O657">
        <v>21000</v>
      </c>
      <c r="P657" t="s">
        <v>46</v>
      </c>
      <c r="Q657" t="s">
        <v>47</v>
      </c>
      <c r="R657" t="s">
        <v>48</v>
      </c>
      <c r="T657" t="s">
        <v>36</v>
      </c>
      <c r="U657" t="s">
        <v>36</v>
      </c>
      <c r="V657" t="s">
        <v>36</v>
      </c>
      <c r="W657">
        <v>4000</v>
      </c>
      <c r="X657" t="s">
        <v>49</v>
      </c>
      <c r="Y657" t="s">
        <v>50</v>
      </c>
      <c r="Z657" t="s">
        <v>51</v>
      </c>
      <c r="AA657" t="s">
        <v>37</v>
      </c>
      <c r="AB657" t="s">
        <v>52</v>
      </c>
      <c r="AC657" t="s">
        <v>53</v>
      </c>
      <c r="AD657" t="s">
        <v>54</v>
      </c>
      <c r="AE657">
        <v>24.7493336396</v>
      </c>
      <c r="AF657">
        <v>3212</v>
      </c>
      <c r="AG657">
        <v>3211.8518508799998</v>
      </c>
      <c r="AH657">
        <v>247497.32633899999</v>
      </c>
      <c r="AI657">
        <v>46</v>
      </c>
      <c r="AJ657">
        <v>47348.913194396497</v>
      </c>
      <c r="AK657" s="1">
        <f>intersection_ss_Lden___surface[[#This Row],[surf m2 bout ss]]/intersection_ss_Lden___surface[[#This Row],[Shape_Area]]</f>
        <v>0.19131080684702886</v>
      </c>
      <c r="AL657">
        <v>0</v>
      </c>
      <c r="AM657">
        <f>intersection_ss_Lden___surface[[#This Row],[Population totale 2024 ss]]*intersection_ss_Lden___surface[[#This Row],[Part de la surface du qs dans le noise contour]]</f>
        <v>0</v>
      </c>
    </row>
    <row r="658" spans="1:39" x14ac:dyDescent="0.3">
      <c r="A658">
        <v>688</v>
      </c>
      <c r="B658" t="s">
        <v>1023</v>
      </c>
      <c r="C658" t="s">
        <v>1024</v>
      </c>
      <c r="D658" t="s">
        <v>1024</v>
      </c>
      <c r="E658" t="s">
        <v>1024</v>
      </c>
      <c r="F658" t="s">
        <v>1025</v>
      </c>
      <c r="G658" t="s">
        <v>1001</v>
      </c>
      <c r="H658" t="s">
        <v>1002</v>
      </c>
      <c r="I658" t="s">
        <v>1003</v>
      </c>
      <c r="J658" t="s">
        <v>36</v>
      </c>
      <c r="K658">
        <v>21013</v>
      </c>
      <c r="L658" t="s">
        <v>1004</v>
      </c>
      <c r="M658" t="s">
        <v>1005</v>
      </c>
      <c r="N658" t="s">
        <v>1005</v>
      </c>
      <c r="O658">
        <v>21000</v>
      </c>
      <c r="P658" t="s">
        <v>46</v>
      </c>
      <c r="Q658" t="s">
        <v>47</v>
      </c>
      <c r="R658" t="s">
        <v>48</v>
      </c>
      <c r="T658" t="s">
        <v>36</v>
      </c>
      <c r="U658" t="s">
        <v>36</v>
      </c>
      <c r="V658" t="s">
        <v>36</v>
      </c>
      <c r="W658">
        <v>4000</v>
      </c>
      <c r="X658" t="s">
        <v>49</v>
      </c>
      <c r="Y658" t="s">
        <v>50</v>
      </c>
      <c r="Z658" t="s">
        <v>51</v>
      </c>
      <c r="AA658" t="s">
        <v>37</v>
      </c>
      <c r="AB658" t="s">
        <v>52</v>
      </c>
      <c r="AC658" t="s">
        <v>53</v>
      </c>
      <c r="AD658" t="s">
        <v>54</v>
      </c>
      <c r="AE658">
        <v>3.3522331141900001</v>
      </c>
      <c r="AF658">
        <v>759</v>
      </c>
      <c r="AG658">
        <v>759.06470444199999</v>
      </c>
      <c r="AH658">
        <v>33522.866872999999</v>
      </c>
      <c r="AI658">
        <v>46</v>
      </c>
      <c r="AJ658">
        <v>33526.225037885197</v>
      </c>
      <c r="AK658" s="1">
        <f>intersection_ss_Lden___surface[[#This Row],[surf m2 bout ss]]/intersection_ss_Lden___surface[[#This Row],[Shape_Area]]</f>
        <v>1.0001001753489021</v>
      </c>
      <c r="AL658">
        <v>416</v>
      </c>
      <c r="AM658">
        <f>intersection_ss_Lden___surface[[#This Row],[Population totale 2024 ss]]*intersection_ss_Lden___surface[[#This Row],[Part de la surface du qs dans le noise contour]]</f>
        <v>416.04167294514326</v>
      </c>
    </row>
    <row r="659" spans="1:39" x14ac:dyDescent="0.3">
      <c r="A659">
        <v>689</v>
      </c>
      <c r="B659" t="s">
        <v>1026</v>
      </c>
      <c r="C659" t="s">
        <v>1027</v>
      </c>
      <c r="D659" t="s">
        <v>1028</v>
      </c>
      <c r="E659" t="s">
        <v>1028</v>
      </c>
      <c r="F659" t="s">
        <v>1025</v>
      </c>
      <c r="G659" t="s">
        <v>1001</v>
      </c>
      <c r="H659" t="s">
        <v>1002</v>
      </c>
      <c r="I659" t="s">
        <v>1003</v>
      </c>
      <c r="J659" t="s">
        <v>36</v>
      </c>
      <c r="K659">
        <v>21013</v>
      </c>
      <c r="L659" t="s">
        <v>1004</v>
      </c>
      <c r="M659" t="s">
        <v>1005</v>
      </c>
      <c r="N659" t="s">
        <v>1005</v>
      </c>
      <c r="O659">
        <v>21000</v>
      </c>
      <c r="P659" t="s">
        <v>46</v>
      </c>
      <c r="Q659" t="s">
        <v>47</v>
      </c>
      <c r="R659" t="s">
        <v>48</v>
      </c>
      <c r="T659" t="s">
        <v>36</v>
      </c>
      <c r="U659" t="s">
        <v>36</v>
      </c>
      <c r="V659" t="s">
        <v>36</v>
      </c>
      <c r="W659">
        <v>4000</v>
      </c>
      <c r="X659" t="s">
        <v>49</v>
      </c>
      <c r="Y659" t="s">
        <v>50</v>
      </c>
      <c r="Z659" t="s">
        <v>51</v>
      </c>
      <c r="AA659" t="s">
        <v>37</v>
      </c>
      <c r="AB659" t="s">
        <v>52</v>
      </c>
      <c r="AC659" t="s">
        <v>53</v>
      </c>
      <c r="AD659" t="s">
        <v>54</v>
      </c>
      <c r="AE659">
        <v>5.6297404479799997</v>
      </c>
      <c r="AF659">
        <v>1497</v>
      </c>
      <c r="AG659">
        <v>1496.78153946</v>
      </c>
      <c r="AH659">
        <v>56298.319634699998</v>
      </c>
      <c r="AI659">
        <v>45</v>
      </c>
      <c r="AJ659">
        <v>1336.8532166052601</v>
      </c>
      <c r="AK659" s="1">
        <f>intersection_ss_Lden___surface[[#This Row],[surf m2 bout ss]]/intersection_ss_Lden___surface[[#This Row],[Shape_Area]]</f>
        <v>2.374588132078596E-2</v>
      </c>
      <c r="AL659">
        <v>69</v>
      </c>
      <c r="AM659">
        <f>intersection_ss_Lden___surface[[#This Row],[Population totale 2024 ss]]*intersection_ss_Lden___surface[[#This Row],[Part de la surface du qs dans le noise contour]]</f>
        <v>1.6384658111342312</v>
      </c>
    </row>
    <row r="660" spans="1:39" x14ac:dyDescent="0.3">
      <c r="A660">
        <v>690</v>
      </c>
      <c r="B660" t="s">
        <v>1026</v>
      </c>
      <c r="C660" t="s">
        <v>1027</v>
      </c>
      <c r="D660" t="s">
        <v>1028</v>
      </c>
      <c r="E660" t="s">
        <v>1028</v>
      </c>
      <c r="F660" t="s">
        <v>1025</v>
      </c>
      <c r="G660" t="s">
        <v>1001</v>
      </c>
      <c r="H660" t="s">
        <v>1002</v>
      </c>
      <c r="I660" t="s">
        <v>1003</v>
      </c>
      <c r="J660" t="s">
        <v>36</v>
      </c>
      <c r="K660">
        <v>21013</v>
      </c>
      <c r="L660" t="s">
        <v>1004</v>
      </c>
      <c r="M660" t="s">
        <v>1005</v>
      </c>
      <c r="N660" t="s">
        <v>1005</v>
      </c>
      <c r="O660">
        <v>21000</v>
      </c>
      <c r="P660" t="s">
        <v>46</v>
      </c>
      <c r="Q660" t="s">
        <v>47</v>
      </c>
      <c r="R660" t="s">
        <v>48</v>
      </c>
      <c r="T660" t="s">
        <v>36</v>
      </c>
      <c r="U660" t="s">
        <v>36</v>
      </c>
      <c r="V660" t="s">
        <v>36</v>
      </c>
      <c r="W660">
        <v>4000</v>
      </c>
      <c r="X660" t="s">
        <v>49</v>
      </c>
      <c r="Y660" t="s">
        <v>50</v>
      </c>
      <c r="Z660" t="s">
        <v>51</v>
      </c>
      <c r="AA660" t="s">
        <v>37</v>
      </c>
      <c r="AB660" t="s">
        <v>52</v>
      </c>
      <c r="AC660" t="s">
        <v>53</v>
      </c>
      <c r="AD660" t="s">
        <v>54</v>
      </c>
      <c r="AE660">
        <v>5.6297404479799997</v>
      </c>
      <c r="AF660">
        <v>1497</v>
      </c>
      <c r="AG660">
        <v>1496.78153946</v>
      </c>
      <c r="AH660">
        <v>56298.319634699998</v>
      </c>
      <c r="AI660">
        <v>46</v>
      </c>
      <c r="AJ660">
        <v>54967.129919241801</v>
      </c>
      <c r="AK660" s="1">
        <f>intersection_ss_Lden___surface[[#This Row],[surf m2 bout ss]]/intersection_ss_Lden___surface[[#This Row],[Shape_Area]]</f>
        <v>0.97635471672874397</v>
      </c>
      <c r="AL660">
        <v>69</v>
      </c>
      <c r="AM660">
        <f>intersection_ss_Lden___surface[[#This Row],[Population totale 2024 ss]]*intersection_ss_Lden___surface[[#This Row],[Part de la surface du qs dans le noise contour]]</f>
        <v>67.368475454283328</v>
      </c>
    </row>
    <row r="661" spans="1:39" x14ac:dyDescent="0.3">
      <c r="A661">
        <v>691</v>
      </c>
      <c r="B661" t="s">
        <v>1029</v>
      </c>
      <c r="C661" t="s">
        <v>1030</v>
      </c>
      <c r="D661" t="s">
        <v>1031</v>
      </c>
      <c r="E661" t="s">
        <v>1031</v>
      </c>
      <c r="F661" t="s">
        <v>1032</v>
      </c>
      <c r="G661" t="s">
        <v>1033</v>
      </c>
      <c r="H661" t="s">
        <v>1034</v>
      </c>
      <c r="I661" t="s">
        <v>1035</v>
      </c>
      <c r="J661" t="s">
        <v>36</v>
      </c>
      <c r="K661">
        <v>21014</v>
      </c>
      <c r="L661" t="s">
        <v>1036</v>
      </c>
      <c r="M661" t="s">
        <v>1037</v>
      </c>
      <c r="N661" t="s">
        <v>1037</v>
      </c>
      <c r="O661">
        <v>21000</v>
      </c>
      <c r="P661" t="s">
        <v>46</v>
      </c>
      <c r="Q661" t="s">
        <v>47</v>
      </c>
      <c r="R661" t="s">
        <v>48</v>
      </c>
      <c r="T661" t="s">
        <v>36</v>
      </c>
      <c r="U661" t="s">
        <v>36</v>
      </c>
      <c r="V661" t="s">
        <v>36</v>
      </c>
      <c r="W661">
        <v>4000</v>
      </c>
      <c r="X661" t="s">
        <v>49</v>
      </c>
      <c r="Y661" t="s">
        <v>50</v>
      </c>
      <c r="Z661" t="s">
        <v>51</v>
      </c>
      <c r="AA661" t="s">
        <v>37</v>
      </c>
      <c r="AB661" t="s">
        <v>52</v>
      </c>
      <c r="AC661" t="s">
        <v>53</v>
      </c>
      <c r="AD661" t="s">
        <v>54</v>
      </c>
      <c r="AE661">
        <v>9.9441764225299991</v>
      </c>
      <c r="AF661">
        <v>1284</v>
      </c>
      <c r="AG661">
        <v>1284.39847399</v>
      </c>
      <c r="AH661">
        <v>99443.356321400002</v>
      </c>
      <c r="AI661">
        <v>45</v>
      </c>
      <c r="AJ661">
        <v>96809.525386219699</v>
      </c>
      <c r="AK661" s="1">
        <f>intersection_ss_Lden___surface[[#This Row],[surf m2 bout ss]]/intersection_ss_Lden___surface[[#This Row],[Shape_Area]]</f>
        <v>0.97351425944768211</v>
      </c>
      <c r="AL661">
        <v>3507</v>
      </c>
      <c r="AM661">
        <f>intersection_ss_Lden___surface[[#This Row],[Population totale 2024 ss]]*intersection_ss_Lden___surface[[#This Row],[Part de la surface du qs dans le noise contour]]</f>
        <v>3414.1145078830214</v>
      </c>
    </row>
    <row r="662" spans="1:39" x14ac:dyDescent="0.3">
      <c r="A662">
        <v>692</v>
      </c>
      <c r="B662" t="s">
        <v>1029</v>
      </c>
      <c r="C662" t="s">
        <v>1030</v>
      </c>
      <c r="D662" t="s">
        <v>1031</v>
      </c>
      <c r="E662" t="s">
        <v>1031</v>
      </c>
      <c r="F662" t="s">
        <v>1032</v>
      </c>
      <c r="G662" t="s">
        <v>1033</v>
      </c>
      <c r="H662" t="s">
        <v>1034</v>
      </c>
      <c r="I662" t="s">
        <v>1035</v>
      </c>
      <c r="J662" t="s">
        <v>36</v>
      </c>
      <c r="K662">
        <v>21014</v>
      </c>
      <c r="L662" t="s">
        <v>1036</v>
      </c>
      <c r="M662" t="s">
        <v>1037</v>
      </c>
      <c r="N662" t="s">
        <v>1037</v>
      </c>
      <c r="O662">
        <v>21000</v>
      </c>
      <c r="P662" t="s">
        <v>46</v>
      </c>
      <c r="Q662" t="s">
        <v>47</v>
      </c>
      <c r="R662" t="s">
        <v>48</v>
      </c>
      <c r="T662" t="s">
        <v>36</v>
      </c>
      <c r="U662" t="s">
        <v>36</v>
      </c>
      <c r="V662" t="s">
        <v>36</v>
      </c>
      <c r="W662">
        <v>4000</v>
      </c>
      <c r="X662" t="s">
        <v>49</v>
      </c>
      <c r="Y662" t="s">
        <v>50</v>
      </c>
      <c r="Z662" t="s">
        <v>51</v>
      </c>
      <c r="AA662" t="s">
        <v>37</v>
      </c>
      <c r="AB662" t="s">
        <v>52</v>
      </c>
      <c r="AC662" t="s">
        <v>53</v>
      </c>
      <c r="AD662" t="s">
        <v>54</v>
      </c>
      <c r="AE662">
        <v>9.9441764225299991</v>
      </c>
      <c r="AF662">
        <v>1284</v>
      </c>
      <c r="AG662">
        <v>1284.39847399</v>
      </c>
      <c r="AH662">
        <v>99443.356321400002</v>
      </c>
      <c r="AI662">
        <v>46</v>
      </c>
      <c r="AJ662">
        <v>2643.5726018622499</v>
      </c>
      <c r="AK662" s="1">
        <f>intersection_ss_Lden___surface[[#This Row],[surf m2 bout ss]]/intersection_ss_Lden___surface[[#This Row],[Shape_Area]]</f>
        <v>2.6583702518228045E-2</v>
      </c>
      <c r="AL662">
        <v>3507</v>
      </c>
      <c r="AM662">
        <f>intersection_ss_Lden___surface[[#This Row],[Population totale 2024 ss]]*intersection_ss_Lden___surface[[#This Row],[Part de la surface du qs dans le noise contour]]</f>
        <v>93.229044731425759</v>
      </c>
    </row>
    <row r="663" spans="1:39" x14ac:dyDescent="0.3">
      <c r="A663">
        <v>693</v>
      </c>
      <c r="B663" t="s">
        <v>1038</v>
      </c>
      <c r="C663" t="s">
        <v>1039</v>
      </c>
      <c r="D663" t="s">
        <v>1039</v>
      </c>
      <c r="E663" t="s">
        <v>1039</v>
      </c>
      <c r="F663" t="s">
        <v>1032</v>
      </c>
      <c r="G663" t="s">
        <v>1033</v>
      </c>
      <c r="H663" t="s">
        <v>1034</v>
      </c>
      <c r="I663" t="s">
        <v>1035</v>
      </c>
      <c r="J663" t="s">
        <v>36</v>
      </c>
      <c r="K663">
        <v>21014</v>
      </c>
      <c r="L663" t="s">
        <v>1036</v>
      </c>
      <c r="M663" t="s">
        <v>1037</v>
      </c>
      <c r="N663" t="s">
        <v>1037</v>
      </c>
      <c r="O663">
        <v>21000</v>
      </c>
      <c r="P663" t="s">
        <v>46</v>
      </c>
      <c r="Q663" t="s">
        <v>47</v>
      </c>
      <c r="R663" t="s">
        <v>48</v>
      </c>
      <c r="T663" t="s">
        <v>36</v>
      </c>
      <c r="U663" t="s">
        <v>36</v>
      </c>
      <c r="V663" t="s">
        <v>36</v>
      </c>
      <c r="W663">
        <v>4000</v>
      </c>
      <c r="X663" t="s">
        <v>49</v>
      </c>
      <c r="Y663" t="s">
        <v>50</v>
      </c>
      <c r="Z663" t="s">
        <v>51</v>
      </c>
      <c r="AA663" t="s">
        <v>37</v>
      </c>
      <c r="AB663" t="s">
        <v>52</v>
      </c>
      <c r="AC663" t="s">
        <v>53</v>
      </c>
      <c r="AD663" t="s">
        <v>54</v>
      </c>
      <c r="AE663">
        <v>3.7576109137599998</v>
      </c>
      <c r="AF663">
        <v>818</v>
      </c>
      <c r="AG663">
        <v>818.02550258999997</v>
      </c>
      <c r="AH663">
        <v>37576.721773500001</v>
      </c>
      <c r="AI663">
        <v>46</v>
      </c>
      <c r="AJ663">
        <v>37580.3800185125</v>
      </c>
      <c r="AK663" s="1">
        <f>intersection_ss_Lden___surface[[#This Row],[surf m2 bout ss]]/intersection_ss_Lden___surface[[#This Row],[Shape_Area]]</f>
        <v>1.0000973540223799</v>
      </c>
      <c r="AL663">
        <v>1100</v>
      </c>
      <c r="AM663">
        <f>intersection_ss_Lden___surface[[#This Row],[Population totale 2024 ss]]*intersection_ss_Lden___surface[[#This Row],[Part de la surface du qs dans le noise contour]]</f>
        <v>1100.1070894246179</v>
      </c>
    </row>
    <row r="664" spans="1:39" x14ac:dyDescent="0.3">
      <c r="A664">
        <v>694</v>
      </c>
      <c r="B664" t="s">
        <v>1040</v>
      </c>
      <c r="C664" t="s">
        <v>1041</v>
      </c>
      <c r="D664" t="s">
        <v>1042</v>
      </c>
      <c r="E664" t="s">
        <v>1042</v>
      </c>
      <c r="F664" t="s">
        <v>1032</v>
      </c>
      <c r="G664" t="s">
        <v>1033</v>
      </c>
      <c r="H664" t="s">
        <v>1034</v>
      </c>
      <c r="I664" t="s">
        <v>1035</v>
      </c>
      <c r="J664" t="s">
        <v>36</v>
      </c>
      <c r="K664">
        <v>21014</v>
      </c>
      <c r="L664" t="s">
        <v>1036</v>
      </c>
      <c r="M664" t="s">
        <v>1037</v>
      </c>
      <c r="N664" t="s">
        <v>1037</v>
      </c>
      <c r="O664">
        <v>21000</v>
      </c>
      <c r="P664" t="s">
        <v>46</v>
      </c>
      <c r="Q664" t="s">
        <v>47</v>
      </c>
      <c r="R664" t="s">
        <v>48</v>
      </c>
      <c r="T664" t="s">
        <v>36</v>
      </c>
      <c r="U664" t="s">
        <v>36</v>
      </c>
      <c r="V664" t="s">
        <v>36</v>
      </c>
      <c r="W664">
        <v>4000</v>
      </c>
      <c r="X664" t="s">
        <v>49</v>
      </c>
      <c r="Y664" t="s">
        <v>50</v>
      </c>
      <c r="Z664" t="s">
        <v>51</v>
      </c>
      <c r="AA664" t="s">
        <v>37</v>
      </c>
      <c r="AB664" t="s">
        <v>52</v>
      </c>
      <c r="AC664" t="s">
        <v>53</v>
      </c>
      <c r="AD664" t="s">
        <v>54</v>
      </c>
      <c r="AE664">
        <v>6.3653520199300004</v>
      </c>
      <c r="AF664">
        <v>1456</v>
      </c>
      <c r="AG664">
        <v>1456.47289445</v>
      </c>
      <c r="AH664">
        <v>63654.556076200002</v>
      </c>
      <c r="AI664">
        <v>45</v>
      </c>
      <c r="AJ664">
        <v>54411.322293231999</v>
      </c>
      <c r="AK664" s="1">
        <f>intersection_ss_Lden___surface[[#This Row],[surf m2 bout ss]]/intersection_ss_Lden___surface[[#This Row],[Shape_Area]]</f>
        <v>0.8547906960202023</v>
      </c>
      <c r="AL664">
        <v>1824</v>
      </c>
      <c r="AM664">
        <f>intersection_ss_Lden___surface[[#This Row],[Population totale 2024 ss]]*intersection_ss_Lden___surface[[#This Row],[Part de la surface du qs dans le noise contour]]</f>
        <v>1559.1382295408489</v>
      </c>
    </row>
    <row r="665" spans="1:39" x14ac:dyDescent="0.3">
      <c r="A665">
        <v>695</v>
      </c>
      <c r="B665" t="s">
        <v>1043</v>
      </c>
      <c r="C665" t="s">
        <v>1044</v>
      </c>
      <c r="D665" t="s">
        <v>1044</v>
      </c>
      <c r="E665" t="s">
        <v>1044</v>
      </c>
      <c r="F665" t="s">
        <v>1032</v>
      </c>
      <c r="G665" t="s">
        <v>1033</v>
      </c>
      <c r="H665" t="s">
        <v>1034</v>
      </c>
      <c r="I665" t="s">
        <v>1035</v>
      </c>
      <c r="J665" t="s">
        <v>36</v>
      </c>
      <c r="K665">
        <v>21014</v>
      </c>
      <c r="L665" t="s">
        <v>1036</v>
      </c>
      <c r="M665" t="s">
        <v>1037</v>
      </c>
      <c r="N665" t="s">
        <v>1037</v>
      </c>
      <c r="O665">
        <v>21000</v>
      </c>
      <c r="P665" t="s">
        <v>46</v>
      </c>
      <c r="Q665" t="s">
        <v>47</v>
      </c>
      <c r="R665" t="s">
        <v>48</v>
      </c>
      <c r="T665" t="s">
        <v>36</v>
      </c>
      <c r="U665" t="s">
        <v>36</v>
      </c>
      <c r="V665" t="s">
        <v>36</v>
      </c>
      <c r="W665">
        <v>4000</v>
      </c>
      <c r="X665" t="s">
        <v>49</v>
      </c>
      <c r="Y665" t="s">
        <v>50</v>
      </c>
      <c r="Z665" t="s">
        <v>51</v>
      </c>
      <c r="AA665" t="s">
        <v>37</v>
      </c>
      <c r="AB665" t="s">
        <v>52</v>
      </c>
      <c r="AC665" t="s">
        <v>53</v>
      </c>
      <c r="AD665" t="s">
        <v>54</v>
      </c>
      <c r="AE665">
        <v>8.2565628209500002</v>
      </c>
      <c r="AF665">
        <v>2178</v>
      </c>
      <c r="AG665">
        <v>2177.9842255899998</v>
      </c>
      <c r="AH665">
        <v>82566.976353100006</v>
      </c>
      <c r="AI665">
        <v>45</v>
      </c>
      <c r="AJ665">
        <v>56114.998081652797</v>
      </c>
      <c r="AK665" s="1">
        <f>intersection_ss_Lden___surface[[#This Row],[surf m2 bout ss]]/intersection_ss_Lden___surface[[#This Row],[Shape_Area]]</f>
        <v>0.67963004775269253</v>
      </c>
      <c r="AL665">
        <v>1158</v>
      </c>
      <c r="AM665">
        <f>intersection_ss_Lden___surface[[#This Row],[Population totale 2024 ss]]*intersection_ss_Lden___surface[[#This Row],[Part de la surface du qs dans le noise contour]]</f>
        <v>787.01159529761799</v>
      </c>
    </row>
    <row r="666" spans="1:39" x14ac:dyDescent="0.3">
      <c r="A666">
        <v>696</v>
      </c>
      <c r="B666" t="s">
        <v>1043</v>
      </c>
      <c r="C666" t="s">
        <v>1044</v>
      </c>
      <c r="D666" t="s">
        <v>1044</v>
      </c>
      <c r="E666" t="s">
        <v>1044</v>
      </c>
      <c r="F666" t="s">
        <v>1032</v>
      </c>
      <c r="G666" t="s">
        <v>1033</v>
      </c>
      <c r="H666" t="s">
        <v>1034</v>
      </c>
      <c r="I666" t="s">
        <v>1035</v>
      </c>
      <c r="J666" t="s">
        <v>36</v>
      </c>
      <c r="K666">
        <v>21014</v>
      </c>
      <c r="L666" t="s">
        <v>1036</v>
      </c>
      <c r="M666" t="s">
        <v>1037</v>
      </c>
      <c r="N666" t="s">
        <v>1037</v>
      </c>
      <c r="O666">
        <v>21000</v>
      </c>
      <c r="P666" t="s">
        <v>46</v>
      </c>
      <c r="Q666" t="s">
        <v>47</v>
      </c>
      <c r="R666" t="s">
        <v>48</v>
      </c>
      <c r="T666" t="s">
        <v>36</v>
      </c>
      <c r="U666" t="s">
        <v>36</v>
      </c>
      <c r="V666" t="s">
        <v>36</v>
      </c>
      <c r="W666">
        <v>4000</v>
      </c>
      <c r="X666" t="s">
        <v>49</v>
      </c>
      <c r="Y666" t="s">
        <v>50</v>
      </c>
      <c r="Z666" t="s">
        <v>51</v>
      </c>
      <c r="AA666" t="s">
        <v>37</v>
      </c>
      <c r="AB666" t="s">
        <v>52</v>
      </c>
      <c r="AC666" t="s">
        <v>53</v>
      </c>
      <c r="AD666" t="s">
        <v>54</v>
      </c>
      <c r="AE666">
        <v>8.2565628209500002</v>
      </c>
      <c r="AF666">
        <v>2178</v>
      </c>
      <c r="AG666">
        <v>2177.9842255899998</v>
      </c>
      <c r="AH666">
        <v>82566.976353100006</v>
      </c>
      <c r="AI666">
        <v>46</v>
      </c>
      <c r="AJ666">
        <v>26062.155246859402</v>
      </c>
      <c r="AK666" s="1">
        <f>intersection_ss_Lden___surface[[#This Row],[surf m2 bout ss]]/intersection_ss_Lden___surface[[#This Row],[Shape_Area]]</f>
        <v>0.31564865758682814</v>
      </c>
      <c r="AL666">
        <v>1158</v>
      </c>
      <c r="AM666">
        <f>intersection_ss_Lden___surface[[#This Row],[Population totale 2024 ss]]*intersection_ss_Lden___surface[[#This Row],[Part de la surface du qs dans le noise contour]]</f>
        <v>365.52114548554698</v>
      </c>
    </row>
    <row r="667" spans="1:39" x14ac:dyDescent="0.3">
      <c r="A667">
        <v>697</v>
      </c>
      <c r="B667" t="s">
        <v>1045</v>
      </c>
      <c r="C667" t="s">
        <v>1046</v>
      </c>
      <c r="D667" t="s">
        <v>1047</v>
      </c>
      <c r="E667" t="s">
        <v>1047</v>
      </c>
      <c r="F667" t="s">
        <v>1032</v>
      </c>
      <c r="G667" t="s">
        <v>1033</v>
      </c>
      <c r="H667" t="s">
        <v>1034</v>
      </c>
      <c r="I667" t="s">
        <v>1035</v>
      </c>
      <c r="J667" t="s">
        <v>36</v>
      </c>
      <c r="K667">
        <v>21014</v>
      </c>
      <c r="L667" t="s">
        <v>1036</v>
      </c>
      <c r="M667" t="s">
        <v>1037</v>
      </c>
      <c r="N667" t="s">
        <v>1037</v>
      </c>
      <c r="O667">
        <v>21000</v>
      </c>
      <c r="P667" t="s">
        <v>46</v>
      </c>
      <c r="Q667" t="s">
        <v>47</v>
      </c>
      <c r="R667" t="s">
        <v>48</v>
      </c>
      <c r="T667" t="s">
        <v>36</v>
      </c>
      <c r="U667" t="s">
        <v>36</v>
      </c>
      <c r="V667" t="s">
        <v>36</v>
      </c>
      <c r="W667">
        <v>4000</v>
      </c>
      <c r="X667" t="s">
        <v>49</v>
      </c>
      <c r="Y667" t="s">
        <v>50</v>
      </c>
      <c r="Z667" t="s">
        <v>51</v>
      </c>
      <c r="AA667" t="s">
        <v>37</v>
      </c>
      <c r="AB667" t="s">
        <v>52</v>
      </c>
      <c r="AC667" t="s">
        <v>53</v>
      </c>
      <c r="AD667" t="s">
        <v>54</v>
      </c>
      <c r="AE667">
        <v>15.179869717800001</v>
      </c>
      <c r="AF667">
        <v>1715</v>
      </c>
      <c r="AG667">
        <v>1715.25986263</v>
      </c>
      <c r="AH667">
        <v>151801.11981500001</v>
      </c>
      <c r="AI667">
        <v>46</v>
      </c>
      <c r="AJ667">
        <v>55829.154766211301</v>
      </c>
      <c r="AK667" s="1">
        <f>intersection_ss_Lden___surface[[#This Row],[surf m2 bout ss]]/intersection_ss_Lden___surface[[#This Row],[Shape_Area]]</f>
        <v>0.36777828012237512</v>
      </c>
      <c r="AL667">
        <v>3204</v>
      </c>
      <c r="AM667">
        <f>intersection_ss_Lden___surface[[#This Row],[Population totale 2024 ss]]*intersection_ss_Lden___surface[[#This Row],[Part de la surface du qs dans le noise contour]]</f>
        <v>1178.3616095120899</v>
      </c>
    </row>
    <row r="668" spans="1:39" x14ac:dyDescent="0.3">
      <c r="A668">
        <v>698</v>
      </c>
      <c r="B668" t="s">
        <v>1045</v>
      </c>
      <c r="C668" t="s">
        <v>1046</v>
      </c>
      <c r="D668" t="s">
        <v>1047</v>
      </c>
      <c r="E668" t="s">
        <v>1047</v>
      </c>
      <c r="F668" t="s">
        <v>1032</v>
      </c>
      <c r="G668" t="s">
        <v>1033</v>
      </c>
      <c r="H668" t="s">
        <v>1034</v>
      </c>
      <c r="I668" t="s">
        <v>1035</v>
      </c>
      <c r="J668" t="s">
        <v>36</v>
      </c>
      <c r="K668">
        <v>21014</v>
      </c>
      <c r="L668" t="s">
        <v>1036</v>
      </c>
      <c r="M668" t="s">
        <v>1037</v>
      </c>
      <c r="N668" t="s">
        <v>1037</v>
      </c>
      <c r="O668">
        <v>21000</v>
      </c>
      <c r="P668" t="s">
        <v>46</v>
      </c>
      <c r="Q668" t="s">
        <v>47</v>
      </c>
      <c r="R668" t="s">
        <v>48</v>
      </c>
      <c r="T668" t="s">
        <v>36</v>
      </c>
      <c r="U668" t="s">
        <v>36</v>
      </c>
      <c r="V668" t="s">
        <v>36</v>
      </c>
      <c r="W668">
        <v>4000</v>
      </c>
      <c r="X668" t="s">
        <v>49</v>
      </c>
      <c r="Y668" t="s">
        <v>50</v>
      </c>
      <c r="Z668" t="s">
        <v>51</v>
      </c>
      <c r="AA668" t="s">
        <v>37</v>
      </c>
      <c r="AB668" t="s">
        <v>52</v>
      </c>
      <c r="AC668" t="s">
        <v>53</v>
      </c>
      <c r="AD668" t="s">
        <v>54</v>
      </c>
      <c r="AE668">
        <v>15.179869717800001</v>
      </c>
      <c r="AF668">
        <v>1715</v>
      </c>
      <c r="AG668">
        <v>1715.25986263</v>
      </c>
      <c r="AH668">
        <v>151801.11981500001</v>
      </c>
      <c r="AI668">
        <v>47</v>
      </c>
      <c r="AJ668">
        <v>95225.691713139502</v>
      </c>
      <c r="AK668" s="1">
        <f>intersection_ss_Lden___surface[[#This Row],[surf m2 bout ss]]/intersection_ss_Lden___surface[[#This Row],[Shape_Area]]</f>
        <v>0.6273055945120235</v>
      </c>
      <c r="AL668">
        <v>3204</v>
      </c>
      <c r="AM668">
        <f>intersection_ss_Lden___surface[[#This Row],[Population totale 2024 ss]]*intersection_ss_Lden___surface[[#This Row],[Part de la surface du qs dans le noise contour]]</f>
        <v>2009.8871248165233</v>
      </c>
    </row>
    <row r="669" spans="1:39" x14ac:dyDescent="0.3">
      <c r="A669">
        <v>699</v>
      </c>
      <c r="B669" t="s">
        <v>1045</v>
      </c>
      <c r="C669" t="s">
        <v>1046</v>
      </c>
      <c r="D669" t="s">
        <v>1047</v>
      </c>
      <c r="E669" t="s">
        <v>1047</v>
      </c>
      <c r="F669" t="s">
        <v>1032</v>
      </c>
      <c r="G669" t="s">
        <v>1033</v>
      </c>
      <c r="H669" t="s">
        <v>1034</v>
      </c>
      <c r="I669" t="s">
        <v>1035</v>
      </c>
      <c r="J669" t="s">
        <v>36</v>
      </c>
      <c r="K669">
        <v>21014</v>
      </c>
      <c r="L669" t="s">
        <v>1036</v>
      </c>
      <c r="M669" t="s">
        <v>1037</v>
      </c>
      <c r="N669" t="s">
        <v>1037</v>
      </c>
      <c r="O669">
        <v>21000</v>
      </c>
      <c r="P669" t="s">
        <v>46</v>
      </c>
      <c r="Q669" t="s">
        <v>47</v>
      </c>
      <c r="R669" t="s">
        <v>48</v>
      </c>
      <c r="T669" t="s">
        <v>36</v>
      </c>
      <c r="U669" t="s">
        <v>36</v>
      </c>
      <c r="V669" t="s">
        <v>36</v>
      </c>
      <c r="W669">
        <v>4000</v>
      </c>
      <c r="X669" t="s">
        <v>49</v>
      </c>
      <c r="Y669" t="s">
        <v>50</v>
      </c>
      <c r="Z669" t="s">
        <v>51</v>
      </c>
      <c r="AA669" t="s">
        <v>37</v>
      </c>
      <c r="AB669" t="s">
        <v>52</v>
      </c>
      <c r="AC669" t="s">
        <v>53</v>
      </c>
      <c r="AD669" t="s">
        <v>54</v>
      </c>
      <c r="AE669">
        <v>15.179869717800001</v>
      </c>
      <c r="AF669">
        <v>1715</v>
      </c>
      <c r="AG669">
        <v>1715.25986263</v>
      </c>
      <c r="AH669">
        <v>151801.11981500001</v>
      </c>
      <c r="AI669">
        <v>48</v>
      </c>
      <c r="AJ669">
        <v>760.97008677152905</v>
      </c>
      <c r="AK669" s="1">
        <f>intersection_ss_Lden___surface[[#This Row],[surf m2 bout ss]]/intersection_ss_Lden___surface[[#This Row],[Shape_Area]]</f>
        <v>5.012941193707419E-3</v>
      </c>
      <c r="AL669">
        <v>3204</v>
      </c>
      <c r="AM669">
        <f>intersection_ss_Lden___surface[[#This Row],[Population totale 2024 ss]]*intersection_ss_Lden___surface[[#This Row],[Part de la surface du qs dans le noise contour]]</f>
        <v>16.06146358463857</v>
      </c>
    </row>
    <row r="670" spans="1:39" x14ac:dyDescent="0.3">
      <c r="A670">
        <v>700</v>
      </c>
      <c r="B670" t="s">
        <v>1048</v>
      </c>
      <c r="C670" t="s">
        <v>1049</v>
      </c>
      <c r="D670" t="s">
        <v>1049</v>
      </c>
      <c r="E670" t="s">
        <v>1049</v>
      </c>
      <c r="F670" t="s">
        <v>1032</v>
      </c>
      <c r="G670" t="s">
        <v>1033</v>
      </c>
      <c r="H670" t="s">
        <v>1034</v>
      </c>
      <c r="I670" t="s">
        <v>1035</v>
      </c>
      <c r="J670" t="s">
        <v>36</v>
      </c>
      <c r="K670">
        <v>21014</v>
      </c>
      <c r="L670" t="s">
        <v>1036</v>
      </c>
      <c r="M670" t="s">
        <v>1037</v>
      </c>
      <c r="N670" t="s">
        <v>1037</v>
      </c>
      <c r="O670">
        <v>21000</v>
      </c>
      <c r="P670" t="s">
        <v>46</v>
      </c>
      <c r="Q670" t="s">
        <v>47</v>
      </c>
      <c r="R670" t="s">
        <v>48</v>
      </c>
      <c r="T670" t="s">
        <v>36</v>
      </c>
      <c r="U670" t="s">
        <v>36</v>
      </c>
      <c r="V670" t="s">
        <v>36</v>
      </c>
      <c r="W670">
        <v>4000</v>
      </c>
      <c r="X670" t="s">
        <v>49</v>
      </c>
      <c r="Y670" t="s">
        <v>50</v>
      </c>
      <c r="Z670" t="s">
        <v>51</v>
      </c>
      <c r="AA670" t="s">
        <v>37</v>
      </c>
      <c r="AB670" t="s">
        <v>52</v>
      </c>
      <c r="AC670" t="s">
        <v>53</v>
      </c>
      <c r="AD670" t="s">
        <v>54</v>
      </c>
      <c r="AE670">
        <v>21.486304426499998</v>
      </c>
      <c r="AF670">
        <v>3068</v>
      </c>
      <c r="AG670">
        <v>3068.1588103399999</v>
      </c>
      <c r="AH670">
        <v>214866.50040200001</v>
      </c>
      <c r="AI670">
        <v>45</v>
      </c>
      <c r="AJ670">
        <v>56484.134464618903</v>
      </c>
      <c r="AK670" s="1">
        <f>intersection_ss_Lden___surface[[#This Row],[surf m2 bout ss]]/intersection_ss_Lden___surface[[#This Row],[Shape_Area]]</f>
        <v>0.2628801342179497</v>
      </c>
      <c r="AL670">
        <v>7476</v>
      </c>
      <c r="AM670">
        <f>intersection_ss_Lden___surface[[#This Row],[Population totale 2024 ss]]*intersection_ss_Lden___surface[[#This Row],[Part de la surface du qs dans le noise contour]]</f>
        <v>1965.291883413392</v>
      </c>
    </row>
    <row r="671" spans="1:39" x14ac:dyDescent="0.3">
      <c r="A671">
        <v>701</v>
      </c>
      <c r="B671" t="s">
        <v>1048</v>
      </c>
      <c r="C671" t="s">
        <v>1049</v>
      </c>
      <c r="D671" t="s">
        <v>1049</v>
      </c>
      <c r="E671" t="s">
        <v>1049</v>
      </c>
      <c r="F671" t="s">
        <v>1032</v>
      </c>
      <c r="G671" t="s">
        <v>1033</v>
      </c>
      <c r="H671" t="s">
        <v>1034</v>
      </c>
      <c r="I671" t="s">
        <v>1035</v>
      </c>
      <c r="J671" t="s">
        <v>36</v>
      </c>
      <c r="K671">
        <v>21014</v>
      </c>
      <c r="L671" t="s">
        <v>1036</v>
      </c>
      <c r="M671" t="s">
        <v>1037</v>
      </c>
      <c r="N671" t="s">
        <v>1037</v>
      </c>
      <c r="O671">
        <v>21000</v>
      </c>
      <c r="P671" t="s">
        <v>46</v>
      </c>
      <c r="Q671" t="s">
        <v>47</v>
      </c>
      <c r="R671" t="s">
        <v>48</v>
      </c>
      <c r="T671" t="s">
        <v>36</v>
      </c>
      <c r="U671" t="s">
        <v>36</v>
      </c>
      <c r="V671" t="s">
        <v>36</v>
      </c>
      <c r="W671">
        <v>4000</v>
      </c>
      <c r="X671" t="s">
        <v>49</v>
      </c>
      <c r="Y671" t="s">
        <v>50</v>
      </c>
      <c r="Z671" t="s">
        <v>51</v>
      </c>
      <c r="AA671" t="s">
        <v>37</v>
      </c>
      <c r="AB671" t="s">
        <v>52</v>
      </c>
      <c r="AC671" t="s">
        <v>53</v>
      </c>
      <c r="AD671" t="s">
        <v>54</v>
      </c>
      <c r="AE671">
        <v>21.486304426499998</v>
      </c>
      <c r="AF671">
        <v>3068</v>
      </c>
      <c r="AG671">
        <v>3068.1588103399999</v>
      </c>
      <c r="AH671">
        <v>214866.50040200001</v>
      </c>
      <c r="AI671">
        <v>46</v>
      </c>
      <c r="AJ671">
        <v>158403.335463136</v>
      </c>
      <c r="AK671" s="1">
        <f>intersection_ss_Lden___surface[[#This Row],[surf m2 bout ss]]/intersection_ss_Lden___surface[[#This Row],[Shape_Area]]</f>
        <v>0.7372174590584134</v>
      </c>
      <c r="AL671">
        <v>7476</v>
      </c>
      <c r="AM671">
        <f>intersection_ss_Lden___surface[[#This Row],[Population totale 2024 ss]]*intersection_ss_Lden___surface[[#This Row],[Part de la surface du qs dans le noise contour]]</f>
        <v>5511.4377239206988</v>
      </c>
    </row>
    <row r="672" spans="1:39" x14ac:dyDescent="0.3">
      <c r="A672">
        <v>702</v>
      </c>
      <c r="B672" t="s">
        <v>1050</v>
      </c>
      <c r="C672" t="s">
        <v>1051</v>
      </c>
      <c r="D672" t="s">
        <v>1052</v>
      </c>
      <c r="E672" t="s">
        <v>1052</v>
      </c>
      <c r="F672" t="s">
        <v>1053</v>
      </c>
      <c r="G672" t="s">
        <v>1033</v>
      </c>
      <c r="H672" t="s">
        <v>1034</v>
      </c>
      <c r="I672" t="s">
        <v>1035</v>
      </c>
      <c r="J672" t="s">
        <v>36</v>
      </c>
      <c r="K672">
        <v>21014</v>
      </c>
      <c r="L672" t="s">
        <v>1036</v>
      </c>
      <c r="M672" t="s">
        <v>1037</v>
      </c>
      <c r="N672" t="s">
        <v>1037</v>
      </c>
      <c r="O672">
        <v>21000</v>
      </c>
      <c r="P672" t="s">
        <v>46</v>
      </c>
      <c r="Q672" t="s">
        <v>47</v>
      </c>
      <c r="R672" t="s">
        <v>48</v>
      </c>
      <c r="T672" t="s">
        <v>36</v>
      </c>
      <c r="U672" t="s">
        <v>36</v>
      </c>
      <c r="V672" t="s">
        <v>36</v>
      </c>
      <c r="W672">
        <v>4000</v>
      </c>
      <c r="X672" t="s">
        <v>49</v>
      </c>
      <c r="Y672" t="s">
        <v>50</v>
      </c>
      <c r="Z672" t="s">
        <v>51</v>
      </c>
      <c r="AA672" t="s">
        <v>37</v>
      </c>
      <c r="AB672" t="s">
        <v>52</v>
      </c>
      <c r="AC672" t="s">
        <v>53</v>
      </c>
      <c r="AD672" t="s">
        <v>54</v>
      </c>
      <c r="AE672">
        <v>8.82001818052</v>
      </c>
      <c r="AF672">
        <v>1226</v>
      </c>
      <c r="AG672">
        <v>1226.2554832599999</v>
      </c>
      <c r="AH672">
        <v>88201.610939100006</v>
      </c>
      <c r="AI672">
        <v>47</v>
      </c>
      <c r="AJ672">
        <v>49695.846505534799</v>
      </c>
      <c r="AK672" s="1">
        <f>intersection_ss_Lden___surface[[#This Row],[surf m2 bout ss]]/intersection_ss_Lden___surface[[#This Row],[Shape_Area]]</f>
        <v>0.56343468080019499</v>
      </c>
      <c r="AL672">
        <v>2424</v>
      </c>
      <c r="AM672">
        <f>intersection_ss_Lden___surface[[#This Row],[Population totale 2024 ss]]*intersection_ss_Lden___surface[[#This Row],[Part de la surface du qs dans le noise contour]]</f>
        <v>1365.7656662596726</v>
      </c>
    </row>
    <row r="673" spans="1:39" x14ac:dyDescent="0.3">
      <c r="A673">
        <v>703</v>
      </c>
      <c r="B673" t="s">
        <v>1050</v>
      </c>
      <c r="C673" t="s">
        <v>1051</v>
      </c>
      <c r="D673" t="s">
        <v>1052</v>
      </c>
      <c r="E673" t="s">
        <v>1052</v>
      </c>
      <c r="F673" t="s">
        <v>1053</v>
      </c>
      <c r="G673" t="s">
        <v>1033</v>
      </c>
      <c r="H673" t="s">
        <v>1034</v>
      </c>
      <c r="I673" t="s">
        <v>1035</v>
      </c>
      <c r="J673" t="s">
        <v>36</v>
      </c>
      <c r="K673">
        <v>21014</v>
      </c>
      <c r="L673" t="s">
        <v>1036</v>
      </c>
      <c r="M673" t="s">
        <v>1037</v>
      </c>
      <c r="N673" t="s">
        <v>1037</v>
      </c>
      <c r="O673">
        <v>21000</v>
      </c>
      <c r="P673" t="s">
        <v>46</v>
      </c>
      <c r="Q673" t="s">
        <v>47</v>
      </c>
      <c r="R673" t="s">
        <v>48</v>
      </c>
      <c r="T673" t="s">
        <v>36</v>
      </c>
      <c r="U673" t="s">
        <v>36</v>
      </c>
      <c r="V673" t="s">
        <v>36</v>
      </c>
      <c r="W673">
        <v>4000</v>
      </c>
      <c r="X673" t="s">
        <v>49</v>
      </c>
      <c r="Y673" t="s">
        <v>50</v>
      </c>
      <c r="Z673" t="s">
        <v>51</v>
      </c>
      <c r="AA673" t="s">
        <v>37</v>
      </c>
      <c r="AB673" t="s">
        <v>52</v>
      </c>
      <c r="AC673" t="s">
        <v>53</v>
      </c>
      <c r="AD673" t="s">
        <v>54</v>
      </c>
      <c r="AE673">
        <v>8.82001818052</v>
      </c>
      <c r="AF673">
        <v>1226</v>
      </c>
      <c r="AG673">
        <v>1226.2554832599999</v>
      </c>
      <c r="AH673">
        <v>88201.610939100006</v>
      </c>
      <c r="AI673">
        <v>48</v>
      </c>
      <c r="AJ673">
        <v>38514.276185165203</v>
      </c>
      <c r="AK673" s="1">
        <f>intersection_ss_Lden___surface[[#This Row],[surf m2 bout ss]]/intersection_ss_Lden___surface[[#This Row],[Shape_Area]]</f>
        <v>0.43666182255738961</v>
      </c>
      <c r="AL673">
        <v>2424</v>
      </c>
      <c r="AM673">
        <f>intersection_ss_Lden___surface[[#This Row],[Population totale 2024 ss]]*intersection_ss_Lden___surface[[#This Row],[Part de la surface du qs dans le noise contour]]</f>
        <v>1058.4682578791123</v>
      </c>
    </row>
    <row r="674" spans="1:39" x14ac:dyDescent="0.3">
      <c r="A674">
        <v>704</v>
      </c>
      <c r="B674" t="s">
        <v>1054</v>
      </c>
      <c r="C674" t="s">
        <v>1055</v>
      </c>
      <c r="D674" t="s">
        <v>1056</v>
      </c>
      <c r="E674" t="s">
        <v>1056</v>
      </c>
      <c r="F674" t="s">
        <v>1053</v>
      </c>
      <c r="G674" t="s">
        <v>1033</v>
      </c>
      <c r="H674" t="s">
        <v>1034</v>
      </c>
      <c r="I674" t="s">
        <v>1035</v>
      </c>
      <c r="J674" t="s">
        <v>36</v>
      </c>
      <c r="K674">
        <v>21014</v>
      </c>
      <c r="L674" t="s">
        <v>1036</v>
      </c>
      <c r="M674" t="s">
        <v>1037</v>
      </c>
      <c r="N674" t="s">
        <v>1037</v>
      </c>
      <c r="O674">
        <v>21000</v>
      </c>
      <c r="P674" t="s">
        <v>46</v>
      </c>
      <c r="Q674" t="s">
        <v>47</v>
      </c>
      <c r="R674" t="s">
        <v>48</v>
      </c>
      <c r="T674" t="s">
        <v>36</v>
      </c>
      <c r="U674" t="s">
        <v>36</v>
      </c>
      <c r="V674" t="s">
        <v>36</v>
      </c>
      <c r="W674">
        <v>4000</v>
      </c>
      <c r="X674" t="s">
        <v>49</v>
      </c>
      <c r="Y674" t="s">
        <v>50</v>
      </c>
      <c r="Z674" t="s">
        <v>51</v>
      </c>
      <c r="AA674" t="s">
        <v>37</v>
      </c>
      <c r="AB674" t="s">
        <v>52</v>
      </c>
      <c r="AC674" t="s">
        <v>53</v>
      </c>
      <c r="AD674" t="s">
        <v>54</v>
      </c>
      <c r="AE674">
        <v>3.9238778176600002</v>
      </c>
      <c r="AF674">
        <v>1302</v>
      </c>
      <c r="AG674">
        <v>1301.7731835</v>
      </c>
      <c r="AH674">
        <v>39239.398387000001</v>
      </c>
      <c r="AI674">
        <v>47</v>
      </c>
      <c r="AJ674">
        <v>2773.7788253352001</v>
      </c>
      <c r="AK674" s="1">
        <f>intersection_ss_Lden___surface[[#This Row],[surf m2 bout ss]]/intersection_ss_Lden___surface[[#This Row],[Shape_Area]]</f>
        <v>7.0688617546546081E-2</v>
      </c>
      <c r="AL674">
        <v>319</v>
      </c>
      <c r="AM674">
        <f>intersection_ss_Lden___surface[[#This Row],[Population totale 2024 ss]]*intersection_ss_Lden___surface[[#This Row],[Part de la surface du qs dans le noise contour]]</f>
        <v>22.549668997348199</v>
      </c>
    </row>
    <row r="675" spans="1:39" x14ac:dyDescent="0.3">
      <c r="A675">
        <v>705</v>
      </c>
      <c r="B675" t="s">
        <v>1054</v>
      </c>
      <c r="C675" t="s">
        <v>1055</v>
      </c>
      <c r="D675" t="s">
        <v>1056</v>
      </c>
      <c r="E675" t="s">
        <v>1056</v>
      </c>
      <c r="F675" t="s">
        <v>1053</v>
      </c>
      <c r="G675" t="s">
        <v>1033</v>
      </c>
      <c r="H675" t="s">
        <v>1034</v>
      </c>
      <c r="I675" t="s">
        <v>1035</v>
      </c>
      <c r="J675" t="s">
        <v>36</v>
      </c>
      <c r="K675">
        <v>21014</v>
      </c>
      <c r="L675" t="s">
        <v>1036</v>
      </c>
      <c r="M675" t="s">
        <v>1037</v>
      </c>
      <c r="N675" t="s">
        <v>1037</v>
      </c>
      <c r="O675">
        <v>21000</v>
      </c>
      <c r="P675" t="s">
        <v>46</v>
      </c>
      <c r="Q675" t="s">
        <v>47</v>
      </c>
      <c r="R675" t="s">
        <v>48</v>
      </c>
      <c r="T675" t="s">
        <v>36</v>
      </c>
      <c r="U675" t="s">
        <v>36</v>
      </c>
      <c r="V675" t="s">
        <v>36</v>
      </c>
      <c r="W675">
        <v>4000</v>
      </c>
      <c r="X675" t="s">
        <v>49</v>
      </c>
      <c r="Y675" t="s">
        <v>50</v>
      </c>
      <c r="Z675" t="s">
        <v>51</v>
      </c>
      <c r="AA675" t="s">
        <v>37</v>
      </c>
      <c r="AB675" t="s">
        <v>52</v>
      </c>
      <c r="AC675" t="s">
        <v>53</v>
      </c>
      <c r="AD675" t="s">
        <v>54</v>
      </c>
      <c r="AE675">
        <v>3.9238778176600002</v>
      </c>
      <c r="AF675">
        <v>1302</v>
      </c>
      <c r="AG675">
        <v>1301.7731835</v>
      </c>
      <c r="AH675">
        <v>39239.398387000001</v>
      </c>
      <c r="AI675">
        <v>48</v>
      </c>
      <c r="AJ675">
        <v>19680.1034761593</v>
      </c>
      <c r="AK675" s="1">
        <f>intersection_ss_Lden___surface[[#This Row],[surf m2 bout ss]]/intersection_ss_Lden___surface[[#This Row],[Shape_Area]]</f>
        <v>0.5015393784090052</v>
      </c>
      <c r="AL675">
        <v>319</v>
      </c>
      <c r="AM675">
        <f>intersection_ss_Lden___surface[[#This Row],[Population totale 2024 ss]]*intersection_ss_Lden___surface[[#This Row],[Part de la surface du qs dans le noise contour]]</f>
        <v>159.99106171247266</v>
      </c>
    </row>
    <row r="676" spans="1:39" x14ac:dyDescent="0.3">
      <c r="A676">
        <v>706</v>
      </c>
      <c r="B676" t="s">
        <v>1054</v>
      </c>
      <c r="C676" t="s">
        <v>1055</v>
      </c>
      <c r="D676" t="s">
        <v>1056</v>
      </c>
      <c r="E676" t="s">
        <v>1056</v>
      </c>
      <c r="F676" t="s">
        <v>1053</v>
      </c>
      <c r="G676" t="s">
        <v>1033</v>
      </c>
      <c r="H676" t="s">
        <v>1034</v>
      </c>
      <c r="I676" t="s">
        <v>1035</v>
      </c>
      <c r="J676" t="s">
        <v>36</v>
      </c>
      <c r="K676">
        <v>21014</v>
      </c>
      <c r="L676" t="s">
        <v>1036</v>
      </c>
      <c r="M676" t="s">
        <v>1037</v>
      </c>
      <c r="N676" t="s">
        <v>1037</v>
      </c>
      <c r="O676">
        <v>21000</v>
      </c>
      <c r="P676" t="s">
        <v>46</v>
      </c>
      <c r="Q676" t="s">
        <v>47</v>
      </c>
      <c r="R676" t="s">
        <v>48</v>
      </c>
      <c r="T676" t="s">
        <v>36</v>
      </c>
      <c r="U676" t="s">
        <v>36</v>
      </c>
      <c r="V676" t="s">
        <v>36</v>
      </c>
      <c r="W676">
        <v>4000</v>
      </c>
      <c r="X676" t="s">
        <v>49</v>
      </c>
      <c r="Y676" t="s">
        <v>50</v>
      </c>
      <c r="Z676" t="s">
        <v>51</v>
      </c>
      <c r="AA676" t="s">
        <v>37</v>
      </c>
      <c r="AB676" t="s">
        <v>52</v>
      </c>
      <c r="AC676" t="s">
        <v>53</v>
      </c>
      <c r="AD676" t="s">
        <v>54</v>
      </c>
      <c r="AE676">
        <v>3.9238778176600002</v>
      </c>
      <c r="AF676">
        <v>1302</v>
      </c>
      <c r="AG676">
        <v>1301.7731835</v>
      </c>
      <c r="AH676">
        <v>39239.398387000001</v>
      </c>
      <c r="AI676">
        <v>49</v>
      </c>
      <c r="AJ676">
        <v>16789.293742628099</v>
      </c>
      <c r="AK676" s="1">
        <f>intersection_ss_Lden___surface[[#This Row],[surf m2 bout ss]]/intersection_ss_Lden___surface[[#This Row],[Shape_Area]]</f>
        <v>0.42786827608932926</v>
      </c>
      <c r="AL676">
        <v>319</v>
      </c>
      <c r="AM676">
        <f>intersection_ss_Lden___surface[[#This Row],[Population totale 2024 ss]]*intersection_ss_Lden___surface[[#This Row],[Part de la surface du qs dans le noise contour]]</f>
        <v>136.48998007249602</v>
      </c>
    </row>
    <row r="677" spans="1:39" x14ac:dyDescent="0.3">
      <c r="A677">
        <v>707</v>
      </c>
      <c r="B677" t="s">
        <v>1057</v>
      </c>
      <c r="C677" t="s">
        <v>1058</v>
      </c>
      <c r="D677" t="s">
        <v>1058</v>
      </c>
      <c r="E677" t="s">
        <v>1058</v>
      </c>
      <c r="F677" t="s">
        <v>1053</v>
      </c>
      <c r="G677" t="s">
        <v>1033</v>
      </c>
      <c r="H677" t="s">
        <v>1034</v>
      </c>
      <c r="I677" t="s">
        <v>1035</v>
      </c>
      <c r="J677" t="s">
        <v>36</v>
      </c>
      <c r="K677">
        <v>21014</v>
      </c>
      <c r="L677" t="s">
        <v>1036</v>
      </c>
      <c r="M677" t="s">
        <v>1037</v>
      </c>
      <c r="N677" t="s">
        <v>1037</v>
      </c>
      <c r="O677">
        <v>21000</v>
      </c>
      <c r="P677" t="s">
        <v>46</v>
      </c>
      <c r="Q677" t="s">
        <v>47</v>
      </c>
      <c r="R677" t="s">
        <v>48</v>
      </c>
      <c r="T677" t="s">
        <v>36</v>
      </c>
      <c r="U677" t="s">
        <v>36</v>
      </c>
      <c r="V677" t="s">
        <v>36</v>
      </c>
      <c r="W677">
        <v>4000</v>
      </c>
      <c r="X677" t="s">
        <v>49</v>
      </c>
      <c r="Y677" t="s">
        <v>50</v>
      </c>
      <c r="Z677" t="s">
        <v>51</v>
      </c>
      <c r="AA677" t="s">
        <v>37</v>
      </c>
      <c r="AB677" t="s">
        <v>52</v>
      </c>
      <c r="AC677" t="s">
        <v>53</v>
      </c>
      <c r="AD677" t="s">
        <v>54</v>
      </c>
      <c r="AE677">
        <v>3.2259360990200001</v>
      </c>
      <c r="AF677">
        <v>854</v>
      </c>
      <c r="AG677">
        <v>854.34943704800003</v>
      </c>
      <c r="AH677">
        <v>32259.885644099999</v>
      </c>
      <c r="AI677">
        <v>47</v>
      </c>
      <c r="AJ677">
        <v>3234.9436922965101</v>
      </c>
      <c r="AK677" s="1">
        <f>intersection_ss_Lden___surface[[#This Row],[surf m2 bout ss]]/intersection_ss_Lden___surface[[#This Row],[Shape_Area]]</f>
        <v>0.1002775932929616</v>
      </c>
      <c r="AL677">
        <v>0</v>
      </c>
      <c r="AM677">
        <f>intersection_ss_Lden___surface[[#This Row],[Population totale 2024 ss]]*intersection_ss_Lden___surface[[#This Row],[Part de la surface du qs dans le noise contour]]</f>
        <v>0</v>
      </c>
    </row>
    <row r="678" spans="1:39" x14ac:dyDescent="0.3">
      <c r="A678">
        <v>708</v>
      </c>
      <c r="B678" t="s">
        <v>1057</v>
      </c>
      <c r="C678" t="s">
        <v>1058</v>
      </c>
      <c r="D678" t="s">
        <v>1058</v>
      </c>
      <c r="E678" t="s">
        <v>1058</v>
      </c>
      <c r="F678" t="s">
        <v>1053</v>
      </c>
      <c r="G678" t="s">
        <v>1033</v>
      </c>
      <c r="H678" t="s">
        <v>1034</v>
      </c>
      <c r="I678" t="s">
        <v>1035</v>
      </c>
      <c r="J678" t="s">
        <v>36</v>
      </c>
      <c r="K678">
        <v>21014</v>
      </c>
      <c r="L678" t="s">
        <v>1036</v>
      </c>
      <c r="M678" t="s">
        <v>1037</v>
      </c>
      <c r="N678" t="s">
        <v>1037</v>
      </c>
      <c r="O678">
        <v>21000</v>
      </c>
      <c r="P678" t="s">
        <v>46</v>
      </c>
      <c r="Q678" t="s">
        <v>47</v>
      </c>
      <c r="R678" t="s">
        <v>48</v>
      </c>
      <c r="T678" t="s">
        <v>36</v>
      </c>
      <c r="U678" t="s">
        <v>36</v>
      </c>
      <c r="V678" t="s">
        <v>36</v>
      </c>
      <c r="W678">
        <v>4000</v>
      </c>
      <c r="X678" t="s">
        <v>49</v>
      </c>
      <c r="Y678" t="s">
        <v>50</v>
      </c>
      <c r="Z678" t="s">
        <v>51</v>
      </c>
      <c r="AA678" t="s">
        <v>37</v>
      </c>
      <c r="AB678" t="s">
        <v>52</v>
      </c>
      <c r="AC678" t="s">
        <v>53</v>
      </c>
      <c r="AD678" t="s">
        <v>54</v>
      </c>
      <c r="AE678">
        <v>3.2259360990200001</v>
      </c>
      <c r="AF678">
        <v>854</v>
      </c>
      <c r="AG678">
        <v>854.34943704800003</v>
      </c>
      <c r="AH678">
        <v>32259.885644099999</v>
      </c>
      <c r="AI678">
        <v>48</v>
      </c>
      <c r="AJ678">
        <v>29028.060106091201</v>
      </c>
      <c r="AK678" s="1">
        <f>intersection_ss_Lden___surface[[#This Row],[surf m2 bout ss]]/intersection_ss_Lden___surface[[#This Row],[Shape_Area]]</f>
        <v>0.89981906403317136</v>
      </c>
      <c r="AL678">
        <v>0</v>
      </c>
      <c r="AM678">
        <f>intersection_ss_Lden___surface[[#This Row],[Population totale 2024 ss]]*intersection_ss_Lden___surface[[#This Row],[Part de la surface du qs dans le noise contour]]</f>
        <v>0</v>
      </c>
    </row>
    <row r="679" spans="1:39" x14ac:dyDescent="0.3">
      <c r="A679">
        <v>709</v>
      </c>
      <c r="B679" t="s">
        <v>1059</v>
      </c>
      <c r="C679" t="s">
        <v>1060</v>
      </c>
      <c r="D679" t="s">
        <v>1061</v>
      </c>
      <c r="E679" t="s">
        <v>1061</v>
      </c>
      <c r="F679" t="s">
        <v>1053</v>
      </c>
      <c r="G679" t="s">
        <v>1033</v>
      </c>
      <c r="H679" t="s">
        <v>1034</v>
      </c>
      <c r="I679" t="s">
        <v>1035</v>
      </c>
      <c r="J679" t="s">
        <v>36</v>
      </c>
      <c r="K679">
        <v>21014</v>
      </c>
      <c r="L679" t="s">
        <v>1036</v>
      </c>
      <c r="M679" t="s">
        <v>1037</v>
      </c>
      <c r="N679" t="s">
        <v>1037</v>
      </c>
      <c r="O679">
        <v>21000</v>
      </c>
      <c r="P679" t="s">
        <v>46</v>
      </c>
      <c r="Q679" t="s">
        <v>47</v>
      </c>
      <c r="R679" t="s">
        <v>48</v>
      </c>
      <c r="T679" t="s">
        <v>36</v>
      </c>
      <c r="U679" t="s">
        <v>36</v>
      </c>
      <c r="V679" t="s">
        <v>36</v>
      </c>
      <c r="W679">
        <v>4000</v>
      </c>
      <c r="X679" t="s">
        <v>49</v>
      </c>
      <c r="Y679" t="s">
        <v>50</v>
      </c>
      <c r="Z679" t="s">
        <v>51</v>
      </c>
      <c r="AA679" t="s">
        <v>37</v>
      </c>
      <c r="AB679" t="s">
        <v>52</v>
      </c>
      <c r="AC679" t="s">
        <v>53</v>
      </c>
      <c r="AD679" t="s">
        <v>54</v>
      </c>
      <c r="AE679">
        <v>4.0842224794600002</v>
      </c>
      <c r="AF679">
        <v>1084</v>
      </c>
      <c r="AG679">
        <v>1083.7059790799999</v>
      </c>
      <c r="AH679">
        <v>40842.886017299999</v>
      </c>
      <c r="AI679">
        <v>47</v>
      </c>
      <c r="AJ679">
        <v>1577.71221779287</v>
      </c>
      <c r="AK679" s="1">
        <f>intersection_ss_Lden___surface[[#This Row],[surf m2 bout ss]]/intersection_ss_Lden___surface[[#This Row],[Shape_Area]]</f>
        <v>3.8628813280349276E-2</v>
      </c>
      <c r="AL679">
        <v>1340</v>
      </c>
      <c r="AM679">
        <f>intersection_ss_Lden___surface[[#This Row],[Population totale 2024 ss]]*intersection_ss_Lden___surface[[#This Row],[Part de la surface du qs dans le noise contour]]</f>
        <v>51.762609795668034</v>
      </c>
    </row>
    <row r="680" spans="1:39" x14ac:dyDescent="0.3">
      <c r="A680">
        <v>710</v>
      </c>
      <c r="B680" t="s">
        <v>1059</v>
      </c>
      <c r="C680" t="s">
        <v>1060</v>
      </c>
      <c r="D680" t="s">
        <v>1061</v>
      </c>
      <c r="E680" t="s">
        <v>1061</v>
      </c>
      <c r="F680" t="s">
        <v>1053</v>
      </c>
      <c r="G680" t="s">
        <v>1033</v>
      </c>
      <c r="H680" t="s">
        <v>1034</v>
      </c>
      <c r="I680" t="s">
        <v>1035</v>
      </c>
      <c r="J680" t="s">
        <v>36</v>
      </c>
      <c r="K680">
        <v>21014</v>
      </c>
      <c r="L680" t="s">
        <v>1036</v>
      </c>
      <c r="M680" t="s">
        <v>1037</v>
      </c>
      <c r="N680" t="s">
        <v>1037</v>
      </c>
      <c r="O680">
        <v>21000</v>
      </c>
      <c r="P680" t="s">
        <v>46</v>
      </c>
      <c r="Q680" t="s">
        <v>47</v>
      </c>
      <c r="R680" t="s">
        <v>48</v>
      </c>
      <c r="T680" t="s">
        <v>36</v>
      </c>
      <c r="U680" t="s">
        <v>36</v>
      </c>
      <c r="V680" t="s">
        <v>36</v>
      </c>
      <c r="W680">
        <v>4000</v>
      </c>
      <c r="X680" t="s">
        <v>49</v>
      </c>
      <c r="Y680" t="s">
        <v>50</v>
      </c>
      <c r="Z680" t="s">
        <v>51</v>
      </c>
      <c r="AA680" t="s">
        <v>37</v>
      </c>
      <c r="AB680" t="s">
        <v>52</v>
      </c>
      <c r="AC680" t="s">
        <v>53</v>
      </c>
      <c r="AD680" t="s">
        <v>54</v>
      </c>
      <c r="AE680">
        <v>4.0842224794600002</v>
      </c>
      <c r="AF680">
        <v>1084</v>
      </c>
      <c r="AG680">
        <v>1083.7059790799999</v>
      </c>
      <c r="AH680">
        <v>40842.886017299999</v>
      </c>
      <c r="AI680">
        <v>48</v>
      </c>
      <c r="AJ680">
        <v>31679.4982537795</v>
      </c>
      <c r="AK680" s="1">
        <f>intersection_ss_Lden___surface[[#This Row],[surf m2 bout ss]]/intersection_ss_Lden___surface[[#This Row],[Shape_Area]]</f>
        <v>0.77564299056537966</v>
      </c>
      <c r="AL680">
        <v>1340</v>
      </c>
      <c r="AM680">
        <f>intersection_ss_Lden___surface[[#This Row],[Population totale 2024 ss]]*intersection_ss_Lden___surface[[#This Row],[Part de la surface du qs dans le noise contour]]</f>
        <v>1039.3616073576088</v>
      </c>
    </row>
    <row r="681" spans="1:39" x14ac:dyDescent="0.3">
      <c r="A681">
        <v>711</v>
      </c>
      <c r="B681" t="s">
        <v>1059</v>
      </c>
      <c r="C681" t="s">
        <v>1060</v>
      </c>
      <c r="D681" t="s">
        <v>1061</v>
      </c>
      <c r="E681" t="s">
        <v>1061</v>
      </c>
      <c r="F681" t="s">
        <v>1053</v>
      </c>
      <c r="G681" t="s">
        <v>1033</v>
      </c>
      <c r="H681" t="s">
        <v>1034</v>
      </c>
      <c r="I681" t="s">
        <v>1035</v>
      </c>
      <c r="J681" t="s">
        <v>36</v>
      </c>
      <c r="K681">
        <v>21014</v>
      </c>
      <c r="L681" t="s">
        <v>1036</v>
      </c>
      <c r="M681" t="s">
        <v>1037</v>
      </c>
      <c r="N681" t="s">
        <v>1037</v>
      </c>
      <c r="O681">
        <v>21000</v>
      </c>
      <c r="P681" t="s">
        <v>46</v>
      </c>
      <c r="Q681" t="s">
        <v>47</v>
      </c>
      <c r="R681" t="s">
        <v>48</v>
      </c>
      <c r="T681" t="s">
        <v>36</v>
      </c>
      <c r="U681" t="s">
        <v>36</v>
      </c>
      <c r="V681" t="s">
        <v>36</v>
      </c>
      <c r="W681">
        <v>4000</v>
      </c>
      <c r="X681" t="s">
        <v>49</v>
      </c>
      <c r="Y681" t="s">
        <v>50</v>
      </c>
      <c r="Z681" t="s">
        <v>51</v>
      </c>
      <c r="AA681" t="s">
        <v>37</v>
      </c>
      <c r="AB681" t="s">
        <v>52</v>
      </c>
      <c r="AC681" t="s">
        <v>53</v>
      </c>
      <c r="AD681" t="s">
        <v>54</v>
      </c>
      <c r="AE681">
        <v>4.0842224794600002</v>
      </c>
      <c r="AF681">
        <v>1084</v>
      </c>
      <c r="AG681">
        <v>1083.7059790799999</v>
      </c>
      <c r="AH681">
        <v>40842.886017299999</v>
      </c>
      <c r="AI681">
        <v>49</v>
      </c>
      <c r="AJ681">
        <v>7589.6074693820001</v>
      </c>
      <c r="AK681" s="1">
        <f>intersection_ss_Lden___surface[[#This Row],[surf m2 bout ss]]/intersection_ss_Lden___surface[[#This Row],[Shape_Area]]</f>
        <v>0.18582446564053376</v>
      </c>
      <c r="AL681">
        <v>1340</v>
      </c>
      <c r="AM681">
        <f>intersection_ss_Lden___surface[[#This Row],[Population totale 2024 ss]]*intersection_ss_Lden___surface[[#This Row],[Part de la surface du qs dans le noise contour]]</f>
        <v>249.00478395831524</v>
      </c>
    </row>
    <row r="682" spans="1:39" x14ac:dyDescent="0.3">
      <c r="A682">
        <v>712</v>
      </c>
      <c r="B682" t="s">
        <v>1062</v>
      </c>
      <c r="C682" t="s">
        <v>1063</v>
      </c>
      <c r="D682" t="s">
        <v>1064</v>
      </c>
      <c r="E682" t="s">
        <v>1064</v>
      </c>
      <c r="F682" t="s">
        <v>1053</v>
      </c>
      <c r="G682" t="s">
        <v>1033</v>
      </c>
      <c r="H682" t="s">
        <v>1034</v>
      </c>
      <c r="I682" t="s">
        <v>1035</v>
      </c>
      <c r="J682" t="s">
        <v>36</v>
      </c>
      <c r="K682">
        <v>21014</v>
      </c>
      <c r="L682" t="s">
        <v>1036</v>
      </c>
      <c r="M682" t="s">
        <v>1037</v>
      </c>
      <c r="N682" t="s">
        <v>1037</v>
      </c>
      <c r="O682">
        <v>21000</v>
      </c>
      <c r="P682" t="s">
        <v>46</v>
      </c>
      <c r="Q682" t="s">
        <v>47</v>
      </c>
      <c r="R682" t="s">
        <v>48</v>
      </c>
      <c r="T682" t="s">
        <v>36</v>
      </c>
      <c r="U682" t="s">
        <v>36</v>
      </c>
      <c r="V682" t="s">
        <v>36</v>
      </c>
      <c r="W682">
        <v>4000</v>
      </c>
      <c r="X682" t="s">
        <v>49</v>
      </c>
      <c r="Y682" t="s">
        <v>50</v>
      </c>
      <c r="Z682" t="s">
        <v>51</v>
      </c>
      <c r="AA682" t="s">
        <v>37</v>
      </c>
      <c r="AB682" t="s">
        <v>52</v>
      </c>
      <c r="AC682" t="s">
        <v>53</v>
      </c>
      <c r="AD682" t="s">
        <v>54</v>
      </c>
      <c r="AE682">
        <v>6.3919521641600001</v>
      </c>
      <c r="AF682">
        <v>1191</v>
      </c>
      <c r="AG682">
        <v>1190.94303087</v>
      </c>
      <c r="AH682">
        <v>63920.548263800003</v>
      </c>
      <c r="AI682">
        <v>46</v>
      </c>
      <c r="AJ682">
        <v>6201.3923395921001</v>
      </c>
      <c r="AK682" s="1">
        <f>intersection_ss_Lden___surface[[#This Row],[surf m2 bout ss]]/intersection_ss_Lden___surface[[#This Row],[Shape_Area]]</f>
        <v>9.7017195691109587E-2</v>
      </c>
      <c r="AL682">
        <v>0</v>
      </c>
      <c r="AM682">
        <f>intersection_ss_Lden___surface[[#This Row],[Population totale 2024 ss]]*intersection_ss_Lden___surface[[#This Row],[Part de la surface du qs dans le noise contour]]</f>
        <v>0</v>
      </c>
    </row>
    <row r="683" spans="1:39" x14ac:dyDescent="0.3">
      <c r="A683">
        <v>713</v>
      </c>
      <c r="B683" t="s">
        <v>1062</v>
      </c>
      <c r="C683" t="s">
        <v>1063</v>
      </c>
      <c r="D683" t="s">
        <v>1064</v>
      </c>
      <c r="E683" t="s">
        <v>1064</v>
      </c>
      <c r="F683" t="s">
        <v>1053</v>
      </c>
      <c r="G683" t="s">
        <v>1033</v>
      </c>
      <c r="H683" t="s">
        <v>1034</v>
      </c>
      <c r="I683" t="s">
        <v>1035</v>
      </c>
      <c r="J683" t="s">
        <v>36</v>
      </c>
      <c r="K683">
        <v>21014</v>
      </c>
      <c r="L683" t="s">
        <v>1036</v>
      </c>
      <c r="M683" t="s">
        <v>1037</v>
      </c>
      <c r="N683" t="s">
        <v>1037</v>
      </c>
      <c r="O683">
        <v>21000</v>
      </c>
      <c r="P683" t="s">
        <v>46</v>
      </c>
      <c r="Q683" t="s">
        <v>47</v>
      </c>
      <c r="R683" t="s">
        <v>48</v>
      </c>
      <c r="T683" t="s">
        <v>36</v>
      </c>
      <c r="U683" t="s">
        <v>36</v>
      </c>
      <c r="V683" t="s">
        <v>36</v>
      </c>
      <c r="W683">
        <v>4000</v>
      </c>
      <c r="X683" t="s">
        <v>49</v>
      </c>
      <c r="Y683" t="s">
        <v>50</v>
      </c>
      <c r="Z683" t="s">
        <v>51</v>
      </c>
      <c r="AA683" t="s">
        <v>37</v>
      </c>
      <c r="AB683" t="s">
        <v>52</v>
      </c>
      <c r="AC683" t="s">
        <v>53</v>
      </c>
      <c r="AD683" t="s">
        <v>54</v>
      </c>
      <c r="AE683">
        <v>6.3919521641600001</v>
      </c>
      <c r="AF683">
        <v>1191</v>
      </c>
      <c r="AG683">
        <v>1190.94303087</v>
      </c>
      <c r="AH683">
        <v>63920.548263800003</v>
      </c>
      <c r="AI683">
        <v>47</v>
      </c>
      <c r="AJ683">
        <v>56585.726340577203</v>
      </c>
      <c r="AK683" s="1">
        <f>intersection_ss_Lden___surface[[#This Row],[surf m2 bout ss]]/intersection_ss_Lden___surface[[#This Row],[Shape_Area]]</f>
        <v>0.88525095415402255</v>
      </c>
      <c r="AL683">
        <v>0</v>
      </c>
      <c r="AM683">
        <f>intersection_ss_Lden___surface[[#This Row],[Population totale 2024 ss]]*intersection_ss_Lden___surface[[#This Row],[Part de la surface du qs dans le noise contour]]</f>
        <v>0</v>
      </c>
    </row>
    <row r="684" spans="1:39" x14ac:dyDescent="0.3">
      <c r="A684">
        <v>714</v>
      </c>
      <c r="B684" t="s">
        <v>1062</v>
      </c>
      <c r="C684" t="s">
        <v>1063</v>
      </c>
      <c r="D684" t="s">
        <v>1064</v>
      </c>
      <c r="E684" t="s">
        <v>1064</v>
      </c>
      <c r="F684" t="s">
        <v>1053</v>
      </c>
      <c r="G684" t="s">
        <v>1033</v>
      </c>
      <c r="H684" t="s">
        <v>1034</v>
      </c>
      <c r="I684" t="s">
        <v>1035</v>
      </c>
      <c r="J684" t="s">
        <v>36</v>
      </c>
      <c r="K684">
        <v>21014</v>
      </c>
      <c r="L684" t="s">
        <v>1036</v>
      </c>
      <c r="M684" t="s">
        <v>1037</v>
      </c>
      <c r="N684" t="s">
        <v>1037</v>
      </c>
      <c r="O684">
        <v>21000</v>
      </c>
      <c r="P684" t="s">
        <v>46</v>
      </c>
      <c r="Q684" t="s">
        <v>47</v>
      </c>
      <c r="R684" t="s">
        <v>48</v>
      </c>
      <c r="T684" t="s">
        <v>36</v>
      </c>
      <c r="U684" t="s">
        <v>36</v>
      </c>
      <c r="V684" t="s">
        <v>36</v>
      </c>
      <c r="W684">
        <v>4000</v>
      </c>
      <c r="X684" t="s">
        <v>49</v>
      </c>
      <c r="Y684" t="s">
        <v>50</v>
      </c>
      <c r="Z684" t="s">
        <v>51</v>
      </c>
      <c r="AA684" t="s">
        <v>37</v>
      </c>
      <c r="AB684" t="s">
        <v>52</v>
      </c>
      <c r="AC684" t="s">
        <v>53</v>
      </c>
      <c r="AD684" t="s">
        <v>54</v>
      </c>
      <c r="AE684">
        <v>6.3919521641600001</v>
      </c>
      <c r="AF684">
        <v>1191</v>
      </c>
      <c r="AG684">
        <v>1190.94303087</v>
      </c>
      <c r="AH684">
        <v>63920.548263800003</v>
      </c>
      <c r="AI684">
        <v>48</v>
      </c>
      <c r="AJ684">
        <v>1139.62621071935</v>
      </c>
      <c r="AK684" s="1">
        <f>intersection_ss_Lden___surface[[#This Row],[surf m2 bout ss]]/intersection_ss_Lden___surface[[#This Row],[Shape_Area]]</f>
        <v>1.7828792800964634E-2</v>
      </c>
      <c r="AL684">
        <v>0</v>
      </c>
      <c r="AM684">
        <f>intersection_ss_Lden___surface[[#This Row],[Population totale 2024 ss]]*intersection_ss_Lden___surface[[#This Row],[Part de la surface du qs dans le noise contour]]</f>
        <v>0</v>
      </c>
    </row>
    <row r="685" spans="1:39" x14ac:dyDescent="0.3">
      <c r="A685">
        <v>715</v>
      </c>
      <c r="B685" t="s">
        <v>1065</v>
      </c>
      <c r="C685" t="s">
        <v>1066</v>
      </c>
      <c r="D685" t="s">
        <v>1067</v>
      </c>
      <c r="E685" t="s">
        <v>1067</v>
      </c>
      <c r="F685" t="s">
        <v>1068</v>
      </c>
      <c r="G685" t="s">
        <v>1033</v>
      </c>
      <c r="H685" t="s">
        <v>1034</v>
      </c>
      <c r="I685" t="s">
        <v>1035</v>
      </c>
      <c r="J685" t="s">
        <v>36</v>
      </c>
      <c r="K685">
        <v>21014</v>
      </c>
      <c r="L685" t="s">
        <v>1036</v>
      </c>
      <c r="M685" t="s">
        <v>1037</v>
      </c>
      <c r="N685" t="s">
        <v>1037</v>
      </c>
      <c r="O685">
        <v>21000</v>
      </c>
      <c r="P685" t="s">
        <v>46</v>
      </c>
      <c r="Q685" t="s">
        <v>47</v>
      </c>
      <c r="R685" t="s">
        <v>48</v>
      </c>
      <c r="T685" t="s">
        <v>36</v>
      </c>
      <c r="U685" t="s">
        <v>36</v>
      </c>
      <c r="V685" t="s">
        <v>36</v>
      </c>
      <c r="W685">
        <v>4000</v>
      </c>
      <c r="X685" t="s">
        <v>49</v>
      </c>
      <c r="Y685" t="s">
        <v>50</v>
      </c>
      <c r="Z685" t="s">
        <v>51</v>
      </c>
      <c r="AA685" t="s">
        <v>37</v>
      </c>
      <c r="AB685" t="s">
        <v>52</v>
      </c>
      <c r="AC685" t="s">
        <v>53</v>
      </c>
      <c r="AD685" t="s">
        <v>54</v>
      </c>
      <c r="AE685">
        <v>3.0055450479700001</v>
      </c>
      <c r="AF685">
        <v>780</v>
      </c>
      <c r="AG685">
        <v>780.34212363500001</v>
      </c>
      <c r="AH685">
        <v>30055.928696999999</v>
      </c>
      <c r="AI685">
        <v>48</v>
      </c>
      <c r="AJ685">
        <v>22266.334128208498</v>
      </c>
      <c r="AK685" s="1">
        <f>intersection_ss_Lden___surface[[#This Row],[surf m2 bout ss]]/intersection_ss_Lden___surface[[#This Row],[Shape_Area]]</f>
        <v>0.7408300156910802</v>
      </c>
      <c r="AL685">
        <v>4</v>
      </c>
      <c r="AM685">
        <f>intersection_ss_Lden___surface[[#This Row],[Population totale 2024 ss]]*intersection_ss_Lden___surface[[#This Row],[Part de la surface du qs dans le noise contour]]</f>
        <v>2.9633200627643208</v>
      </c>
    </row>
    <row r="686" spans="1:39" x14ac:dyDescent="0.3">
      <c r="A686">
        <v>716</v>
      </c>
      <c r="B686" t="s">
        <v>1065</v>
      </c>
      <c r="C686" t="s">
        <v>1066</v>
      </c>
      <c r="D686" t="s">
        <v>1067</v>
      </c>
      <c r="E686" t="s">
        <v>1067</v>
      </c>
      <c r="F686" t="s">
        <v>1068</v>
      </c>
      <c r="G686" t="s">
        <v>1033</v>
      </c>
      <c r="H686" t="s">
        <v>1034</v>
      </c>
      <c r="I686" t="s">
        <v>1035</v>
      </c>
      <c r="J686" t="s">
        <v>36</v>
      </c>
      <c r="K686">
        <v>21014</v>
      </c>
      <c r="L686" t="s">
        <v>1036</v>
      </c>
      <c r="M686" t="s">
        <v>1037</v>
      </c>
      <c r="N686" t="s">
        <v>1037</v>
      </c>
      <c r="O686">
        <v>21000</v>
      </c>
      <c r="P686" t="s">
        <v>46</v>
      </c>
      <c r="Q686" t="s">
        <v>47</v>
      </c>
      <c r="R686" t="s">
        <v>48</v>
      </c>
      <c r="T686" t="s">
        <v>36</v>
      </c>
      <c r="U686" t="s">
        <v>36</v>
      </c>
      <c r="V686" t="s">
        <v>36</v>
      </c>
      <c r="W686">
        <v>4000</v>
      </c>
      <c r="X686" t="s">
        <v>49</v>
      </c>
      <c r="Y686" t="s">
        <v>50</v>
      </c>
      <c r="Z686" t="s">
        <v>51</v>
      </c>
      <c r="AA686" t="s">
        <v>37</v>
      </c>
      <c r="AB686" t="s">
        <v>52</v>
      </c>
      <c r="AC686" t="s">
        <v>53</v>
      </c>
      <c r="AD686" t="s">
        <v>54</v>
      </c>
      <c r="AE686">
        <v>3.0055450479700001</v>
      </c>
      <c r="AF686">
        <v>780</v>
      </c>
      <c r="AG686">
        <v>780.34212363500001</v>
      </c>
      <c r="AH686">
        <v>30055.928696999999</v>
      </c>
      <c r="AI686">
        <v>49</v>
      </c>
      <c r="AJ686">
        <v>7792.4910460524297</v>
      </c>
      <c r="AK686" s="1">
        <f>intersection_ss_Lden___surface[[#This Row],[surf m2 bout ss]]/intersection_ss_Lden___surface[[#This Row],[Shape_Area]]</f>
        <v>0.25926635389011382</v>
      </c>
      <c r="AL686">
        <v>4</v>
      </c>
      <c r="AM686">
        <f>intersection_ss_Lden___surface[[#This Row],[Population totale 2024 ss]]*intersection_ss_Lden___surface[[#This Row],[Part de la surface du qs dans le noise contour]]</f>
        <v>1.0370654155604553</v>
      </c>
    </row>
    <row r="687" spans="1:39" x14ac:dyDescent="0.3">
      <c r="A687">
        <v>717</v>
      </c>
      <c r="B687" t="s">
        <v>1069</v>
      </c>
      <c r="C687" t="s">
        <v>1070</v>
      </c>
      <c r="D687" t="s">
        <v>1070</v>
      </c>
      <c r="E687" t="s">
        <v>1070</v>
      </c>
      <c r="F687" t="s">
        <v>1071</v>
      </c>
      <c r="G687" t="s">
        <v>1033</v>
      </c>
      <c r="H687" t="s">
        <v>1034</v>
      </c>
      <c r="I687" t="s">
        <v>1035</v>
      </c>
      <c r="J687" t="s">
        <v>36</v>
      </c>
      <c r="K687">
        <v>21014</v>
      </c>
      <c r="L687" t="s">
        <v>1036</v>
      </c>
      <c r="M687" t="s">
        <v>1037</v>
      </c>
      <c r="N687" t="s">
        <v>1037</v>
      </c>
      <c r="O687">
        <v>21000</v>
      </c>
      <c r="P687" t="s">
        <v>46</v>
      </c>
      <c r="Q687" t="s">
        <v>47</v>
      </c>
      <c r="R687" t="s">
        <v>48</v>
      </c>
      <c r="T687" t="s">
        <v>36</v>
      </c>
      <c r="U687" t="s">
        <v>36</v>
      </c>
      <c r="V687" t="s">
        <v>36</v>
      </c>
      <c r="W687">
        <v>4000</v>
      </c>
      <c r="X687" t="s">
        <v>49</v>
      </c>
      <c r="Y687" t="s">
        <v>50</v>
      </c>
      <c r="Z687" t="s">
        <v>51</v>
      </c>
      <c r="AA687" t="s">
        <v>37</v>
      </c>
      <c r="AB687" t="s">
        <v>52</v>
      </c>
      <c r="AC687" t="s">
        <v>53</v>
      </c>
      <c r="AD687" t="s">
        <v>54</v>
      </c>
      <c r="AE687">
        <v>10.028720528599999</v>
      </c>
      <c r="AF687">
        <v>1420</v>
      </c>
      <c r="AG687">
        <v>1420.08115294</v>
      </c>
      <c r="AH687">
        <v>100288.836658</v>
      </c>
      <c r="AI687">
        <v>48</v>
      </c>
      <c r="AJ687">
        <v>32366.152443052601</v>
      </c>
      <c r="AK687" s="1">
        <f>intersection_ss_Lden___surface[[#This Row],[surf m2 bout ss]]/intersection_ss_Lden___surface[[#This Row],[Shape_Area]]</f>
        <v>0.32272936372196681</v>
      </c>
      <c r="AL687">
        <v>573</v>
      </c>
      <c r="AM687">
        <f>intersection_ss_Lden___surface[[#This Row],[Population totale 2024 ss]]*intersection_ss_Lden___surface[[#This Row],[Part de la surface du qs dans le noise contour]]</f>
        <v>184.92392541268697</v>
      </c>
    </row>
    <row r="688" spans="1:39" x14ac:dyDescent="0.3">
      <c r="A688">
        <v>718</v>
      </c>
      <c r="B688" t="s">
        <v>1069</v>
      </c>
      <c r="C688" t="s">
        <v>1070</v>
      </c>
      <c r="D688" t="s">
        <v>1070</v>
      </c>
      <c r="E688" t="s">
        <v>1070</v>
      </c>
      <c r="F688" t="s">
        <v>1071</v>
      </c>
      <c r="G688" t="s">
        <v>1033</v>
      </c>
      <c r="H688" t="s">
        <v>1034</v>
      </c>
      <c r="I688" t="s">
        <v>1035</v>
      </c>
      <c r="J688" t="s">
        <v>36</v>
      </c>
      <c r="K688">
        <v>21014</v>
      </c>
      <c r="L688" t="s">
        <v>1036</v>
      </c>
      <c r="M688" t="s">
        <v>1037</v>
      </c>
      <c r="N688" t="s">
        <v>1037</v>
      </c>
      <c r="O688">
        <v>21000</v>
      </c>
      <c r="P688" t="s">
        <v>46</v>
      </c>
      <c r="Q688" t="s">
        <v>47</v>
      </c>
      <c r="R688" t="s">
        <v>48</v>
      </c>
      <c r="T688" t="s">
        <v>36</v>
      </c>
      <c r="U688" t="s">
        <v>36</v>
      </c>
      <c r="V688" t="s">
        <v>36</v>
      </c>
      <c r="W688">
        <v>4000</v>
      </c>
      <c r="X688" t="s">
        <v>49</v>
      </c>
      <c r="Y688" t="s">
        <v>50</v>
      </c>
      <c r="Z688" t="s">
        <v>51</v>
      </c>
      <c r="AA688" t="s">
        <v>37</v>
      </c>
      <c r="AB688" t="s">
        <v>52</v>
      </c>
      <c r="AC688" t="s">
        <v>53</v>
      </c>
      <c r="AD688" t="s">
        <v>54</v>
      </c>
      <c r="AE688">
        <v>10.028720528599999</v>
      </c>
      <c r="AF688">
        <v>1420</v>
      </c>
      <c r="AG688">
        <v>1420.08115294</v>
      </c>
      <c r="AH688">
        <v>100288.836658</v>
      </c>
      <c r="AI688">
        <v>49</v>
      </c>
      <c r="AJ688">
        <v>67845.7163641894</v>
      </c>
      <c r="AK688" s="1">
        <f>intersection_ss_Lden___surface[[#This Row],[surf m2 bout ss]]/intersection_ss_Lden___surface[[#This Row],[Shape_Area]]</f>
        <v>0.6765031744814578</v>
      </c>
      <c r="AL688">
        <v>573</v>
      </c>
      <c r="AM688">
        <f>intersection_ss_Lden___surface[[#This Row],[Population totale 2024 ss]]*intersection_ss_Lden___surface[[#This Row],[Part de la surface du qs dans le noise contour]]</f>
        <v>387.63631897787531</v>
      </c>
    </row>
    <row r="689" spans="1:39" x14ac:dyDescent="0.3">
      <c r="A689">
        <v>719</v>
      </c>
      <c r="B689" t="s">
        <v>1069</v>
      </c>
      <c r="C689" t="s">
        <v>1070</v>
      </c>
      <c r="D689" t="s">
        <v>1070</v>
      </c>
      <c r="E689" t="s">
        <v>1070</v>
      </c>
      <c r="F689" t="s">
        <v>1071</v>
      </c>
      <c r="G689" t="s">
        <v>1033</v>
      </c>
      <c r="H689" t="s">
        <v>1034</v>
      </c>
      <c r="I689" t="s">
        <v>1035</v>
      </c>
      <c r="J689" t="s">
        <v>36</v>
      </c>
      <c r="K689">
        <v>21014</v>
      </c>
      <c r="L689" t="s">
        <v>1036</v>
      </c>
      <c r="M689" t="s">
        <v>1037</v>
      </c>
      <c r="N689" t="s">
        <v>1037</v>
      </c>
      <c r="O689">
        <v>21000</v>
      </c>
      <c r="P689" t="s">
        <v>46</v>
      </c>
      <c r="Q689" t="s">
        <v>47</v>
      </c>
      <c r="R689" t="s">
        <v>48</v>
      </c>
      <c r="T689" t="s">
        <v>36</v>
      </c>
      <c r="U689" t="s">
        <v>36</v>
      </c>
      <c r="V689" t="s">
        <v>36</v>
      </c>
      <c r="W689">
        <v>4000</v>
      </c>
      <c r="X689" t="s">
        <v>49</v>
      </c>
      <c r="Y689" t="s">
        <v>50</v>
      </c>
      <c r="Z689" t="s">
        <v>51</v>
      </c>
      <c r="AA689" t="s">
        <v>37</v>
      </c>
      <c r="AB689" t="s">
        <v>52</v>
      </c>
      <c r="AC689" t="s">
        <v>53</v>
      </c>
      <c r="AD689" t="s">
        <v>54</v>
      </c>
      <c r="AE689">
        <v>10.028720528599999</v>
      </c>
      <c r="AF689">
        <v>1420</v>
      </c>
      <c r="AG689">
        <v>1420.08115294</v>
      </c>
      <c r="AH689">
        <v>100288.836658</v>
      </c>
      <c r="AI689">
        <v>50</v>
      </c>
      <c r="AJ689">
        <v>86.619194108992801</v>
      </c>
      <c r="AK689" s="1">
        <f>intersection_ss_Lden___surface[[#This Row],[surf m2 bout ss]]/intersection_ss_Lden___surface[[#This Row],[Shape_Area]]</f>
        <v>8.6369726676935408E-4</v>
      </c>
      <c r="AL689">
        <v>573</v>
      </c>
      <c r="AM689">
        <f>intersection_ss_Lden___surface[[#This Row],[Population totale 2024 ss]]*intersection_ss_Lden___surface[[#This Row],[Part de la surface du qs dans le noise contour]]</f>
        <v>0.49489853385883986</v>
      </c>
    </row>
    <row r="690" spans="1:39" x14ac:dyDescent="0.3">
      <c r="A690">
        <v>720</v>
      </c>
      <c r="B690" t="s">
        <v>1072</v>
      </c>
      <c r="C690" t="s">
        <v>1073</v>
      </c>
      <c r="D690" t="s">
        <v>1073</v>
      </c>
      <c r="E690" t="s">
        <v>1073</v>
      </c>
      <c r="F690" t="s">
        <v>1074</v>
      </c>
      <c r="G690" t="s">
        <v>1033</v>
      </c>
      <c r="H690" t="s">
        <v>1034</v>
      </c>
      <c r="I690" t="s">
        <v>1035</v>
      </c>
      <c r="J690" t="s">
        <v>36</v>
      </c>
      <c r="K690">
        <v>21014</v>
      </c>
      <c r="L690" t="s">
        <v>1036</v>
      </c>
      <c r="M690" t="s">
        <v>1037</v>
      </c>
      <c r="N690" t="s">
        <v>1037</v>
      </c>
      <c r="O690">
        <v>21000</v>
      </c>
      <c r="P690" t="s">
        <v>46</v>
      </c>
      <c r="Q690" t="s">
        <v>47</v>
      </c>
      <c r="R690" t="s">
        <v>48</v>
      </c>
      <c r="T690" t="s">
        <v>36</v>
      </c>
      <c r="U690" t="s">
        <v>36</v>
      </c>
      <c r="V690" t="s">
        <v>36</v>
      </c>
      <c r="W690">
        <v>4000</v>
      </c>
      <c r="X690" t="s">
        <v>49</v>
      </c>
      <c r="Y690" t="s">
        <v>50</v>
      </c>
      <c r="Z690" t="s">
        <v>51</v>
      </c>
      <c r="AA690" t="s">
        <v>37</v>
      </c>
      <c r="AB690" t="s">
        <v>52</v>
      </c>
      <c r="AC690" t="s">
        <v>53</v>
      </c>
      <c r="AD690" t="s">
        <v>54</v>
      </c>
      <c r="AE690">
        <v>11.5907129298</v>
      </c>
      <c r="AF690">
        <v>1445</v>
      </c>
      <c r="AG690">
        <v>1445.2543786599999</v>
      </c>
      <c r="AH690">
        <v>115908.993426</v>
      </c>
      <c r="AI690">
        <v>46</v>
      </c>
      <c r="AJ690">
        <v>91513.508245033401</v>
      </c>
      <c r="AK690" s="1">
        <f>intersection_ss_Lden___surface[[#This Row],[surf m2 bout ss]]/intersection_ss_Lden___surface[[#This Row],[Shape_Area]]</f>
        <v>0.78952897044575354</v>
      </c>
      <c r="AL690">
        <v>3860</v>
      </c>
      <c r="AM690">
        <f>intersection_ss_Lden___surface[[#This Row],[Population totale 2024 ss]]*intersection_ss_Lden___surface[[#This Row],[Part de la surface du qs dans le noise contour]]</f>
        <v>3047.5818259206085</v>
      </c>
    </row>
    <row r="691" spans="1:39" x14ac:dyDescent="0.3">
      <c r="A691">
        <v>721</v>
      </c>
      <c r="B691" t="s">
        <v>1072</v>
      </c>
      <c r="C691" t="s">
        <v>1073</v>
      </c>
      <c r="D691" t="s">
        <v>1073</v>
      </c>
      <c r="E691" t="s">
        <v>1073</v>
      </c>
      <c r="F691" t="s">
        <v>1074</v>
      </c>
      <c r="G691" t="s">
        <v>1033</v>
      </c>
      <c r="H691" t="s">
        <v>1034</v>
      </c>
      <c r="I691" t="s">
        <v>1035</v>
      </c>
      <c r="J691" t="s">
        <v>36</v>
      </c>
      <c r="K691">
        <v>21014</v>
      </c>
      <c r="L691" t="s">
        <v>1036</v>
      </c>
      <c r="M691" t="s">
        <v>1037</v>
      </c>
      <c r="N691" t="s">
        <v>1037</v>
      </c>
      <c r="O691">
        <v>21000</v>
      </c>
      <c r="P691" t="s">
        <v>46</v>
      </c>
      <c r="Q691" t="s">
        <v>47</v>
      </c>
      <c r="R691" t="s">
        <v>48</v>
      </c>
      <c r="T691" t="s">
        <v>36</v>
      </c>
      <c r="U691" t="s">
        <v>36</v>
      </c>
      <c r="V691" t="s">
        <v>36</v>
      </c>
      <c r="W691">
        <v>4000</v>
      </c>
      <c r="X691" t="s">
        <v>49</v>
      </c>
      <c r="Y691" t="s">
        <v>50</v>
      </c>
      <c r="Z691" t="s">
        <v>51</v>
      </c>
      <c r="AA691" t="s">
        <v>37</v>
      </c>
      <c r="AB691" t="s">
        <v>52</v>
      </c>
      <c r="AC691" t="s">
        <v>53</v>
      </c>
      <c r="AD691" t="s">
        <v>54</v>
      </c>
      <c r="AE691">
        <v>11.5907129298</v>
      </c>
      <c r="AF691">
        <v>1445</v>
      </c>
      <c r="AG691">
        <v>1445.2543786599999</v>
      </c>
      <c r="AH691">
        <v>115908.993426</v>
      </c>
      <c r="AI691">
        <v>47</v>
      </c>
      <c r="AJ691">
        <v>24406.725941445198</v>
      </c>
      <c r="AK691" s="1">
        <f>intersection_ss_Lden___surface[[#This Row],[surf m2 bout ss]]/intersection_ss_Lden___surface[[#This Row],[Shape_Area]]</f>
        <v>0.21056800874582032</v>
      </c>
      <c r="AL691">
        <v>3860</v>
      </c>
      <c r="AM691">
        <f>intersection_ss_Lden___surface[[#This Row],[Population totale 2024 ss]]*intersection_ss_Lden___surface[[#This Row],[Part de la surface du qs dans le noise contour]]</f>
        <v>812.79251375886645</v>
      </c>
    </row>
    <row r="692" spans="1:39" x14ac:dyDescent="0.3">
      <c r="A692">
        <v>722</v>
      </c>
      <c r="B692" t="s">
        <v>1075</v>
      </c>
      <c r="C692" t="s">
        <v>1076</v>
      </c>
      <c r="D692" t="s">
        <v>1077</v>
      </c>
      <c r="E692" t="s">
        <v>1077</v>
      </c>
      <c r="F692" t="s">
        <v>1078</v>
      </c>
      <c r="G692" t="s">
        <v>1079</v>
      </c>
      <c r="H692" t="s">
        <v>1080</v>
      </c>
      <c r="I692" t="s">
        <v>1081</v>
      </c>
      <c r="J692" t="s">
        <v>36</v>
      </c>
      <c r="K692">
        <v>21015</v>
      </c>
      <c r="L692" t="s">
        <v>1082</v>
      </c>
      <c r="M692" t="s">
        <v>1083</v>
      </c>
      <c r="N692" t="s">
        <v>1083</v>
      </c>
      <c r="O692">
        <v>21000</v>
      </c>
      <c r="P692" t="s">
        <v>46</v>
      </c>
      <c r="Q692" t="s">
        <v>47</v>
      </c>
      <c r="R692" t="s">
        <v>48</v>
      </c>
      <c r="T692" t="s">
        <v>36</v>
      </c>
      <c r="U692" t="s">
        <v>36</v>
      </c>
      <c r="V692" t="s">
        <v>36</v>
      </c>
      <c r="W692">
        <v>4000</v>
      </c>
      <c r="X692" t="s">
        <v>49</v>
      </c>
      <c r="Y692" t="s">
        <v>50</v>
      </c>
      <c r="Z692" t="s">
        <v>51</v>
      </c>
      <c r="AA692" t="s">
        <v>37</v>
      </c>
      <c r="AB692" t="s">
        <v>52</v>
      </c>
      <c r="AC692" t="s">
        <v>53</v>
      </c>
      <c r="AD692" t="s">
        <v>54</v>
      </c>
      <c r="AE692">
        <v>26.460813816000002</v>
      </c>
      <c r="AF692">
        <v>2106</v>
      </c>
      <c r="AG692">
        <v>2106.4361822999999</v>
      </c>
      <c r="AH692">
        <v>264612.38041500002</v>
      </c>
      <c r="AI692">
        <v>50</v>
      </c>
      <c r="AJ692">
        <v>68224.399171518104</v>
      </c>
      <c r="AK692" s="1">
        <f>intersection_ss_Lden___surface[[#This Row],[surf m2 bout ss]]/intersection_ss_Lden___surface[[#This Row],[Shape_Area]]</f>
        <v>0.25782769145011131</v>
      </c>
      <c r="AL692">
        <v>7032</v>
      </c>
      <c r="AM692">
        <f>intersection_ss_Lden___surface[[#This Row],[Population totale 2024 ss]]*intersection_ss_Lden___surface[[#This Row],[Part de la surface du qs dans le noise contour]]</f>
        <v>1813.0443262771828</v>
      </c>
    </row>
    <row r="693" spans="1:39" x14ac:dyDescent="0.3">
      <c r="A693">
        <v>723</v>
      </c>
      <c r="B693" t="s">
        <v>1075</v>
      </c>
      <c r="C693" t="s">
        <v>1076</v>
      </c>
      <c r="D693" t="s">
        <v>1077</v>
      </c>
      <c r="E693" t="s">
        <v>1077</v>
      </c>
      <c r="F693" t="s">
        <v>1078</v>
      </c>
      <c r="G693" t="s">
        <v>1079</v>
      </c>
      <c r="H693" t="s">
        <v>1080</v>
      </c>
      <c r="I693" t="s">
        <v>1081</v>
      </c>
      <c r="J693" t="s">
        <v>36</v>
      </c>
      <c r="K693">
        <v>21015</v>
      </c>
      <c r="L693" t="s">
        <v>1082</v>
      </c>
      <c r="M693" t="s">
        <v>1083</v>
      </c>
      <c r="N693" t="s">
        <v>1083</v>
      </c>
      <c r="O693">
        <v>21000</v>
      </c>
      <c r="P693" t="s">
        <v>46</v>
      </c>
      <c r="Q693" t="s">
        <v>47</v>
      </c>
      <c r="R693" t="s">
        <v>48</v>
      </c>
      <c r="T693" t="s">
        <v>36</v>
      </c>
      <c r="U693" t="s">
        <v>36</v>
      </c>
      <c r="V693" t="s">
        <v>36</v>
      </c>
      <c r="W693">
        <v>4000</v>
      </c>
      <c r="X693" t="s">
        <v>49</v>
      </c>
      <c r="Y693" t="s">
        <v>50</v>
      </c>
      <c r="Z693" t="s">
        <v>51</v>
      </c>
      <c r="AA693" t="s">
        <v>37</v>
      </c>
      <c r="AB693" t="s">
        <v>52</v>
      </c>
      <c r="AC693" t="s">
        <v>53</v>
      </c>
      <c r="AD693" t="s">
        <v>54</v>
      </c>
      <c r="AE693">
        <v>26.460813816000002</v>
      </c>
      <c r="AF693">
        <v>2106</v>
      </c>
      <c r="AG693">
        <v>2106.4361822999999</v>
      </c>
      <c r="AH693">
        <v>264612.38041500002</v>
      </c>
      <c r="AI693">
        <v>51</v>
      </c>
      <c r="AJ693">
        <v>196412.83943386099</v>
      </c>
      <c r="AK693" s="1">
        <f>intersection_ss_Lden___surface[[#This Row],[surf m2 bout ss]]/intersection_ss_Lden___surface[[#This Row],[Shape_Area]]</f>
        <v>0.74226625045215378</v>
      </c>
      <c r="AL693">
        <v>7032</v>
      </c>
      <c r="AM693">
        <f>intersection_ss_Lden___surface[[#This Row],[Population totale 2024 ss]]*intersection_ss_Lden___surface[[#This Row],[Part de la surface du qs dans le noise contour]]</f>
        <v>5219.6162731795457</v>
      </c>
    </row>
    <row r="694" spans="1:39" x14ac:dyDescent="0.3">
      <c r="A694">
        <v>724</v>
      </c>
      <c r="B694" t="s">
        <v>1084</v>
      </c>
      <c r="C694" t="s">
        <v>1085</v>
      </c>
      <c r="D694" t="s">
        <v>1086</v>
      </c>
      <c r="E694" t="s">
        <v>1086</v>
      </c>
      <c r="F694" t="s">
        <v>1078</v>
      </c>
      <c r="G694" t="s">
        <v>1079</v>
      </c>
      <c r="H694" t="s">
        <v>1080</v>
      </c>
      <c r="I694" t="s">
        <v>1081</v>
      </c>
      <c r="J694" t="s">
        <v>36</v>
      </c>
      <c r="K694">
        <v>21015</v>
      </c>
      <c r="L694" t="s">
        <v>1082</v>
      </c>
      <c r="M694" t="s">
        <v>1083</v>
      </c>
      <c r="N694" t="s">
        <v>1083</v>
      </c>
      <c r="O694">
        <v>21000</v>
      </c>
      <c r="P694" t="s">
        <v>46</v>
      </c>
      <c r="Q694" t="s">
        <v>47</v>
      </c>
      <c r="R694" t="s">
        <v>48</v>
      </c>
      <c r="T694" t="s">
        <v>36</v>
      </c>
      <c r="U694" t="s">
        <v>36</v>
      </c>
      <c r="V694" t="s">
        <v>36</v>
      </c>
      <c r="W694">
        <v>4000</v>
      </c>
      <c r="X694" t="s">
        <v>49</v>
      </c>
      <c r="Y694" t="s">
        <v>50</v>
      </c>
      <c r="Z694" t="s">
        <v>51</v>
      </c>
      <c r="AA694" t="s">
        <v>37</v>
      </c>
      <c r="AB694" t="s">
        <v>52</v>
      </c>
      <c r="AC694" t="s">
        <v>53</v>
      </c>
      <c r="AD694" t="s">
        <v>54</v>
      </c>
      <c r="AE694">
        <v>8.7720804652800002</v>
      </c>
      <c r="AF694">
        <v>1865</v>
      </c>
      <c r="AG694">
        <v>1865.1975137300001</v>
      </c>
      <c r="AH694">
        <v>87722.235729799999</v>
      </c>
      <c r="AI694">
        <v>50</v>
      </c>
      <c r="AJ694">
        <v>2048.2934087179601</v>
      </c>
      <c r="AK694" s="1">
        <f>intersection_ss_Lden___surface[[#This Row],[surf m2 bout ss]]/intersection_ss_Lden___surface[[#This Row],[Shape_Area]]</f>
        <v>2.3349762938407841E-2</v>
      </c>
      <c r="AL694">
        <v>1168</v>
      </c>
      <c r="AM694">
        <f>intersection_ss_Lden___surface[[#This Row],[Population totale 2024 ss]]*intersection_ss_Lden___surface[[#This Row],[Part de la surface du qs dans le noise contour]]</f>
        <v>27.272523112060359</v>
      </c>
    </row>
    <row r="695" spans="1:39" x14ac:dyDescent="0.3">
      <c r="A695">
        <v>725</v>
      </c>
      <c r="B695" t="s">
        <v>1084</v>
      </c>
      <c r="C695" t="s">
        <v>1085</v>
      </c>
      <c r="D695" t="s">
        <v>1086</v>
      </c>
      <c r="E695" t="s">
        <v>1086</v>
      </c>
      <c r="F695" t="s">
        <v>1078</v>
      </c>
      <c r="G695" t="s">
        <v>1079</v>
      </c>
      <c r="H695" t="s">
        <v>1080</v>
      </c>
      <c r="I695" t="s">
        <v>1081</v>
      </c>
      <c r="J695" t="s">
        <v>36</v>
      </c>
      <c r="K695">
        <v>21015</v>
      </c>
      <c r="L695" t="s">
        <v>1082</v>
      </c>
      <c r="M695" t="s">
        <v>1083</v>
      </c>
      <c r="N695" t="s">
        <v>1083</v>
      </c>
      <c r="O695">
        <v>21000</v>
      </c>
      <c r="P695" t="s">
        <v>46</v>
      </c>
      <c r="Q695" t="s">
        <v>47</v>
      </c>
      <c r="R695" t="s">
        <v>48</v>
      </c>
      <c r="T695" t="s">
        <v>36</v>
      </c>
      <c r="U695" t="s">
        <v>36</v>
      </c>
      <c r="V695" t="s">
        <v>36</v>
      </c>
      <c r="W695">
        <v>4000</v>
      </c>
      <c r="X695" t="s">
        <v>49</v>
      </c>
      <c r="Y695" t="s">
        <v>50</v>
      </c>
      <c r="Z695" t="s">
        <v>51</v>
      </c>
      <c r="AA695" t="s">
        <v>37</v>
      </c>
      <c r="AB695" t="s">
        <v>52</v>
      </c>
      <c r="AC695" t="s">
        <v>53</v>
      </c>
      <c r="AD695" t="s">
        <v>54</v>
      </c>
      <c r="AE695">
        <v>8.7720804652800002</v>
      </c>
      <c r="AF695">
        <v>1865</v>
      </c>
      <c r="AG695">
        <v>1865.1975137300001</v>
      </c>
      <c r="AH695">
        <v>87722.235729799999</v>
      </c>
      <c r="AI695">
        <v>51</v>
      </c>
      <c r="AJ695">
        <v>85682.184640592299</v>
      </c>
      <c r="AK695" s="1">
        <f>intersection_ss_Lden___surface[[#This Row],[surf m2 bout ss]]/intersection_ss_Lden___surface[[#This Row],[Shape_Area]]</f>
        <v>0.97674419635756415</v>
      </c>
      <c r="AL695">
        <v>1168</v>
      </c>
      <c r="AM695">
        <f>intersection_ss_Lden___surface[[#This Row],[Population totale 2024 ss]]*intersection_ss_Lden___surface[[#This Row],[Part de la surface du qs dans le noise contour]]</f>
        <v>1140.837221345635</v>
      </c>
    </row>
    <row r="696" spans="1:39" x14ac:dyDescent="0.3">
      <c r="A696">
        <v>726</v>
      </c>
      <c r="B696" t="s">
        <v>1087</v>
      </c>
      <c r="C696" t="s">
        <v>1088</v>
      </c>
      <c r="D696" t="s">
        <v>1089</v>
      </c>
      <c r="E696" t="s">
        <v>1089</v>
      </c>
      <c r="F696" t="s">
        <v>1078</v>
      </c>
      <c r="G696" t="s">
        <v>1079</v>
      </c>
      <c r="H696" t="s">
        <v>1080</v>
      </c>
      <c r="I696" t="s">
        <v>1081</v>
      </c>
      <c r="J696" t="s">
        <v>36</v>
      </c>
      <c r="K696">
        <v>21015</v>
      </c>
      <c r="L696" t="s">
        <v>1082</v>
      </c>
      <c r="M696" t="s">
        <v>1083</v>
      </c>
      <c r="N696" t="s">
        <v>1083</v>
      </c>
      <c r="O696">
        <v>21000</v>
      </c>
      <c r="P696" t="s">
        <v>46</v>
      </c>
      <c r="Q696" t="s">
        <v>47</v>
      </c>
      <c r="R696" t="s">
        <v>48</v>
      </c>
      <c r="T696" t="s">
        <v>36</v>
      </c>
      <c r="U696" t="s">
        <v>36</v>
      </c>
      <c r="V696" t="s">
        <v>36</v>
      </c>
      <c r="W696">
        <v>4000</v>
      </c>
      <c r="X696" t="s">
        <v>49</v>
      </c>
      <c r="Y696" t="s">
        <v>50</v>
      </c>
      <c r="Z696" t="s">
        <v>51</v>
      </c>
      <c r="AA696" t="s">
        <v>37</v>
      </c>
      <c r="AB696" t="s">
        <v>52</v>
      </c>
      <c r="AC696" t="s">
        <v>53</v>
      </c>
      <c r="AD696" t="s">
        <v>54</v>
      </c>
      <c r="AE696">
        <v>9.2182950872999996</v>
      </c>
      <c r="AF696">
        <v>1220</v>
      </c>
      <c r="AG696">
        <v>1219.7451643500001</v>
      </c>
      <c r="AH696">
        <v>92184.435527199996</v>
      </c>
      <c r="AI696">
        <v>50</v>
      </c>
      <c r="AJ696">
        <v>83627.141339475304</v>
      </c>
      <c r="AK696" s="1">
        <f>intersection_ss_Lden___surface[[#This Row],[surf m2 bout ss]]/intersection_ss_Lden___surface[[#This Row],[Shape_Area]]</f>
        <v>0.90717202813266917</v>
      </c>
      <c r="AL696">
        <v>3275</v>
      </c>
      <c r="AM696">
        <f>intersection_ss_Lden___surface[[#This Row],[Population totale 2024 ss]]*intersection_ss_Lden___surface[[#This Row],[Part de la surface du qs dans le noise contour]]</f>
        <v>2970.9883921344917</v>
      </c>
    </row>
    <row r="697" spans="1:39" x14ac:dyDescent="0.3">
      <c r="A697">
        <v>727</v>
      </c>
      <c r="B697" t="s">
        <v>1087</v>
      </c>
      <c r="C697" t="s">
        <v>1088</v>
      </c>
      <c r="D697" t="s">
        <v>1089</v>
      </c>
      <c r="E697" t="s">
        <v>1089</v>
      </c>
      <c r="F697" t="s">
        <v>1078</v>
      </c>
      <c r="G697" t="s">
        <v>1079</v>
      </c>
      <c r="H697" t="s">
        <v>1080</v>
      </c>
      <c r="I697" t="s">
        <v>1081</v>
      </c>
      <c r="J697" t="s">
        <v>36</v>
      </c>
      <c r="K697">
        <v>21015</v>
      </c>
      <c r="L697" t="s">
        <v>1082</v>
      </c>
      <c r="M697" t="s">
        <v>1083</v>
      </c>
      <c r="N697" t="s">
        <v>1083</v>
      </c>
      <c r="O697">
        <v>21000</v>
      </c>
      <c r="P697" t="s">
        <v>46</v>
      </c>
      <c r="Q697" t="s">
        <v>47</v>
      </c>
      <c r="R697" t="s">
        <v>48</v>
      </c>
      <c r="T697" t="s">
        <v>36</v>
      </c>
      <c r="U697" t="s">
        <v>36</v>
      </c>
      <c r="V697" t="s">
        <v>36</v>
      </c>
      <c r="W697">
        <v>4000</v>
      </c>
      <c r="X697" t="s">
        <v>49</v>
      </c>
      <c r="Y697" t="s">
        <v>50</v>
      </c>
      <c r="Z697" t="s">
        <v>51</v>
      </c>
      <c r="AA697" t="s">
        <v>37</v>
      </c>
      <c r="AB697" t="s">
        <v>52</v>
      </c>
      <c r="AC697" t="s">
        <v>53</v>
      </c>
      <c r="AD697" t="s">
        <v>54</v>
      </c>
      <c r="AE697">
        <v>9.2182950872999996</v>
      </c>
      <c r="AF697">
        <v>1220</v>
      </c>
      <c r="AG697">
        <v>1219.7451643500001</v>
      </c>
      <c r="AH697">
        <v>92184.435527199996</v>
      </c>
      <c r="AI697">
        <v>51</v>
      </c>
      <c r="AJ697">
        <v>8566.0228225388601</v>
      </c>
      <c r="AK697" s="1">
        <f>intersection_ss_Lden___surface[[#This Row],[surf m2 bout ss]]/intersection_ss_Lden___surface[[#This Row],[Shape_Area]]</f>
        <v>9.2922658511168779E-2</v>
      </c>
      <c r="AL697">
        <v>3275</v>
      </c>
      <c r="AM697">
        <f>intersection_ss_Lden___surface[[#This Row],[Population totale 2024 ss]]*intersection_ss_Lden___surface[[#This Row],[Part de la surface du qs dans le noise contour]]</f>
        <v>304.32170662407776</v>
      </c>
    </row>
    <row r="698" spans="1:39" x14ac:dyDescent="0.3">
      <c r="A698">
        <v>728</v>
      </c>
      <c r="B698" t="s">
        <v>1090</v>
      </c>
      <c r="C698" t="s">
        <v>1091</v>
      </c>
      <c r="D698" t="s">
        <v>1092</v>
      </c>
      <c r="E698" t="s">
        <v>1092</v>
      </c>
      <c r="F698" t="s">
        <v>1078</v>
      </c>
      <c r="G698" t="s">
        <v>1079</v>
      </c>
      <c r="H698" t="s">
        <v>1080</v>
      </c>
      <c r="I698" t="s">
        <v>1081</v>
      </c>
      <c r="J698" t="s">
        <v>36</v>
      </c>
      <c r="K698">
        <v>21015</v>
      </c>
      <c r="L698" t="s">
        <v>1082</v>
      </c>
      <c r="M698" t="s">
        <v>1083</v>
      </c>
      <c r="N698" t="s">
        <v>1083</v>
      </c>
      <c r="O698">
        <v>21000</v>
      </c>
      <c r="P698" t="s">
        <v>46</v>
      </c>
      <c r="Q698" t="s">
        <v>47</v>
      </c>
      <c r="R698" t="s">
        <v>48</v>
      </c>
      <c r="T698" t="s">
        <v>36</v>
      </c>
      <c r="U698" t="s">
        <v>36</v>
      </c>
      <c r="V698" t="s">
        <v>36</v>
      </c>
      <c r="W698">
        <v>4000</v>
      </c>
      <c r="X698" t="s">
        <v>49</v>
      </c>
      <c r="Y698" t="s">
        <v>50</v>
      </c>
      <c r="Z698" t="s">
        <v>51</v>
      </c>
      <c r="AA698" t="s">
        <v>37</v>
      </c>
      <c r="AB698" t="s">
        <v>52</v>
      </c>
      <c r="AC698" t="s">
        <v>53</v>
      </c>
      <c r="AD698" t="s">
        <v>54</v>
      </c>
      <c r="AE698">
        <v>19.4850049713</v>
      </c>
      <c r="AF698">
        <v>1790</v>
      </c>
      <c r="AG698">
        <v>1789.74540716</v>
      </c>
      <c r="AH698">
        <v>194853.18523199999</v>
      </c>
      <c r="AI698">
        <v>48</v>
      </c>
      <c r="AJ698">
        <v>22466.4692483693</v>
      </c>
      <c r="AK698" s="1">
        <f>intersection_ss_Lden___surface[[#This Row],[surf m2 bout ss]]/intersection_ss_Lden___surface[[#This Row],[Shape_Area]]</f>
        <v>0.11529947135131419</v>
      </c>
      <c r="AL698">
        <v>5282</v>
      </c>
      <c r="AM698">
        <f>intersection_ss_Lden___surface[[#This Row],[Population totale 2024 ss]]*intersection_ss_Lden___surface[[#This Row],[Part de la surface du qs dans le noise contour]]</f>
        <v>609.01180767764151</v>
      </c>
    </row>
    <row r="699" spans="1:39" x14ac:dyDescent="0.3">
      <c r="A699">
        <v>729</v>
      </c>
      <c r="B699" t="s">
        <v>1090</v>
      </c>
      <c r="C699" t="s">
        <v>1091</v>
      </c>
      <c r="D699" t="s">
        <v>1092</v>
      </c>
      <c r="E699" t="s">
        <v>1092</v>
      </c>
      <c r="F699" t="s">
        <v>1078</v>
      </c>
      <c r="G699" t="s">
        <v>1079</v>
      </c>
      <c r="H699" t="s">
        <v>1080</v>
      </c>
      <c r="I699" t="s">
        <v>1081</v>
      </c>
      <c r="J699" t="s">
        <v>36</v>
      </c>
      <c r="K699">
        <v>21015</v>
      </c>
      <c r="L699" t="s">
        <v>1082</v>
      </c>
      <c r="M699" t="s">
        <v>1083</v>
      </c>
      <c r="N699" t="s">
        <v>1083</v>
      </c>
      <c r="O699">
        <v>21000</v>
      </c>
      <c r="P699" t="s">
        <v>46</v>
      </c>
      <c r="Q699" t="s">
        <v>47</v>
      </c>
      <c r="R699" t="s">
        <v>48</v>
      </c>
      <c r="T699" t="s">
        <v>36</v>
      </c>
      <c r="U699" t="s">
        <v>36</v>
      </c>
      <c r="V699" t="s">
        <v>36</v>
      </c>
      <c r="W699">
        <v>4000</v>
      </c>
      <c r="X699" t="s">
        <v>49</v>
      </c>
      <c r="Y699" t="s">
        <v>50</v>
      </c>
      <c r="Z699" t="s">
        <v>51</v>
      </c>
      <c r="AA699" t="s">
        <v>37</v>
      </c>
      <c r="AB699" t="s">
        <v>52</v>
      </c>
      <c r="AC699" t="s">
        <v>53</v>
      </c>
      <c r="AD699" t="s">
        <v>54</v>
      </c>
      <c r="AE699">
        <v>19.4850049713</v>
      </c>
      <c r="AF699">
        <v>1790</v>
      </c>
      <c r="AG699">
        <v>1789.74540716</v>
      </c>
      <c r="AH699">
        <v>194853.18523199999</v>
      </c>
      <c r="AI699">
        <v>49</v>
      </c>
      <c r="AJ699">
        <v>121619.902485354</v>
      </c>
      <c r="AK699" s="1">
        <f>intersection_ss_Lden___surface[[#This Row],[surf m2 bout ss]]/intersection_ss_Lden___surface[[#This Row],[Shape_Area]]</f>
        <v>0.62416173664571351</v>
      </c>
      <c r="AL699">
        <v>5282</v>
      </c>
      <c r="AM699">
        <f>intersection_ss_Lden___surface[[#This Row],[Population totale 2024 ss]]*intersection_ss_Lden___surface[[#This Row],[Part de la surface du qs dans le noise contour]]</f>
        <v>3296.8222929626586</v>
      </c>
    </row>
    <row r="700" spans="1:39" x14ac:dyDescent="0.3">
      <c r="A700">
        <v>730</v>
      </c>
      <c r="B700" t="s">
        <v>1090</v>
      </c>
      <c r="C700" t="s">
        <v>1091</v>
      </c>
      <c r="D700" t="s">
        <v>1092</v>
      </c>
      <c r="E700" t="s">
        <v>1092</v>
      </c>
      <c r="F700" t="s">
        <v>1078</v>
      </c>
      <c r="G700" t="s">
        <v>1079</v>
      </c>
      <c r="H700" t="s">
        <v>1080</v>
      </c>
      <c r="I700" t="s">
        <v>1081</v>
      </c>
      <c r="J700" t="s">
        <v>36</v>
      </c>
      <c r="K700">
        <v>21015</v>
      </c>
      <c r="L700" t="s">
        <v>1082</v>
      </c>
      <c r="M700" t="s">
        <v>1083</v>
      </c>
      <c r="N700" t="s">
        <v>1083</v>
      </c>
      <c r="O700">
        <v>21000</v>
      </c>
      <c r="P700" t="s">
        <v>46</v>
      </c>
      <c r="Q700" t="s">
        <v>47</v>
      </c>
      <c r="R700" t="s">
        <v>48</v>
      </c>
      <c r="T700" t="s">
        <v>36</v>
      </c>
      <c r="U700" t="s">
        <v>36</v>
      </c>
      <c r="V700" t="s">
        <v>36</v>
      </c>
      <c r="W700">
        <v>4000</v>
      </c>
      <c r="X700" t="s">
        <v>49</v>
      </c>
      <c r="Y700" t="s">
        <v>50</v>
      </c>
      <c r="Z700" t="s">
        <v>51</v>
      </c>
      <c r="AA700" t="s">
        <v>37</v>
      </c>
      <c r="AB700" t="s">
        <v>52</v>
      </c>
      <c r="AC700" t="s">
        <v>53</v>
      </c>
      <c r="AD700" t="s">
        <v>54</v>
      </c>
      <c r="AE700">
        <v>19.4850049713</v>
      </c>
      <c r="AF700">
        <v>1790</v>
      </c>
      <c r="AG700">
        <v>1789.74540716</v>
      </c>
      <c r="AH700">
        <v>194853.18523199999</v>
      </c>
      <c r="AI700">
        <v>50</v>
      </c>
      <c r="AJ700">
        <v>50785.393965119503</v>
      </c>
      <c r="AK700" s="1">
        <f>intersection_ss_Lden___surface[[#This Row],[surf m2 bout ss]]/intersection_ss_Lden___surface[[#This Row],[Shape_Area]]</f>
        <v>0.2606341482416743</v>
      </c>
      <c r="AL700">
        <v>5282</v>
      </c>
      <c r="AM700">
        <f>intersection_ss_Lden___surface[[#This Row],[Population totale 2024 ss]]*intersection_ss_Lden___surface[[#This Row],[Part de la surface du qs dans le noise contour]]</f>
        <v>1376.6695710125236</v>
      </c>
    </row>
    <row r="701" spans="1:39" x14ac:dyDescent="0.3">
      <c r="A701">
        <v>731</v>
      </c>
      <c r="B701" t="s">
        <v>1093</v>
      </c>
      <c r="C701" t="s">
        <v>1094</v>
      </c>
      <c r="D701" t="s">
        <v>1095</v>
      </c>
      <c r="E701" t="s">
        <v>1095</v>
      </c>
      <c r="F701" t="s">
        <v>1078</v>
      </c>
      <c r="G701" t="s">
        <v>1079</v>
      </c>
      <c r="H701" t="s">
        <v>1080</v>
      </c>
      <c r="I701" t="s">
        <v>1081</v>
      </c>
      <c r="J701" t="s">
        <v>36</v>
      </c>
      <c r="K701">
        <v>21015</v>
      </c>
      <c r="L701" t="s">
        <v>1082</v>
      </c>
      <c r="M701" t="s">
        <v>1083</v>
      </c>
      <c r="N701" t="s">
        <v>1083</v>
      </c>
      <c r="O701">
        <v>21000</v>
      </c>
      <c r="P701" t="s">
        <v>46</v>
      </c>
      <c r="Q701" t="s">
        <v>47</v>
      </c>
      <c r="R701" t="s">
        <v>48</v>
      </c>
      <c r="T701" t="s">
        <v>36</v>
      </c>
      <c r="U701" t="s">
        <v>36</v>
      </c>
      <c r="V701" t="s">
        <v>36</v>
      </c>
      <c r="W701">
        <v>4000</v>
      </c>
      <c r="X701" t="s">
        <v>49</v>
      </c>
      <c r="Y701" t="s">
        <v>50</v>
      </c>
      <c r="Z701" t="s">
        <v>51</v>
      </c>
      <c r="AA701" t="s">
        <v>37</v>
      </c>
      <c r="AB701" t="s">
        <v>52</v>
      </c>
      <c r="AC701" t="s">
        <v>53</v>
      </c>
      <c r="AD701" t="s">
        <v>54</v>
      </c>
      <c r="AE701">
        <v>17.293220808600001</v>
      </c>
      <c r="AF701">
        <v>1701</v>
      </c>
      <c r="AG701">
        <v>1700.9978672499999</v>
      </c>
      <c r="AH701">
        <v>172934.98832</v>
      </c>
      <c r="AI701">
        <v>47</v>
      </c>
      <c r="AJ701">
        <v>65109.079492966201</v>
      </c>
      <c r="AK701" s="1">
        <f>intersection_ss_Lden___surface[[#This Row],[surf m2 bout ss]]/intersection_ss_Lden___surface[[#This Row],[Shape_Area]]</f>
        <v>0.37649454355927064</v>
      </c>
      <c r="AL701">
        <v>4710</v>
      </c>
      <c r="AM701">
        <f>intersection_ss_Lden___surface[[#This Row],[Population totale 2024 ss]]*intersection_ss_Lden___surface[[#This Row],[Part de la surface du qs dans le noise contour]]</f>
        <v>1773.2893001641648</v>
      </c>
    </row>
    <row r="702" spans="1:39" x14ac:dyDescent="0.3">
      <c r="A702">
        <v>732</v>
      </c>
      <c r="B702" t="s">
        <v>1093</v>
      </c>
      <c r="C702" t="s">
        <v>1094</v>
      </c>
      <c r="D702" t="s">
        <v>1095</v>
      </c>
      <c r="E702" t="s">
        <v>1095</v>
      </c>
      <c r="F702" t="s">
        <v>1078</v>
      </c>
      <c r="G702" t="s">
        <v>1079</v>
      </c>
      <c r="H702" t="s">
        <v>1080</v>
      </c>
      <c r="I702" t="s">
        <v>1081</v>
      </c>
      <c r="J702" t="s">
        <v>36</v>
      </c>
      <c r="K702">
        <v>21015</v>
      </c>
      <c r="L702" t="s">
        <v>1082</v>
      </c>
      <c r="M702" t="s">
        <v>1083</v>
      </c>
      <c r="N702" t="s">
        <v>1083</v>
      </c>
      <c r="O702">
        <v>21000</v>
      </c>
      <c r="P702" t="s">
        <v>46</v>
      </c>
      <c r="Q702" t="s">
        <v>47</v>
      </c>
      <c r="R702" t="s">
        <v>48</v>
      </c>
      <c r="T702" t="s">
        <v>36</v>
      </c>
      <c r="U702" t="s">
        <v>36</v>
      </c>
      <c r="V702" t="s">
        <v>36</v>
      </c>
      <c r="W702">
        <v>4000</v>
      </c>
      <c r="X702" t="s">
        <v>49</v>
      </c>
      <c r="Y702" t="s">
        <v>50</v>
      </c>
      <c r="Z702" t="s">
        <v>51</v>
      </c>
      <c r="AA702" t="s">
        <v>37</v>
      </c>
      <c r="AB702" t="s">
        <v>52</v>
      </c>
      <c r="AC702" t="s">
        <v>53</v>
      </c>
      <c r="AD702" t="s">
        <v>54</v>
      </c>
      <c r="AE702">
        <v>17.293220808600001</v>
      </c>
      <c r="AF702">
        <v>1701</v>
      </c>
      <c r="AG702">
        <v>1700.9978672499999</v>
      </c>
      <c r="AH702">
        <v>172934.98832</v>
      </c>
      <c r="AI702">
        <v>48</v>
      </c>
      <c r="AJ702">
        <v>102905.840432975</v>
      </c>
      <c r="AK702" s="1">
        <f>intersection_ss_Lden___surface[[#This Row],[surf m2 bout ss]]/intersection_ss_Lden___surface[[#This Row],[Shape_Area]]</f>
        <v>0.59505506336610947</v>
      </c>
      <c r="AL702">
        <v>4710</v>
      </c>
      <c r="AM702">
        <f>intersection_ss_Lden___surface[[#This Row],[Population totale 2024 ss]]*intersection_ss_Lden___surface[[#This Row],[Part de la surface du qs dans le noise contour]]</f>
        <v>2802.7093484543757</v>
      </c>
    </row>
    <row r="703" spans="1:39" x14ac:dyDescent="0.3">
      <c r="A703">
        <v>733</v>
      </c>
      <c r="B703" t="s">
        <v>1093</v>
      </c>
      <c r="C703" t="s">
        <v>1094</v>
      </c>
      <c r="D703" t="s">
        <v>1095</v>
      </c>
      <c r="E703" t="s">
        <v>1095</v>
      </c>
      <c r="F703" t="s">
        <v>1078</v>
      </c>
      <c r="G703" t="s">
        <v>1079</v>
      </c>
      <c r="H703" t="s">
        <v>1080</v>
      </c>
      <c r="I703" t="s">
        <v>1081</v>
      </c>
      <c r="J703" t="s">
        <v>36</v>
      </c>
      <c r="K703">
        <v>21015</v>
      </c>
      <c r="L703" t="s">
        <v>1082</v>
      </c>
      <c r="M703" t="s">
        <v>1083</v>
      </c>
      <c r="N703" t="s">
        <v>1083</v>
      </c>
      <c r="O703">
        <v>21000</v>
      </c>
      <c r="P703" t="s">
        <v>46</v>
      </c>
      <c r="Q703" t="s">
        <v>47</v>
      </c>
      <c r="R703" t="s">
        <v>48</v>
      </c>
      <c r="T703" t="s">
        <v>36</v>
      </c>
      <c r="U703" t="s">
        <v>36</v>
      </c>
      <c r="V703" t="s">
        <v>36</v>
      </c>
      <c r="W703">
        <v>4000</v>
      </c>
      <c r="X703" t="s">
        <v>49</v>
      </c>
      <c r="Y703" t="s">
        <v>50</v>
      </c>
      <c r="Z703" t="s">
        <v>51</v>
      </c>
      <c r="AA703" t="s">
        <v>37</v>
      </c>
      <c r="AB703" t="s">
        <v>52</v>
      </c>
      <c r="AC703" t="s">
        <v>53</v>
      </c>
      <c r="AD703" t="s">
        <v>54</v>
      </c>
      <c r="AE703">
        <v>17.293220808600001</v>
      </c>
      <c r="AF703">
        <v>1701</v>
      </c>
      <c r="AG703">
        <v>1700.9978672499999</v>
      </c>
      <c r="AH703">
        <v>172934.98832</v>
      </c>
      <c r="AI703">
        <v>49</v>
      </c>
      <c r="AJ703">
        <v>4936.6916697323304</v>
      </c>
      <c r="AK703" s="1">
        <f>intersection_ss_Lden___surface[[#This Row],[surf m2 bout ss]]/intersection_ss_Lden___surface[[#This Row],[Shape_Area]]</f>
        <v>2.8546517495912652E-2</v>
      </c>
      <c r="AL703">
        <v>4710</v>
      </c>
      <c r="AM703">
        <f>intersection_ss_Lden___surface[[#This Row],[Population totale 2024 ss]]*intersection_ss_Lden___surface[[#This Row],[Part de la surface du qs dans le noise contour]]</f>
        <v>134.4540974057486</v>
      </c>
    </row>
    <row r="704" spans="1:39" x14ac:dyDescent="0.3">
      <c r="A704">
        <v>734</v>
      </c>
      <c r="B704" t="s">
        <v>1096</v>
      </c>
      <c r="C704" t="s">
        <v>1097</v>
      </c>
      <c r="D704" t="s">
        <v>1098</v>
      </c>
      <c r="E704" t="s">
        <v>1098</v>
      </c>
      <c r="F704" t="s">
        <v>1078</v>
      </c>
      <c r="G704" t="s">
        <v>1079</v>
      </c>
      <c r="H704" t="s">
        <v>1080</v>
      </c>
      <c r="I704" t="s">
        <v>1081</v>
      </c>
      <c r="J704" t="s">
        <v>36</v>
      </c>
      <c r="K704">
        <v>21015</v>
      </c>
      <c r="L704" t="s">
        <v>1082</v>
      </c>
      <c r="M704" t="s">
        <v>1083</v>
      </c>
      <c r="N704" t="s">
        <v>1083</v>
      </c>
      <c r="O704">
        <v>21000</v>
      </c>
      <c r="P704" t="s">
        <v>46</v>
      </c>
      <c r="Q704" t="s">
        <v>47</v>
      </c>
      <c r="R704" t="s">
        <v>48</v>
      </c>
      <c r="T704" t="s">
        <v>36</v>
      </c>
      <c r="U704" t="s">
        <v>36</v>
      </c>
      <c r="V704" t="s">
        <v>36</v>
      </c>
      <c r="W704">
        <v>4000</v>
      </c>
      <c r="X704" t="s">
        <v>49</v>
      </c>
      <c r="Y704" t="s">
        <v>50</v>
      </c>
      <c r="Z704" t="s">
        <v>51</v>
      </c>
      <c r="AA704" t="s">
        <v>37</v>
      </c>
      <c r="AB704" t="s">
        <v>52</v>
      </c>
      <c r="AC704" t="s">
        <v>53</v>
      </c>
      <c r="AD704" t="s">
        <v>54</v>
      </c>
      <c r="AE704">
        <v>19.308423463800001</v>
      </c>
      <c r="AF704">
        <v>2488</v>
      </c>
      <c r="AG704">
        <v>2487.9208808600001</v>
      </c>
      <c r="AH704">
        <v>193087.34157600001</v>
      </c>
      <c r="AI704">
        <v>47</v>
      </c>
      <c r="AJ704">
        <v>2907.3717110827602</v>
      </c>
      <c r="AK704" s="1">
        <f>intersection_ss_Lden___surface[[#This Row],[surf m2 bout ss]]/intersection_ss_Lden___surface[[#This Row],[Shape_Area]]</f>
        <v>1.5057287999060292E-2</v>
      </c>
      <c r="AL704">
        <v>4367</v>
      </c>
      <c r="AM704">
        <f>intersection_ss_Lden___surface[[#This Row],[Population totale 2024 ss]]*intersection_ss_Lden___surface[[#This Row],[Part de la surface du qs dans le noise contour]]</f>
        <v>65.755176691896295</v>
      </c>
    </row>
    <row r="705" spans="1:39" x14ac:dyDescent="0.3">
      <c r="A705">
        <v>735</v>
      </c>
      <c r="B705" t="s">
        <v>1096</v>
      </c>
      <c r="C705" t="s">
        <v>1097</v>
      </c>
      <c r="D705" t="s">
        <v>1098</v>
      </c>
      <c r="E705" t="s">
        <v>1098</v>
      </c>
      <c r="F705" t="s">
        <v>1078</v>
      </c>
      <c r="G705" t="s">
        <v>1079</v>
      </c>
      <c r="H705" t="s">
        <v>1080</v>
      </c>
      <c r="I705" t="s">
        <v>1081</v>
      </c>
      <c r="J705" t="s">
        <v>36</v>
      </c>
      <c r="K705">
        <v>21015</v>
      </c>
      <c r="L705" t="s">
        <v>1082</v>
      </c>
      <c r="M705" t="s">
        <v>1083</v>
      </c>
      <c r="N705" t="s">
        <v>1083</v>
      </c>
      <c r="O705">
        <v>21000</v>
      </c>
      <c r="P705" t="s">
        <v>46</v>
      </c>
      <c r="Q705" t="s">
        <v>47</v>
      </c>
      <c r="R705" t="s">
        <v>48</v>
      </c>
      <c r="T705" t="s">
        <v>36</v>
      </c>
      <c r="U705" t="s">
        <v>36</v>
      </c>
      <c r="V705" t="s">
        <v>36</v>
      </c>
      <c r="W705">
        <v>4000</v>
      </c>
      <c r="X705" t="s">
        <v>49</v>
      </c>
      <c r="Y705" t="s">
        <v>50</v>
      </c>
      <c r="Z705" t="s">
        <v>51</v>
      </c>
      <c r="AA705" t="s">
        <v>37</v>
      </c>
      <c r="AB705" t="s">
        <v>52</v>
      </c>
      <c r="AC705" t="s">
        <v>53</v>
      </c>
      <c r="AD705" t="s">
        <v>54</v>
      </c>
      <c r="AE705">
        <v>19.308423463800001</v>
      </c>
      <c r="AF705">
        <v>2488</v>
      </c>
      <c r="AG705">
        <v>2487.9208808600001</v>
      </c>
      <c r="AH705">
        <v>193087.34157600001</v>
      </c>
      <c r="AI705">
        <v>48</v>
      </c>
      <c r="AJ705">
        <v>50584.800938577901</v>
      </c>
      <c r="AK705" s="1">
        <f>intersection_ss_Lden___surface[[#This Row],[surf m2 bout ss]]/intersection_ss_Lden___surface[[#This Row],[Shape_Area]]</f>
        <v>0.26197885643719171</v>
      </c>
      <c r="AL705">
        <v>4367</v>
      </c>
      <c r="AM705">
        <f>intersection_ss_Lden___surface[[#This Row],[Population totale 2024 ss]]*intersection_ss_Lden___surface[[#This Row],[Part de la surface du qs dans le noise contour]]</f>
        <v>1144.0616660612161</v>
      </c>
    </row>
    <row r="706" spans="1:39" x14ac:dyDescent="0.3">
      <c r="A706">
        <v>736</v>
      </c>
      <c r="B706" t="s">
        <v>1096</v>
      </c>
      <c r="C706" t="s">
        <v>1097</v>
      </c>
      <c r="D706" t="s">
        <v>1098</v>
      </c>
      <c r="E706" t="s">
        <v>1098</v>
      </c>
      <c r="F706" t="s">
        <v>1078</v>
      </c>
      <c r="G706" t="s">
        <v>1079</v>
      </c>
      <c r="H706" t="s">
        <v>1080</v>
      </c>
      <c r="I706" t="s">
        <v>1081</v>
      </c>
      <c r="J706" t="s">
        <v>36</v>
      </c>
      <c r="K706">
        <v>21015</v>
      </c>
      <c r="L706" t="s">
        <v>1082</v>
      </c>
      <c r="M706" t="s">
        <v>1083</v>
      </c>
      <c r="N706" t="s">
        <v>1083</v>
      </c>
      <c r="O706">
        <v>21000</v>
      </c>
      <c r="P706" t="s">
        <v>46</v>
      </c>
      <c r="Q706" t="s">
        <v>47</v>
      </c>
      <c r="R706" t="s">
        <v>48</v>
      </c>
      <c r="T706" t="s">
        <v>36</v>
      </c>
      <c r="U706" t="s">
        <v>36</v>
      </c>
      <c r="V706" t="s">
        <v>36</v>
      </c>
      <c r="W706">
        <v>4000</v>
      </c>
      <c r="X706" t="s">
        <v>49</v>
      </c>
      <c r="Y706" t="s">
        <v>50</v>
      </c>
      <c r="Z706" t="s">
        <v>51</v>
      </c>
      <c r="AA706" t="s">
        <v>37</v>
      </c>
      <c r="AB706" t="s">
        <v>52</v>
      </c>
      <c r="AC706" t="s">
        <v>53</v>
      </c>
      <c r="AD706" t="s">
        <v>54</v>
      </c>
      <c r="AE706">
        <v>19.308423463800001</v>
      </c>
      <c r="AF706">
        <v>2488</v>
      </c>
      <c r="AG706">
        <v>2487.9208808600001</v>
      </c>
      <c r="AH706">
        <v>193087.34157600001</v>
      </c>
      <c r="AI706">
        <v>49</v>
      </c>
      <c r="AJ706">
        <v>61232.967162950001</v>
      </c>
      <c r="AK706" s="1">
        <f>intersection_ss_Lden___surface[[#This Row],[surf m2 bout ss]]/intersection_ss_Lden___surface[[#This Row],[Shape_Area]]</f>
        <v>0.31712574559864892</v>
      </c>
      <c r="AL706">
        <v>4367</v>
      </c>
      <c r="AM706">
        <f>intersection_ss_Lden___surface[[#This Row],[Population totale 2024 ss]]*intersection_ss_Lden___surface[[#This Row],[Part de la surface du qs dans le noise contour]]</f>
        <v>1384.8881310292998</v>
      </c>
    </row>
    <row r="707" spans="1:39" x14ac:dyDescent="0.3">
      <c r="A707">
        <v>737</v>
      </c>
      <c r="B707" t="s">
        <v>1096</v>
      </c>
      <c r="C707" t="s">
        <v>1097</v>
      </c>
      <c r="D707" t="s">
        <v>1098</v>
      </c>
      <c r="E707" t="s">
        <v>1098</v>
      </c>
      <c r="F707" t="s">
        <v>1078</v>
      </c>
      <c r="G707" t="s">
        <v>1079</v>
      </c>
      <c r="H707" t="s">
        <v>1080</v>
      </c>
      <c r="I707" t="s">
        <v>1081</v>
      </c>
      <c r="J707" t="s">
        <v>36</v>
      </c>
      <c r="K707">
        <v>21015</v>
      </c>
      <c r="L707" t="s">
        <v>1082</v>
      </c>
      <c r="M707" t="s">
        <v>1083</v>
      </c>
      <c r="N707" t="s">
        <v>1083</v>
      </c>
      <c r="O707">
        <v>21000</v>
      </c>
      <c r="P707" t="s">
        <v>46</v>
      </c>
      <c r="Q707" t="s">
        <v>47</v>
      </c>
      <c r="R707" t="s">
        <v>48</v>
      </c>
      <c r="T707" t="s">
        <v>36</v>
      </c>
      <c r="U707" t="s">
        <v>36</v>
      </c>
      <c r="V707" t="s">
        <v>36</v>
      </c>
      <c r="W707">
        <v>4000</v>
      </c>
      <c r="X707" t="s">
        <v>49</v>
      </c>
      <c r="Y707" t="s">
        <v>50</v>
      </c>
      <c r="Z707" t="s">
        <v>51</v>
      </c>
      <c r="AA707" t="s">
        <v>37</v>
      </c>
      <c r="AB707" t="s">
        <v>52</v>
      </c>
      <c r="AC707" t="s">
        <v>53</v>
      </c>
      <c r="AD707" t="s">
        <v>54</v>
      </c>
      <c r="AE707">
        <v>19.308423463800001</v>
      </c>
      <c r="AF707">
        <v>2488</v>
      </c>
      <c r="AG707">
        <v>2487.9208808600001</v>
      </c>
      <c r="AH707">
        <v>193087.34157600001</v>
      </c>
      <c r="AI707">
        <v>50</v>
      </c>
      <c r="AJ707">
        <v>78380.620166808396</v>
      </c>
      <c r="AK707" s="1">
        <f>intersection_ss_Lden___surface[[#This Row],[surf m2 bout ss]]/intersection_ss_Lden___surface[[#This Row],[Shape_Area]]</f>
        <v>0.40593349893917019</v>
      </c>
      <c r="AL707">
        <v>4367</v>
      </c>
      <c r="AM707">
        <f>intersection_ss_Lden___surface[[#This Row],[Population totale 2024 ss]]*intersection_ss_Lden___surface[[#This Row],[Part de la surface du qs dans le noise contour]]</f>
        <v>1772.7115898673562</v>
      </c>
    </row>
    <row r="708" spans="1:39" x14ac:dyDescent="0.3">
      <c r="A708">
        <v>738</v>
      </c>
      <c r="B708" t="s">
        <v>1099</v>
      </c>
      <c r="C708" t="s">
        <v>283</v>
      </c>
      <c r="D708" t="s">
        <v>284</v>
      </c>
      <c r="E708" t="s">
        <v>284</v>
      </c>
      <c r="F708" t="s">
        <v>1100</v>
      </c>
      <c r="G708" t="s">
        <v>1079</v>
      </c>
      <c r="H708" t="s">
        <v>1080</v>
      </c>
      <c r="I708" t="s">
        <v>1081</v>
      </c>
      <c r="J708" t="s">
        <v>36</v>
      </c>
      <c r="K708">
        <v>21015</v>
      </c>
      <c r="L708" t="s">
        <v>1082</v>
      </c>
      <c r="M708" t="s">
        <v>1083</v>
      </c>
      <c r="N708" t="s">
        <v>1083</v>
      </c>
      <c r="O708">
        <v>21000</v>
      </c>
      <c r="P708" t="s">
        <v>46</v>
      </c>
      <c r="Q708" t="s">
        <v>47</v>
      </c>
      <c r="R708" t="s">
        <v>48</v>
      </c>
      <c r="T708" t="s">
        <v>36</v>
      </c>
      <c r="U708" t="s">
        <v>36</v>
      </c>
      <c r="V708" t="s">
        <v>36</v>
      </c>
      <c r="W708">
        <v>4000</v>
      </c>
      <c r="X708" t="s">
        <v>49</v>
      </c>
      <c r="Y708" t="s">
        <v>50</v>
      </c>
      <c r="Z708" t="s">
        <v>51</v>
      </c>
      <c r="AA708" t="s">
        <v>37</v>
      </c>
      <c r="AB708" t="s">
        <v>52</v>
      </c>
      <c r="AC708" t="s">
        <v>53</v>
      </c>
      <c r="AD708" t="s">
        <v>54</v>
      </c>
      <c r="AE708">
        <v>9.9115815574399999</v>
      </c>
      <c r="AF708">
        <v>1348</v>
      </c>
      <c r="AG708">
        <v>1348.32140011</v>
      </c>
      <c r="AH708">
        <v>99117.418509900002</v>
      </c>
      <c r="AI708">
        <v>52</v>
      </c>
      <c r="AJ708">
        <v>49439.254444320701</v>
      </c>
      <c r="AK708" s="1">
        <f>intersection_ss_Lden___surface[[#This Row],[surf m2 bout ss]]/intersection_ss_Lden___surface[[#This Row],[Shape_Area]]</f>
        <v>0.49879481515534657</v>
      </c>
      <c r="AL708">
        <v>1812</v>
      </c>
      <c r="AM708">
        <f>intersection_ss_Lden___surface[[#This Row],[Population totale 2024 ss]]*intersection_ss_Lden___surface[[#This Row],[Part de la surface du qs dans le noise contour]]</f>
        <v>903.81620506148795</v>
      </c>
    </row>
    <row r="709" spans="1:39" x14ac:dyDescent="0.3">
      <c r="A709">
        <v>739</v>
      </c>
      <c r="B709" t="s">
        <v>1099</v>
      </c>
      <c r="C709" t="s">
        <v>283</v>
      </c>
      <c r="D709" t="s">
        <v>284</v>
      </c>
      <c r="E709" t="s">
        <v>284</v>
      </c>
      <c r="F709" t="s">
        <v>1100</v>
      </c>
      <c r="G709" t="s">
        <v>1079</v>
      </c>
      <c r="H709" t="s">
        <v>1080</v>
      </c>
      <c r="I709" t="s">
        <v>1081</v>
      </c>
      <c r="J709" t="s">
        <v>36</v>
      </c>
      <c r="K709">
        <v>21015</v>
      </c>
      <c r="L709" t="s">
        <v>1082</v>
      </c>
      <c r="M709" t="s">
        <v>1083</v>
      </c>
      <c r="N709" t="s">
        <v>1083</v>
      </c>
      <c r="O709">
        <v>21000</v>
      </c>
      <c r="P709" t="s">
        <v>46</v>
      </c>
      <c r="Q709" t="s">
        <v>47</v>
      </c>
      <c r="R709" t="s">
        <v>48</v>
      </c>
      <c r="T709" t="s">
        <v>36</v>
      </c>
      <c r="U709" t="s">
        <v>36</v>
      </c>
      <c r="V709" t="s">
        <v>36</v>
      </c>
      <c r="W709">
        <v>4000</v>
      </c>
      <c r="X709" t="s">
        <v>49</v>
      </c>
      <c r="Y709" t="s">
        <v>50</v>
      </c>
      <c r="Z709" t="s">
        <v>51</v>
      </c>
      <c r="AA709" t="s">
        <v>37</v>
      </c>
      <c r="AB709" t="s">
        <v>52</v>
      </c>
      <c r="AC709" t="s">
        <v>53</v>
      </c>
      <c r="AD709" t="s">
        <v>54</v>
      </c>
      <c r="AE709">
        <v>9.9115815574399999</v>
      </c>
      <c r="AF709">
        <v>1348</v>
      </c>
      <c r="AG709">
        <v>1348.32140011</v>
      </c>
      <c r="AH709">
        <v>99117.418509900002</v>
      </c>
      <c r="AI709">
        <v>53</v>
      </c>
      <c r="AJ709">
        <v>49687.272628782899</v>
      </c>
      <c r="AK709" s="1">
        <f>intersection_ss_Lden___surface[[#This Row],[surf m2 bout ss]]/intersection_ss_Lden___surface[[#This Row],[Shape_Area]]</f>
        <v>0.5012970815399117</v>
      </c>
      <c r="AL709">
        <v>1812</v>
      </c>
      <c r="AM709">
        <f>intersection_ss_Lden___surface[[#This Row],[Population totale 2024 ss]]*intersection_ss_Lden___surface[[#This Row],[Part de la surface du qs dans le noise contour]]</f>
        <v>908.35031175031997</v>
      </c>
    </row>
    <row r="710" spans="1:39" x14ac:dyDescent="0.3">
      <c r="A710">
        <v>740</v>
      </c>
      <c r="B710" t="s">
        <v>1101</v>
      </c>
      <c r="C710" t="s">
        <v>1102</v>
      </c>
      <c r="D710" t="s">
        <v>1102</v>
      </c>
      <c r="E710" t="s">
        <v>1102</v>
      </c>
      <c r="F710" t="s">
        <v>1100</v>
      </c>
      <c r="G710" t="s">
        <v>1079</v>
      </c>
      <c r="H710" t="s">
        <v>1080</v>
      </c>
      <c r="I710" t="s">
        <v>1081</v>
      </c>
      <c r="J710" t="s">
        <v>36</v>
      </c>
      <c r="K710">
        <v>21015</v>
      </c>
      <c r="L710" t="s">
        <v>1082</v>
      </c>
      <c r="M710" t="s">
        <v>1083</v>
      </c>
      <c r="N710" t="s">
        <v>1083</v>
      </c>
      <c r="O710">
        <v>21000</v>
      </c>
      <c r="P710" t="s">
        <v>46</v>
      </c>
      <c r="Q710" t="s">
        <v>47</v>
      </c>
      <c r="R710" t="s">
        <v>48</v>
      </c>
      <c r="T710" t="s">
        <v>36</v>
      </c>
      <c r="U710" t="s">
        <v>36</v>
      </c>
      <c r="V710" t="s">
        <v>36</v>
      </c>
      <c r="W710">
        <v>4000</v>
      </c>
      <c r="X710" t="s">
        <v>49</v>
      </c>
      <c r="Y710" t="s">
        <v>50</v>
      </c>
      <c r="Z710" t="s">
        <v>51</v>
      </c>
      <c r="AA710" t="s">
        <v>37</v>
      </c>
      <c r="AB710" t="s">
        <v>52</v>
      </c>
      <c r="AC710" t="s">
        <v>53</v>
      </c>
      <c r="AD710" t="s">
        <v>54</v>
      </c>
      <c r="AE710">
        <v>13.198558756700001</v>
      </c>
      <c r="AF710">
        <v>1878</v>
      </c>
      <c r="AG710">
        <v>1877.60832381</v>
      </c>
      <c r="AH710">
        <v>131987.72088899999</v>
      </c>
      <c r="AI710">
        <v>52</v>
      </c>
      <c r="AJ710">
        <v>9.7688147500157392</v>
      </c>
      <c r="AK710" s="1">
        <f>intersection_ss_Lden___surface[[#This Row],[surf m2 bout ss]]/intersection_ss_Lden___surface[[#This Row],[Shape_Area]]</f>
        <v>7.4013057307286857E-5</v>
      </c>
      <c r="AL710">
        <v>2831</v>
      </c>
      <c r="AM710">
        <f>intersection_ss_Lden___surface[[#This Row],[Population totale 2024 ss]]*intersection_ss_Lden___surface[[#This Row],[Part de la surface du qs dans le noise contour]]</f>
        <v>0.2095309652369291</v>
      </c>
    </row>
    <row r="711" spans="1:39" x14ac:dyDescent="0.3">
      <c r="A711">
        <v>741</v>
      </c>
      <c r="B711" t="s">
        <v>1101</v>
      </c>
      <c r="C711" t="s">
        <v>1102</v>
      </c>
      <c r="D711" t="s">
        <v>1102</v>
      </c>
      <c r="E711" t="s">
        <v>1102</v>
      </c>
      <c r="F711" t="s">
        <v>1100</v>
      </c>
      <c r="G711" t="s">
        <v>1079</v>
      </c>
      <c r="H711" t="s">
        <v>1080</v>
      </c>
      <c r="I711" t="s">
        <v>1081</v>
      </c>
      <c r="J711" t="s">
        <v>36</v>
      </c>
      <c r="K711">
        <v>21015</v>
      </c>
      <c r="L711" t="s">
        <v>1082</v>
      </c>
      <c r="M711" t="s">
        <v>1083</v>
      </c>
      <c r="N711" t="s">
        <v>1083</v>
      </c>
      <c r="O711">
        <v>21000</v>
      </c>
      <c r="P711" t="s">
        <v>46</v>
      </c>
      <c r="Q711" t="s">
        <v>47</v>
      </c>
      <c r="R711" t="s">
        <v>48</v>
      </c>
      <c r="T711" t="s">
        <v>36</v>
      </c>
      <c r="U711" t="s">
        <v>36</v>
      </c>
      <c r="V711" t="s">
        <v>36</v>
      </c>
      <c r="W711">
        <v>4000</v>
      </c>
      <c r="X711" t="s">
        <v>49</v>
      </c>
      <c r="Y711" t="s">
        <v>50</v>
      </c>
      <c r="Z711" t="s">
        <v>51</v>
      </c>
      <c r="AA711" t="s">
        <v>37</v>
      </c>
      <c r="AB711" t="s">
        <v>52</v>
      </c>
      <c r="AC711" t="s">
        <v>53</v>
      </c>
      <c r="AD711" t="s">
        <v>54</v>
      </c>
      <c r="AE711">
        <v>13.198558756700001</v>
      </c>
      <c r="AF711">
        <v>1878</v>
      </c>
      <c r="AG711">
        <v>1877.60832381</v>
      </c>
      <c r="AH711">
        <v>131987.72088899999</v>
      </c>
      <c r="AI711">
        <v>53</v>
      </c>
      <c r="AJ711">
        <v>125850.77731275</v>
      </c>
      <c r="AK711" s="1">
        <f>intersection_ss_Lden___surface[[#This Row],[surf m2 bout ss]]/intersection_ss_Lden___surface[[#This Row],[Shape_Area]]</f>
        <v>0.95350367795644353</v>
      </c>
      <c r="AL711">
        <v>2831</v>
      </c>
      <c r="AM711">
        <f>intersection_ss_Lden___surface[[#This Row],[Population totale 2024 ss]]*intersection_ss_Lden___surface[[#This Row],[Part de la surface du qs dans le noise contour]]</f>
        <v>2699.3689122946917</v>
      </c>
    </row>
    <row r="712" spans="1:39" x14ac:dyDescent="0.3">
      <c r="A712">
        <v>742</v>
      </c>
      <c r="B712" t="s">
        <v>1101</v>
      </c>
      <c r="C712" t="s">
        <v>1102</v>
      </c>
      <c r="D712" t="s">
        <v>1102</v>
      </c>
      <c r="E712" t="s">
        <v>1102</v>
      </c>
      <c r="F712" t="s">
        <v>1100</v>
      </c>
      <c r="G712" t="s">
        <v>1079</v>
      </c>
      <c r="H712" t="s">
        <v>1080</v>
      </c>
      <c r="I712" t="s">
        <v>1081</v>
      </c>
      <c r="J712" t="s">
        <v>36</v>
      </c>
      <c r="K712">
        <v>21015</v>
      </c>
      <c r="L712" t="s">
        <v>1082</v>
      </c>
      <c r="M712" t="s">
        <v>1083</v>
      </c>
      <c r="N712" t="s">
        <v>1083</v>
      </c>
      <c r="O712">
        <v>21000</v>
      </c>
      <c r="P712" t="s">
        <v>46</v>
      </c>
      <c r="Q712" t="s">
        <v>47</v>
      </c>
      <c r="R712" t="s">
        <v>48</v>
      </c>
      <c r="T712" t="s">
        <v>36</v>
      </c>
      <c r="U712" t="s">
        <v>36</v>
      </c>
      <c r="V712" t="s">
        <v>36</v>
      </c>
      <c r="W712">
        <v>4000</v>
      </c>
      <c r="X712" t="s">
        <v>49</v>
      </c>
      <c r="Y712" t="s">
        <v>50</v>
      </c>
      <c r="Z712" t="s">
        <v>51</v>
      </c>
      <c r="AA712" t="s">
        <v>37</v>
      </c>
      <c r="AB712" t="s">
        <v>52</v>
      </c>
      <c r="AC712" t="s">
        <v>53</v>
      </c>
      <c r="AD712" t="s">
        <v>54</v>
      </c>
      <c r="AE712">
        <v>13.198558756700001</v>
      </c>
      <c r="AF712">
        <v>1878</v>
      </c>
      <c r="AG712">
        <v>1877.60832381</v>
      </c>
      <c r="AH712">
        <v>131987.72088899999</v>
      </c>
      <c r="AI712">
        <v>54</v>
      </c>
      <c r="AJ712">
        <v>6139.2952796504096</v>
      </c>
      <c r="AK712" s="1">
        <f>intersection_ss_Lden___surface[[#This Row],[surf m2 bout ss]]/intersection_ss_Lden___surface[[#This Row],[Shape_Area]]</f>
        <v>4.6514139635864156E-2</v>
      </c>
      <c r="AL712">
        <v>2831</v>
      </c>
      <c r="AM712">
        <f>intersection_ss_Lden___surface[[#This Row],[Population totale 2024 ss]]*intersection_ss_Lden___surface[[#This Row],[Part de la surface du qs dans le noise contour]]</f>
        <v>131.68152930913143</v>
      </c>
    </row>
    <row r="713" spans="1:39" x14ac:dyDescent="0.3">
      <c r="A713">
        <v>743</v>
      </c>
      <c r="B713" t="s">
        <v>1103</v>
      </c>
      <c r="C713" t="s">
        <v>1104</v>
      </c>
      <c r="D713" t="s">
        <v>1105</v>
      </c>
      <c r="E713" t="s">
        <v>1105</v>
      </c>
      <c r="F713" t="s">
        <v>1100</v>
      </c>
      <c r="G713" t="s">
        <v>1079</v>
      </c>
      <c r="H713" t="s">
        <v>1080</v>
      </c>
      <c r="I713" t="s">
        <v>1081</v>
      </c>
      <c r="J713" t="s">
        <v>36</v>
      </c>
      <c r="K713">
        <v>21015</v>
      </c>
      <c r="L713" t="s">
        <v>1082</v>
      </c>
      <c r="M713" t="s">
        <v>1083</v>
      </c>
      <c r="N713" t="s">
        <v>1083</v>
      </c>
      <c r="O713">
        <v>21000</v>
      </c>
      <c r="P713" t="s">
        <v>46</v>
      </c>
      <c r="Q713" t="s">
        <v>47</v>
      </c>
      <c r="R713" t="s">
        <v>48</v>
      </c>
      <c r="T713" t="s">
        <v>36</v>
      </c>
      <c r="U713" t="s">
        <v>36</v>
      </c>
      <c r="V713" t="s">
        <v>36</v>
      </c>
      <c r="W713">
        <v>4000</v>
      </c>
      <c r="X713" t="s">
        <v>49</v>
      </c>
      <c r="Y713" t="s">
        <v>50</v>
      </c>
      <c r="Z713" t="s">
        <v>51</v>
      </c>
      <c r="AA713" t="s">
        <v>37</v>
      </c>
      <c r="AB713" t="s">
        <v>52</v>
      </c>
      <c r="AC713" t="s">
        <v>53</v>
      </c>
      <c r="AD713" t="s">
        <v>54</v>
      </c>
      <c r="AE713">
        <v>16.7456379578</v>
      </c>
      <c r="AF713">
        <v>1832</v>
      </c>
      <c r="AG713">
        <v>1832.12672133</v>
      </c>
      <c r="AH713">
        <v>167459.056816</v>
      </c>
      <c r="AI713">
        <v>51</v>
      </c>
      <c r="AJ713">
        <v>24482.482679270201</v>
      </c>
      <c r="AK713" s="1">
        <f>intersection_ss_Lden___surface[[#This Row],[surf m2 bout ss]]/intersection_ss_Lden___surface[[#This Row],[Shape_Area]]</f>
        <v>0.14619981232887849</v>
      </c>
      <c r="AL713">
        <v>2372</v>
      </c>
      <c r="AM713">
        <f>intersection_ss_Lden___surface[[#This Row],[Population totale 2024 ss]]*intersection_ss_Lden___surface[[#This Row],[Part de la surface du qs dans le noise contour]]</f>
        <v>346.78595484409976</v>
      </c>
    </row>
    <row r="714" spans="1:39" x14ac:dyDescent="0.3">
      <c r="A714">
        <v>744</v>
      </c>
      <c r="B714" t="s">
        <v>1103</v>
      </c>
      <c r="C714" t="s">
        <v>1104</v>
      </c>
      <c r="D714" t="s">
        <v>1105</v>
      </c>
      <c r="E714" t="s">
        <v>1105</v>
      </c>
      <c r="F714" t="s">
        <v>1100</v>
      </c>
      <c r="G714" t="s">
        <v>1079</v>
      </c>
      <c r="H714" t="s">
        <v>1080</v>
      </c>
      <c r="I714" t="s">
        <v>1081</v>
      </c>
      <c r="J714" t="s">
        <v>36</v>
      </c>
      <c r="K714">
        <v>21015</v>
      </c>
      <c r="L714" t="s">
        <v>1082</v>
      </c>
      <c r="M714" t="s">
        <v>1083</v>
      </c>
      <c r="N714" t="s">
        <v>1083</v>
      </c>
      <c r="O714">
        <v>21000</v>
      </c>
      <c r="P714" t="s">
        <v>46</v>
      </c>
      <c r="Q714" t="s">
        <v>47</v>
      </c>
      <c r="R714" t="s">
        <v>48</v>
      </c>
      <c r="T714" t="s">
        <v>36</v>
      </c>
      <c r="U714" t="s">
        <v>36</v>
      </c>
      <c r="V714" t="s">
        <v>36</v>
      </c>
      <c r="W714">
        <v>4000</v>
      </c>
      <c r="X714" t="s">
        <v>49</v>
      </c>
      <c r="Y714" t="s">
        <v>50</v>
      </c>
      <c r="Z714" t="s">
        <v>51</v>
      </c>
      <c r="AA714" t="s">
        <v>37</v>
      </c>
      <c r="AB714" t="s">
        <v>52</v>
      </c>
      <c r="AC714" t="s">
        <v>53</v>
      </c>
      <c r="AD714" t="s">
        <v>54</v>
      </c>
      <c r="AE714">
        <v>16.7456379578</v>
      </c>
      <c r="AF714">
        <v>1832</v>
      </c>
      <c r="AG714">
        <v>1832.12672133</v>
      </c>
      <c r="AH714">
        <v>167459.056816</v>
      </c>
      <c r="AI714">
        <v>52</v>
      </c>
      <c r="AJ714">
        <v>128224.930793907</v>
      </c>
      <c r="AK714" s="1">
        <f>intersection_ss_Lden___surface[[#This Row],[surf m2 bout ss]]/intersection_ss_Lden___surface[[#This Row],[Shape_Area]]</f>
        <v>0.76570914247294186</v>
      </c>
      <c r="AL714">
        <v>2372</v>
      </c>
      <c r="AM714">
        <f>intersection_ss_Lden___surface[[#This Row],[Population totale 2024 ss]]*intersection_ss_Lden___surface[[#This Row],[Part de la surface du qs dans le noise contour]]</f>
        <v>1816.2620859458182</v>
      </c>
    </row>
    <row r="715" spans="1:39" x14ac:dyDescent="0.3">
      <c r="A715">
        <v>745</v>
      </c>
      <c r="B715" t="s">
        <v>1103</v>
      </c>
      <c r="C715" t="s">
        <v>1104</v>
      </c>
      <c r="D715" t="s">
        <v>1105</v>
      </c>
      <c r="E715" t="s">
        <v>1105</v>
      </c>
      <c r="F715" t="s">
        <v>1100</v>
      </c>
      <c r="G715" t="s">
        <v>1079</v>
      </c>
      <c r="H715" t="s">
        <v>1080</v>
      </c>
      <c r="I715" t="s">
        <v>1081</v>
      </c>
      <c r="J715" t="s">
        <v>36</v>
      </c>
      <c r="K715">
        <v>21015</v>
      </c>
      <c r="L715" t="s">
        <v>1082</v>
      </c>
      <c r="M715" t="s">
        <v>1083</v>
      </c>
      <c r="N715" t="s">
        <v>1083</v>
      </c>
      <c r="O715">
        <v>21000</v>
      </c>
      <c r="P715" t="s">
        <v>46</v>
      </c>
      <c r="Q715" t="s">
        <v>47</v>
      </c>
      <c r="R715" t="s">
        <v>48</v>
      </c>
      <c r="T715" t="s">
        <v>36</v>
      </c>
      <c r="U715" t="s">
        <v>36</v>
      </c>
      <c r="V715" t="s">
        <v>36</v>
      </c>
      <c r="W715">
        <v>4000</v>
      </c>
      <c r="X715" t="s">
        <v>49</v>
      </c>
      <c r="Y715" t="s">
        <v>50</v>
      </c>
      <c r="Z715" t="s">
        <v>51</v>
      </c>
      <c r="AA715" t="s">
        <v>37</v>
      </c>
      <c r="AB715" t="s">
        <v>52</v>
      </c>
      <c r="AC715" t="s">
        <v>53</v>
      </c>
      <c r="AD715" t="s">
        <v>54</v>
      </c>
      <c r="AE715">
        <v>16.7456379578</v>
      </c>
      <c r="AF715">
        <v>1832</v>
      </c>
      <c r="AG715">
        <v>1832.12672133</v>
      </c>
      <c r="AH715">
        <v>167459.056816</v>
      </c>
      <c r="AI715">
        <v>53</v>
      </c>
      <c r="AJ715">
        <v>14767.1332567073</v>
      </c>
      <c r="AK715" s="1">
        <f>intersection_ss_Lden___surface[[#This Row],[surf m2 bout ss]]/intersection_ss_Lden___surface[[#This Row],[Shape_Area]]</f>
        <v>8.8183544906341338E-2</v>
      </c>
      <c r="AL715">
        <v>2372</v>
      </c>
      <c r="AM715">
        <f>intersection_ss_Lden___surface[[#This Row],[Population totale 2024 ss]]*intersection_ss_Lden___surface[[#This Row],[Part de la surface du qs dans le noise contour]]</f>
        <v>209.17136851784164</v>
      </c>
    </row>
    <row r="716" spans="1:39" x14ac:dyDescent="0.3">
      <c r="A716">
        <v>746</v>
      </c>
      <c r="B716" t="s">
        <v>1106</v>
      </c>
      <c r="C716" t="s">
        <v>1107</v>
      </c>
      <c r="D716" t="s">
        <v>1108</v>
      </c>
      <c r="E716" t="s">
        <v>1108</v>
      </c>
      <c r="F716" t="s">
        <v>1100</v>
      </c>
      <c r="G716" t="s">
        <v>1079</v>
      </c>
      <c r="H716" t="s">
        <v>1080</v>
      </c>
      <c r="I716" t="s">
        <v>1081</v>
      </c>
      <c r="J716" t="s">
        <v>36</v>
      </c>
      <c r="K716">
        <v>21015</v>
      </c>
      <c r="L716" t="s">
        <v>1082</v>
      </c>
      <c r="M716" t="s">
        <v>1083</v>
      </c>
      <c r="N716" t="s">
        <v>1083</v>
      </c>
      <c r="O716">
        <v>21000</v>
      </c>
      <c r="P716" t="s">
        <v>46</v>
      </c>
      <c r="Q716" t="s">
        <v>47</v>
      </c>
      <c r="R716" t="s">
        <v>48</v>
      </c>
      <c r="T716" t="s">
        <v>36</v>
      </c>
      <c r="U716" t="s">
        <v>36</v>
      </c>
      <c r="V716" t="s">
        <v>36</v>
      </c>
      <c r="W716">
        <v>4000</v>
      </c>
      <c r="X716" t="s">
        <v>49</v>
      </c>
      <c r="Y716" t="s">
        <v>50</v>
      </c>
      <c r="Z716" t="s">
        <v>51</v>
      </c>
      <c r="AA716" t="s">
        <v>37</v>
      </c>
      <c r="AB716" t="s">
        <v>52</v>
      </c>
      <c r="AC716" t="s">
        <v>53</v>
      </c>
      <c r="AD716" t="s">
        <v>54</v>
      </c>
      <c r="AE716">
        <v>12.9310443063</v>
      </c>
      <c r="AF716">
        <v>1784</v>
      </c>
      <c r="AG716">
        <v>1783.81910483</v>
      </c>
      <c r="AH716">
        <v>129312.544503</v>
      </c>
      <c r="AI716">
        <v>51</v>
      </c>
      <c r="AJ716">
        <v>127932.214681545</v>
      </c>
      <c r="AK716" s="1">
        <f>intersection_ss_Lden___surface[[#This Row],[surf m2 bout ss]]/intersection_ss_Lden___surface[[#This Row],[Shape_Area]]</f>
        <v>0.98932563096055248</v>
      </c>
      <c r="AL716">
        <v>2261</v>
      </c>
      <c r="AM716">
        <f>intersection_ss_Lden___surface[[#This Row],[Population totale 2024 ss]]*intersection_ss_Lden___surface[[#This Row],[Part de la surface du qs dans le noise contour]]</f>
        <v>2236.8652516018092</v>
      </c>
    </row>
    <row r="717" spans="1:39" x14ac:dyDescent="0.3">
      <c r="A717">
        <v>747</v>
      </c>
      <c r="B717" t="s">
        <v>1106</v>
      </c>
      <c r="C717" t="s">
        <v>1107</v>
      </c>
      <c r="D717" t="s">
        <v>1108</v>
      </c>
      <c r="E717" t="s">
        <v>1108</v>
      </c>
      <c r="F717" t="s">
        <v>1100</v>
      </c>
      <c r="G717" t="s">
        <v>1079</v>
      </c>
      <c r="H717" t="s">
        <v>1080</v>
      </c>
      <c r="I717" t="s">
        <v>1081</v>
      </c>
      <c r="J717" t="s">
        <v>36</v>
      </c>
      <c r="K717">
        <v>21015</v>
      </c>
      <c r="L717" t="s">
        <v>1082</v>
      </c>
      <c r="M717" t="s">
        <v>1083</v>
      </c>
      <c r="N717" t="s">
        <v>1083</v>
      </c>
      <c r="O717">
        <v>21000</v>
      </c>
      <c r="P717" t="s">
        <v>46</v>
      </c>
      <c r="Q717" t="s">
        <v>47</v>
      </c>
      <c r="R717" t="s">
        <v>48</v>
      </c>
      <c r="T717" t="s">
        <v>36</v>
      </c>
      <c r="U717" t="s">
        <v>36</v>
      </c>
      <c r="V717" t="s">
        <v>36</v>
      </c>
      <c r="W717">
        <v>4000</v>
      </c>
      <c r="X717" t="s">
        <v>49</v>
      </c>
      <c r="Y717" t="s">
        <v>50</v>
      </c>
      <c r="Z717" t="s">
        <v>51</v>
      </c>
      <c r="AA717" t="s">
        <v>37</v>
      </c>
      <c r="AB717" t="s">
        <v>52</v>
      </c>
      <c r="AC717" t="s">
        <v>53</v>
      </c>
      <c r="AD717" t="s">
        <v>54</v>
      </c>
      <c r="AE717">
        <v>12.9310443063</v>
      </c>
      <c r="AF717">
        <v>1784</v>
      </c>
      <c r="AG717">
        <v>1783.81910483</v>
      </c>
      <c r="AH717">
        <v>129312.544503</v>
      </c>
      <c r="AI717">
        <v>52</v>
      </c>
      <c r="AJ717">
        <v>1392.3538547344499</v>
      </c>
      <c r="AK717" s="1">
        <f>intersection_ss_Lden___surface[[#This Row],[surf m2 bout ss]]/intersection_ss_Lden___surface[[#This Row],[Shape_Area]]</f>
        <v>1.0767353315069506E-2</v>
      </c>
      <c r="AL717">
        <v>2261</v>
      </c>
      <c r="AM717">
        <f>intersection_ss_Lden___surface[[#This Row],[Population totale 2024 ss]]*intersection_ss_Lden___surface[[#This Row],[Part de la surface du qs dans le noise contour]]</f>
        <v>24.34498584537215</v>
      </c>
    </row>
    <row r="718" spans="1:39" x14ac:dyDescent="0.3">
      <c r="A718">
        <v>748</v>
      </c>
      <c r="B718" t="s">
        <v>1109</v>
      </c>
      <c r="C718" t="s">
        <v>1110</v>
      </c>
      <c r="D718" t="s">
        <v>1111</v>
      </c>
      <c r="E718" t="s">
        <v>1111</v>
      </c>
      <c r="F718" t="s">
        <v>1100</v>
      </c>
      <c r="G718" t="s">
        <v>1079</v>
      </c>
      <c r="H718" t="s">
        <v>1080</v>
      </c>
      <c r="I718" t="s">
        <v>1081</v>
      </c>
      <c r="J718" t="s">
        <v>36</v>
      </c>
      <c r="K718">
        <v>21015</v>
      </c>
      <c r="L718" t="s">
        <v>1082</v>
      </c>
      <c r="M718" t="s">
        <v>1083</v>
      </c>
      <c r="N718" t="s">
        <v>1083</v>
      </c>
      <c r="O718">
        <v>21000</v>
      </c>
      <c r="P718" t="s">
        <v>46</v>
      </c>
      <c r="Q718" t="s">
        <v>47</v>
      </c>
      <c r="R718" t="s">
        <v>48</v>
      </c>
      <c r="T718" t="s">
        <v>36</v>
      </c>
      <c r="U718" t="s">
        <v>36</v>
      </c>
      <c r="V718" t="s">
        <v>36</v>
      </c>
      <c r="W718">
        <v>4000</v>
      </c>
      <c r="X718" t="s">
        <v>49</v>
      </c>
      <c r="Y718" t="s">
        <v>50</v>
      </c>
      <c r="Z718" t="s">
        <v>51</v>
      </c>
      <c r="AA718" t="s">
        <v>37</v>
      </c>
      <c r="AB718" t="s">
        <v>52</v>
      </c>
      <c r="AC718" t="s">
        <v>53</v>
      </c>
      <c r="AD718" t="s">
        <v>54</v>
      </c>
      <c r="AE718">
        <v>8.8973833327899996</v>
      </c>
      <c r="AF718">
        <v>1232</v>
      </c>
      <c r="AG718">
        <v>1231.87118829</v>
      </c>
      <c r="AH718">
        <v>88975.263856499994</v>
      </c>
      <c r="AI718">
        <v>53</v>
      </c>
      <c r="AJ718">
        <v>42698.293937994698</v>
      </c>
      <c r="AK718" s="1">
        <f>intersection_ss_Lden___surface[[#This Row],[surf m2 bout ss]]/intersection_ss_Lden___surface[[#This Row],[Shape_Area]]</f>
        <v>0.4798894893625586</v>
      </c>
      <c r="AL718">
        <v>252</v>
      </c>
      <c r="AM718">
        <f>intersection_ss_Lden___surface[[#This Row],[Population totale 2024 ss]]*intersection_ss_Lden___surface[[#This Row],[Part de la surface du qs dans le noise contour]]</f>
        <v>120.93215131936476</v>
      </c>
    </row>
    <row r="719" spans="1:39" x14ac:dyDescent="0.3">
      <c r="A719">
        <v>749</v>
      </c>
      <c r="B719" t="s">
        <v>1109</v>
      </c>
      <c r="C719" t="s">
        <v>1110</v>
      </c>
      <c r="D719" t="s">
        <v>1111</v>
      </c>
      <c r="E719" t="s">
        <v>1111</v>
      </c>
      <c r="F719" t="s">
        <v>1100</v>
      </c>
      <c r="G719" t="s">
        <v>1079</v>
      </c>
      <c r="H719" t="s">
        <v>1080</v>
      </c>
      <c r="I719" t="s">
        <v>1081</v>
      </c>
      <c r="J719" t="s">
        <v>36</v>
      </c>
      <c r="K719">
        <v>21015</v>
      </c>
      <c r="L719" t="s">
        <v>1082</v>
      </c>
      <c r="M719" t="s">
        <v>1083</v>
      </c>
      <c r="N719" t="s">
        <v>1083</v>
      </c>
      <c r="O719">
        <v>21000</v>
      </c>
      <c r="P719" t="s">
        <v>46</v>
      </c>
      <c r="Q719" t="s">
        <v>47</v>
      </c>
      <c r="R719" t="s">
        <v>48</v>
      </c>
      <c r="T719" t="s">
        <v>36</v>
      </c>
      <c r="U719" t="s">
        <v>36</v>
      </c>
      <c r="V719" t="s">
        <v>36</v>
      </c>
      <c r="W719">
        <v>4000</v>
      </c>
      <c r="X719" t="s">
        <v>49</v>
      </c>
      <c r="Y719" t="s">
        <v>50</v>
      </c>
      <c r="Z719" t="s">
        <v>51</v>
      </c>
      <c r="AA719" t="s">
        <v>37</v>
      </c>
      <c r="AB719" t="s">
        <v>52</v>
      </c>
      <c r="AC719" t="s">
        <v>53</v>
      </c>
      <c r="AD719" t="s">
        <v>54</v>
      </c>
      <c r="AE719">
        <v>8.8973833327899996</v>
      </c>
      <c r="AF719">
        <v>1232</v>
      </c>
      <c r="AG719">
        <v>1231.87118829</v>
      </c>
      <c r="AH719">
        <v>88975.263856499994</v>
      </c>
      <c r="AI719">
        <v>54</v>
      </c>
      <c r="AJ719">
        <v>46285.104379863304</v>
      </c>
      <c r="AK719" s="1">
        <f>intersection_ss_Lden___surface[[#This Row],[surf m2 bout ss]]/intersection_ss_Lden___surface[[#This Row],[Shape_Area]]</f>
        <v>0.52020193448948104</v>
      </c>
      <c r="AL719">
        <v>252</v>
      </c>
      <c r="AM719">
        <f>intersection_ss_Lden___surface[[#This Row],[Population totale 2024 ss]]*intersection_ss_Lden___surface[[#This Row],[Part de la surface du qs dans le noise contour]]</f>
        <v>131.09088749134924</v>
      </c>
    </row>
    <row r="720" spans="1:39" x14ac:dyDescent="0.3">
      <c r="A720">
        <v>750</v>
      </c>
      <c r="B720" t="s">
        <v>1112</v>
      </c>
      <c r="C720" t="s">
        <v>1113</v>
      </c>
      <c r="D720" t="s">
        <v>1114</v>
      </c>
      <c r="E720" t="s">
        <v>1114</v>
      </c>
      <c r="F720" t="s">
        <v>1100</v>
      </c>
      <c r="G720" t="s">
        <v>1079</v>
      </c>
      <c r="H720" t="s">
        <v>1080</v>
      </c>
      <c r="I720" t="s">
        <v>1081</v>
      </c>
      <c r="J720" t="s">
        <v>36</v>
      </c>
      <c r="K720">
        <v>21015</v>
      </c>
      <c r="L720" t="s">
        <v>1082</v>
      </c>
      <c r="M720" t="s">
        <v>1083</v>
      </c>
      <c r="N720" t="s">
        <v>1083</v>
      </c>
      <c r="O720">
        <v>21000</v>
      </c>
      <c r="P720" t="s">
        <v>46</v>
      </c>
      <c r="Q720" t="s">
        <v>47</v>
      </c>
      <c r="R720" t="s">
        <v>48</v>
      </c>
      <c r="T720" t="s">
        <v>36</v>
      </c>
      <c r="U720" t="s">
        <v>36</v>
      </c>
      <c r="V720" t="s">
        <v>36</v>
      </c>
      <c r="W720">
        <v>4000</v>
      </c>
      <c r="X720" t="s">
        <v>49</v>
      </c>
      <c r="Y720" t="s">
        <v>50</v>
      </c>
      <c r="Z720" t="s">
        <v>51</v>
      </c>
      <c r="AA720" t="s">
        <v>37</v>
      </c>
      <c r="AB720" t="s">
        <v>52</v>
      </c>
      <c r="AC720" t="s">
        <v>53</v>
      </c>
      <c r="AD720" t="s">
        <v>54</v>
      </c>
      <c r="AE720">
        <v>10.7216286824</v>
      </c>
      <c r="AF720">
        <v>1396</v>
      </c>
      <c r="AG720">
        <v>1395.8716915499999</v>
      </c>
      <c r="AH720">
        <v>107218.003306</v>
      </c>
      <c r="AI720">
        <v>51</v>
      </c>
      <c r="AJ720">
        <v>11625.912992645101</v>
      </c>
      <c r="AK720" s="1">
        <f>intersection_ss_Lden___surface[[#This Row],[surf m2 bout ss]]/intersection_ss_Lden___surface[[#This Row],[Shape_Area]]</f>
        <v>0.10843247061283882</v>
      </c>
      <c r="AL720">
        <v>3571</v>
      </c>
      <c r="AM720">
        <f>intersection_ss_Lden___surface[[#This Row],[Population totale 2024 ss]]*intersection_ss_Lden___surface[[#This Row],[Part de la surface du qs dans le noise contour]]</f>
        <v>387.21235255844744</v>
      </c>
    </row>
    <row r="721" spans="1:39" x14ac:dyDescent="0.3">
      <c r="A721">
        <v>751</v>
      </c>
      <c r="B721" t="s">
        <v>1112</v>
      </c>
      <c r="C721" t="s">
        <v>1113</v>
      </c>
      <c r="D721" t="s">
        <v>1114</v>
      </c>
      <c r="E721" t="s">
        <v>1114</v>
      </c>
      <c r="F721" t="s">
        <v>1100</v>
      </c>
      <c r="G721" t="s">
        <v>1079</v>
      </c>
      <c r="H721" t="s">
        <v>1080</v>
      </c>
      <c r="I721" t="s">
        <v>1081</v>
      </c>
      <c r="J721" t="s">
        <v>36</v>
      </c>
      <c r="K721">
        <v>21015</v>
      </c>
      <c r="L721" t="s">
        <v>1082</v>
      </c>
      <c r="M721" t="s">
        <v>1083</v>
      </c>
      <c r="N721" t="s">
        <v>1083</v>
      </c>
      <c r="O721">
        <v>21000</v>
      </c>
      <c r="P721" t="s">
        <v>46</v>
      </c>
      <c r="Q721" t="s">
        <v>47</v>
      </c>
      <c r="R721" t="s">
        <v>48</v>
      </c>
      <c r="T721" t="s">
        <v>36</v>
      </c>
      <c r="U721" t="s">
        <v>36</v>
      </c>
      <c r="V721" t="s">
        <v>36</v>
      </c>
      <c r="W721">
        <v>4000</v>
      </c>
      <c r="X721" t="s">
        <v>49</v>
      </c>
      <c r="Y721" t="s">
        <v>50</v>
      </c>
      <c r="Z721" t="s">
        <v>51</v>
      </c>
      <c r="AA721" t="s">
        <v>37</v>
      </c>
      <c r="AB721" t="s">
        <v>52</v>
      </c>
      <c r="AC721" t="s">
        <v>53</v>
      </c>
      <c r="AD721" t="s">
        <v>54</v>
      </c>
      <c r="AE721">
        <v>10.7216286824</v>
      </c>
      <c r="AF721">
        <v>1396</v>
      </c>
      <c r="AG721">
        <v>1395.8716915499999</v>
      </c>
      <c r="AH721">
        <v>107218.003306</v>
      </c>
      <c r="AI721">
        <v>52</v>
      </c>
      <c r="AJ721">
        <v>95594.2630941924</v>
      </c>
      <c r="AK721" s="1">
        <f>intersection_ss_Lden___surface[[#This Row],[surf m2 bout ss]]/intersection_ss_Lden___surface[[#This Row],[Shape_Area]]</f>
        <v>0.89158779446178027</v>
      </c>
      <c r="AL721">
        <v>3571</v>
      </c>
      <c r="AM721">
        <f>intersection_ss_Lden___surface[[#This Row],[Population totale 2024 ss]]*intersection_ss_Lden___surface[[#This Row],[Part de la surface du qs dans le noise contour]]</f>
        <v>3183.8600140230174</v>
      </c>
    </row>
    <row r="722" spans="1:39" x14ac:dyDescent="0.3">
      <c r="A722">
        <v>752</v>
      </c>
      <c r="B722" t="s">
        <v>1112</v>
      </c>
      <c r="C722" t="s">
        <v>1113</v>
      </c>
      <c r="D722" t="s">
        <v>1114</v>
      </c>
      <c r="E722" t="s">
        <v>1114</v>
      </c>
      <c r="F722" t="s">
        <v>1100</v>
      </c>
      <c r="G722" t="s">
        <v>1079</v>
      </c>
      <c r="H722" t="s">
        <v>1080</v>
      </c>
      <c r="I722" t="s">
        <v>1081</v>
      </c>
      <c r="J722" t="s">
        <v>36</v>
      </c>
      <c r="K722">
        <v>21015</v>
      </c>
      <c r="L722" t="s">
        <v>1082</v>
      </c>
      <c r="M722" t="s">
        <v>1083</v>
      </c>
      <c r="N722" t="s">
        <v>1083</v>
      </c>
      <c r="O722">
        <v>21000</v>
      </c>
      <c r="P722" t="s">
        <v>46</v>
      </c>
      <c r="Q722" t="s">
        <v>47</v>
      </c>
      <c r="R722" t="s">
        <v>48</v>
      </c>
      <c r="T722" t="s">
        <v>36</v>
      </c>
      <c r="U722" t="s">
        <v>36</v>
      </c>
      <c r="V722" t="s">
        <v>36</v>
      </c>
      <c r="W722">
        <v>4000</v>
      </c>
      <c r="X722" t="s">
        <v>49</v>
      </c>
      <c r="Y722" t="s">
        <v>50</v>
      </c>
      <c r="Z722" t="s">
        <v>51</v>
      </c>
      <c r="AA722" t="s">
        <v>37</v>
      </c>
      <c r="AB722" t="s">
        <v>52</v>
      </c>
      <c r="AC722" t="s">
        <v>53</v>
      </c>
      <c r="AD722" t="s">
        <v>54</v>
      </c>
      <c r="AE722">
        <v>10.7216286824</v>
      </c>
      <c r="AF722">
        <v>1396</v>
      </c>
      <c r="AG722">
        <v>1395.8716915499999</v>
      </c>
      <c r="AH722">
        <v>107218.003306</v>
      </c>
      <c r="AI722">
        <v>53</v>
      </c>
      <c r="AJ722">
        <v>7.7260156244337796</v>
      </c>
      <c r="AK722" s="1">
        <f>intersection_ss_Lden___surface[[#This Row],[surf m2 bout ss]]/intersection_ss_Lden___surface[[#This Row],[Shape_Area]]</f>
        <v>7.2058939601624025E-5</v>
      </c>
      <c r="AL722">
        <v>3571</v>
      </c>
      <c r="AM722">
        <f>intersection_ss_Lden___surface[[#This Row],[Population totale 2024 ss]]*intersection_ss_Lden___surface[[#This Row],[Part de la surface du qs dans le noise contour]]</f>
        <v>0.25732247331739938</v>
      </c>
    </row>
    <row r="723" spans="1:39" x14ac:dyDescent="0.3">
      <c r="A723">
        <v>753</v>
      </c>
      <c r="B723" t="s">
        <v>1115</v>
      </c>
      <c r="C723" t="s">
        <v>1116</v>
      </c>
      <c r="D723" t="s">
        <v>1116</v>
      </c>
      <c r="E723" t="s">
        <v>1116</v>
      </c>
      <c r="F723" t="s">
        <v>1117</v>
      </c>
      <c r="G723" t="s">
        <v>1079</v>
      </c>
      <c r="H723" t="s">
        <v>1080</v>
      </c>
      <c r="I723" t="s">
        <v>1081</v>
      </c>
      <c r="J723" t="s">
        <v>36</v>
      </c>
      <c r="K723">
        <v>21015</v>
      </c>
      <c r="L723" t="s">
        <v>1082</v>
      </c>
      <c r="M723" t="s">
        <v>1083</v>
      </c>
      <c r="N723" t="s">
        <v>1083</v>
      </c>
      <c r="O723">
        <v>21000</v>
      </c>
      <c r="P723" t="s">
        <v>46</v>
      </c>
      <c r="Q723" t="s">
        <v>47</v>
      </c>
      <c r="R723" t="s">
        <v>48</v>
      </c>
      <c r="T723" t="s">
        <v>36</v>
      </c>
      <c r="U723" t="s">
        <v>36</v>
      </c>
      <c r="V723" t="s">
        <v>36</v>
      </c>
      <c r="W723">
        <v>4000</v>
      </c>
      <c r="X723" t="s">
        <v>49</v>
      </c>
      <c r="Y723" t="s">
        <v>50</v>
      </c>
      <c r="Z723" t="s">
        <v>51</v>
      </c>
      <c r="AA723" t="s">
        <v>37</v>
      </c>
      <c r="AB723" t="s">
        <v>52</v>
      </c>
      <c r="AC723" t="s">
        <v>53</v>
      </c>
      <c r="AD723" t="s">
        <v>54</v>
      </c>
      <c r="AE723">
        <v>25.672199183</v>
      </c>
      <c r="AF723">
        <v>2226</v>
      </c>
      <c r="AG723">
        <v>2225.98083705</v>
      </c>
      <c r="AH723">
        <v>256726.12971000001</v>
      </c>
      <c r="AI723">
        <v>52</v>
      </c>
      <c r="AJ723">
        <v>120995.95492977901</v>
      </c>
      <c r="AK723" s="1">
        <f>intersection_ss_Lden___surface[[#This Row],[surf m2 bout ss]]/intersection_ss_Lden___surface[[#This Row],[Shape_Area]]</f>
        <v>0.47130362252746555</v>
      </c>
      <c r="AL723">
        <v>5869</v>
      </c>
      <c r="AM723">
        <f>intersection_ss_Lden___surface[[#This Row],[Population totale 2024 ss]]*intersection_ss_Lden___surface[[#This Row],[Part de la surface du qs dans le noise contour]]</f>
        <v>2766.0809606136954</v>
      </c>
    </row>
    <row r="724" spans="1:39" x14ac:dyDescent="0.3">
      <c r="A724">
        <v>754</v>
      </c>
      <c r="B724" t="s">
        <v>1115</v>
      </c>
      <c r="C724" t="s">
        <v>1116</v>
      </c>
      <c r="D724" t="s">
        <v>1116</v>
      </c>
      <c r="E724" t="s">
        <v>1116</v>
      </c>
      <c r="F724" t="s">
        <v>1117</v>
      </c>
      <c r="G724" t="s">
        <v>1079</v>
      </c>
      <c r="H724" t="s">
        <v>1080</v>
      </c>
      <c r="I724" t="s">
        <v>1081</v>
      </c>
      <c r="J724" t="s">
        <v>36</v>
      </c>
      <c r="K724">
        <v>21015</v>
      </c>
      <c r="L724" t="s">
        <v>1082</v>
      </c>
      <c r="M724" t="s">
        <v>1083</v>
      </c>
      <c r="N724" t="s">
        <v>1083</v>
      </c>
      <c r="O724">
        <v>21000</v>
      </c>
      <c r="P724" t="s">
        <v>46</v>
      </c>
      <c r="Q724" t="s">
        <v>47</v>
      </c>
      <c r="R724" t="s">
        <v>48</v>
      </c>
      <c r="T724" t="s">
        <v>36</v>
      </c>
      <c r="U724" t="s">
        <v>36</v>
      </c>
      <c r="V724" t="s">
        <v>36</v>
      </c>
      <c r="W724">
        <v>4000</v>
      </c>
      <c r="X724" t="s">
        <v>49</v>
      </c>
      <c r="Y724" t="s">
        <v>50</v>
      </c>
      <c r="Z724" t="s">
        <v>51</v>
      </c>
      <c r="AA724" t="s">
        <v>37</v>
      </c>
      <c r="AB724" t="s">
        <v>52</v>
      </c>
      <c r="AC724" t="s">
        <v>53</v>
      </c>
      <c r="AD724" t="s">
        <v>54</v>
      </c>
      <c r="AE724">
        <v>25.672199183</v>
      </c>
      <c r="AF724">
        <v>2226</v>
      </c>
      <c r="AG724">
        <v>2225.98083705</v>
      </c>
      <c r="AH724">
        <v>256726.12971000001</v>
      </c>
      <c r="AI724">
        <v>53</v>
      </c>
      <c r="AJ724">
        <v>135754.03401335099</v>
      </c>
      <c r="AK724" s="1">
        <f>intersection_ss_Lden___surface[[#This Row],[surf m2 bout ss]]/intersection_ss_Lden___surface[[#This Row],[Shape_Area]]</f>
        <v>0.5287893139926968</v>
      </c>
      <c r="AL724">
        <v>5869</v>
      </c>
      <c r="AM724">
        <f>intersection_ss_Lden___surface[[#This Row],[Population totale 2024 ss]]*intersection_ss_Lden___surface[[#This Row],[Part de la surface du qs dans le noise contour]]</f>
        <v>3103.4644838231375</v>
      </c>
    </row>
    <row r="725" spans="1:39" x14ac:dyDescent="0.3">
      <c r="A725">
        <v>755</v>
      </c>
      <c r="B725" t="s">
        <v>1118</v>
      </c>
      <c r="C725" t="s">
        <v>1119</v>
      </c>
      <c r="D725" t="s">
        <v>1120</v>
      </c>
      <c r="E725" t="s">
        <v>1120</v>
      </c>
      <c r="F725" t="s">
        <v>1117</v>
      </c>
      <c r="G725" t="s">
        <v>1079</v>
      </c>
      <c r="H725" t="s">
        <v>1080</v>
      </c>
      <c r="I725" t="s">
        <v>1081</v>
      </c>
      <c r="J725" t="s">
        <v>36</v>
      </c>
      <c r="K725">
        <v>21015</v>
      </c>
      <c r="L725" t="s">
        <v>1082</v>
      </c>
      <c r="M725" t="s">
        <v>1083</v>
      </c>
      <c r="N725" t="s">
        <v>1083</v>
      </c>
      <c r="O725">
        <v>21000</v>
      </c>
      <c r="P725" t="s">
        <v>46</v>
      </c>
      <c r="Q725" t="s">
        <v>47</v>
      </c>
      <c r="R725" t="s">
        <v>48</v>
      </c>
      <c r="T725" t="s">
        <v>36</v>
      </c>
      <c r="U725" t="s">
        <v>36</v>
      </c>
      <c r="V725" t="s">
        <v>36</v>
      </c>
      <c r="W725">
        <v>4000</v>
      </c>
      <c r="X725" t="s">
        <v>49</v>
      </c>
      <c r="Y725" t="s">
        <v>50</v>
      </c>
      <c r="Z725" t="s">
        <v>51</v>
      </c>
      <c r="AA725" t="s">
        <v>37</v>
      </c>
      <c r="AB725" t="s">
        <v>52</v>
      </c>
      <c r="AC725" t="s">
        <v>53</v>
      </c>
      <c r="AD725" t="s">
        <v>54</v>
      </c>
      <c r="AE725">
        <v>8.5482316532299993</v>
      </c>
      <c r="AF725">
        <v>1423</v>
      </c>
      <c r="AG725">
        <v>1422.87034513</v>
      </c>
      <c r="AH725">
        <v>85483.6942022</v>
      </c>
      <c r="AI725">
        <v>53</v>
      </c>
      <c r="AJ725">
        <v>85379.239179115699</v>
      </c>
      <c r="AK725" s="1">
        <f>intersection_ss_Lden___surface[[#This Row],[surf m2 bout ss]]/intersection_ss_Lden___surface[[#This Row],[Shape_Area]]</f>
        <v>0.99877807078812919</v>
      </c>
      <c r="AL725">
        <v>1826</v>
      </c>
      <c r="AM725">
        <f>intersection_ss_Lden___surface[[#This Row],[Population totale 2024 ss]]*intersection_ss_Lden___surface[[#This Row],[Part de la surface du qs dans le noise contour]]</f>
        <v>1823.768757259124</v>
      </c>
    </row>
    <row r="726" spans="1:39" x14ac:dyDescent="0.3">
      <c r="A726">
        <v>756</v>
      </c>
      <c r="B726" t="s">
        <v>1118</v>
      </c>
      <c r="C726" t="s">
        <v>1119</v>
      </c>
      <c r="D726" t="s">
        <v>1120</v>
      </c>
      <c r="E726" t="s">
        <v>1120</v>
      </c>
      <c r="F726" t="s">
        <v>1117</v>
      </c>
      <c r="G726" t="s">
        <v>1079</v>
      </c>
      <c r="H726" t="s">
        <v>1080</v>
      </c>
      <c r="I726" t="s">
        <v>1081</v>
      </c>
      <c r="J726" t="s">
        <v>36</v>
      </c>
      <c r="K726">
        <v>21015</v>
      </c>
      <c r="L726" t="s">
        <v>1082</v>
      </c>
      <c r="M726" t="s">
        <v>1083</v>
      </c>
      <c r="N726" t="s">
        <v>1083</v>
      </c>
      <c r="O726">
        <v>21000</v>
      </c>
      <c r="P726" t="s">
        <v>46</v>
      </c>
      <c r="Q726" t="s">
        <v>47</v>
      </c>
      <c r="R726" t="s">
        <v>48</v>
      </c>
      <c r="T726" t="s">
        <v>36</v>
      </c>
      <c r="U726" t="s">
        <v>36</v>
      </c>
      <c r="V726" t="s">
        <v>36</v>
      </c>
      <c r="W726">
        <v>4000</v>
      </c>
      <c r="X726" t="s">
        <v>49</v>
      </c>
      <c r="Y726" t="s">
        <v>50</v>
      </c>
      <c r="Z726" t="s">
        <v>51</v>
      </c>
      <c r="AA726" t="s">
        <v>37</v>
      </c>
      <c r="AB726" t="s">
        <v>52</v>
      </c>
      <c r="AC726" t="s">
        <v>53</v>
      </c>
      <c r="AD726" t="s">
        <v>54</v>
      </c>
      <c r="AE726">
        <v>8.5482316532299993</v>
      </c>
      <c r="AF726">
        <v>1423</v>
      </c>
      <c r="AG726">
        <v>1422.87034513</v>
      </c>
      <c r="AH726">
        <v>85483.6942022</v>
      </c>
      <c r="AI726">
        <v>54</v>
      </c>
      <c r="AJ726">
        <v>112.352381840348</v>
      </c>
      <c r="AK726" s="1">
        <f>intersection_ss_Lden___surface[[#This Row],[surf m2 bout ss]]/intersection_ss_Lden___surface[[#This Row],[Shape_Area]]</f>
        <v>1.31431359967427E-3</v>
      </c>
      <c r="AL726">
        <v>1826</v>
      </c>
      <c r="AM726">
        <f>intersection_ss_Lden___surface[[#This Row],[Population totale 2024 ss]]*intersection_ss_Lden___surface[[#This Row],[Part de la surface du qs dans le noise contour]]</f>
        <v>2.399936633005217</v>
      </c>
    </row>
    <row r="727" spans="1:39" x14ac:dyDescent="0.3">
      <c r="A727">
        <v>757</v>
      </c>
      <c r="B727" t="s">
        <v>1121</v>
      </c>
      <c r="C727" t="s">
        <v>1122</v>
      </c>
      <c r="D727" t="s">
        <v>1123</v>
      </c>
      <c r="E727" t="s">
        <v>1123</v>
      </c>
      <c r="F727" t="s">
        <v>1117</v>
      </c>
      <c r="G727" t="s">
        <v>1079</v>
      </c>
      <c r="H727" t="s">
        <v>1080</v>
      </c>
      <c r="I727" t="s">
        <v>1081</v>
      </c>
      <c r="J727" t="s">
        <v>36</v>
      </c>
      <c r="K727">
        <v>21015</v>
      </c>
      <c r="L727" t="s">
        <v>1082</v>
      </c>
      <c r="M727" t="s">
        <v>1083</v>
      </c>
      <c r="N727" t="s">
        <v>1083</v>
      </c>
      <c r="O727">
        <v>21000</v>
      </c>
      <c r="P727" t="s">
        <v>46</v>
      </c>
      <c r="Q727" t="s">
        <v>47</v>
      </c>
      <c r="R727" t="s">
        <v>48</v>
      </c>
      <c r="T727" t="s">
        <v>36</v>
      </c>
      <c r="U727" t="s">
        <v>36</v>
      </c>
      <c r="V727" t="s">
        <v>36</v>
      </c>
      <c r="W727">
        <v>4000</v>
      </c>
      <c r="X727" t="s">
        <v>49</v>
      </c>
      <c r="Y727" t="s">
        <v>50</v>
      </c>
      <c r="Z727" t="s">
        <v>51</v>
      </c>
      <c r="AA727" t="s">
        <v>37</v>
      </c>
      <c r="AB727" t="s">
        <v>52</v>
      </c>
      <c r="AC727" t="s">
        <v>53</v>
      </c>
      <c r="AD727" t="s">
        <v>54</v>
      </c>
      <c r="AE727">
        <v>14.5573367127</v>
      </c>
      <c r="AF727">
        <v>1946</v>
      </c>
      <c r="AG727">
        <v>1946.2336934099999</v>
      </c>
      <c r="AH727">
        <v>145575.70900900001</v>
      </c>
      <c r="AI727">
        <v>52</v>
      </c>
      <c r="AJ727">
        <v>57204.266578182498</v>
      </c>
      <c r="AK727" s="1">
        <f>intersection_ss_Lden___surface[[#This Row],[surf m2 bout ss]]/intersection_ss_Lden___surface[[#This Row],[Shape_Area]]</f>
        <v>0.39295200392701451</v>
      </c>
      <c r="AL727">
        <v>3391</v>
      </c>
      <c r="AM727">
        <f>intersection_ss_Lden___surface[[#This Row],[Population totale 2024 ss]]*intersection_ss_Lden___surface[[#This Row],[Part de la surface du qs dans le noise contour]]</f>
        <v>1332.5002453165062</v>
      </c>
    </row>
    <row r="728" spans="1:39" x14ac:dyDescent="0.3">
      <c r="A728">
        <v>758</v>
      </c>
      <c r="B728" t="s">
        <v>1121</v>
      </c>
      <c r="C728" t="s">
        <v>1122</v>
      </c>
      <c r="D728" t="s">
        <v>1123</v>
      </c>
      <c r="E728" t="s">
        <v>1123</v>
      </c>
      <c r="F728" t="s">
        <v>1117</v>
      </c>
      <c r="G728" t="s">
        <v>1079</v>
      </c>
      <c r="H728" t="s">
        <v>1080</v>
      </c>
      <c r="I728" t="s">
        <v>1081</v>
      </c>
      <c r="J728" t="s">
        <v>36</v>
      </c>
      <c r="K728">
        <v>21015</v>
      </c>
      <c r="L728" t="s">
        <v>1082</v>
      </c>
      <c r="M728" t="s">
        <v>1083</v>
      </c>
      <c r="N728" t="s">
        <v>1083</v>
      </c>
      <c r="O728">
        <v>21000</v>
      </c>
      <c r="P728" t="s">
        <v>46</v>
      </c>
      <c r="Q728" t="s">
        <v>47</v>
      </c>
      <c r="R728" t="s">
        <v>48</v>
      </c>
      <c r="T728" t="s">
        <v>36</v>
      </c>
      <c r="U728" t="s">
        <v>36</v>
      </c>
      <c r="V728" t="s">
        <v>36</v>
      </c>
      <c r="W728">
        <v>4000</v>
      </c>
      <c r="X728" t="s">
        <v>49</v>
      </c>
      <c r="Y728" t="s">
        <v>50</v>
      </c>
      <c r="Z728" t="s">
        <v>51</v>
      </c>
      <c r="AA728" t="s">
        <v>37</v>
      </c>
      <c r="AB728" t="s">
        <v>52</v>
      </c>
      <c r="AC728" t="s">
        <v>53</v>
      </c>
      <c r="AD728" t="s">
        <v>54</v>
      </c>
      <c r="AE728">
        <v>14.5573367127</v>
      </c>
      <c r="AF728">
        <v>1946</v>
      </c>
      <c r="AG728">
        <v>1946.2336934099999</v>
      </c>
      <c r="AH728">
        <v>145575.70900900001</v>
      </c>
      <c r="AI728">
        <v>53</v>
      </c>
      <c r="AJ728">
        <v>88385.077199860796</v>
      </c>
      <c r="AK728" s="1">
        <f>intersection_ss_Lden___surface[[#This Row],[surf m2 bout ss]]/intersection_ss_Lden___surface[[#This Row],[Shape_Area]]</f>
        <v>0.6071416570905831</v>
      </c>
      <c r="AL728">
        <v>3391</v>
      </c>
      <c r="AM728">
        <f>intersection_ss_Lden___surface[[#This Row],[Population totale 2024 ss]]*intersection_ss_Lden___surface[[#This Row],[Part de la surface du qs dans le noise contour]]</f>
        <v>2058.8173591941672</v>
      </c>
    </row>
    <row r="729" spans="1:39" x14ac:dyDescent="0.3">
      <c r="A729">
        <v>759</v>
      </c>
      <c r="B729" t="s">
        <v>1124</v>
      </c>
      <c r="C729" t="s">
        <v>1125</v>
      </c>
      <c r="D729" t="s">
        <v>1126</v>
      </c>
      <c r="E729" t="s">
        <v>1126</v>
      </c>
      <c r="F729" t="s">
        <v>1117</v>
      </c>
      <c r="G729" t="s">
        <v>1079</v>
      </c>
      <c r="H729" t="s">
        <v>1080</v>
      </c>
      <c r="I729" t="s">
        <v>1081</v>
      </c>
      <c r="J729" t="s">
        <v>36</v>
      </c>
      <c r="K729">
        <v>21015</v>
      </c>
      <c r="L729" t="s">
        <v>1082</v>
      </c>
      <c r="M729" t="s">
        <v>1083</v>
      </c>
      <c r="N729" t="s">
        <v>1083</v>
      </c>
      <c r="O729">
        <v>21000</v>
      </c>
      <c r="P729" t="s">
        <v>46</v>
      </c>
      <c r="Q729" t="s">
        <v>47</v>
      </c>
      <c r="R729" t="s">
        <v>48</v>
      </c>
      <c r="T729" t="s">
        <v>36</v>
      </c>
      <c r="U729" t="s">
        <v>36</v>
      </c>
      <c r="V729" t="s">
        <v>36</v>
      </c>
      <c r="W729">
        <v>4000</v>
      </c>
      <c r="X729" t="s">
        <v>49</v>
      </c>
      <c r="Y729" t="s">
        <v>50</v>
      </c>
      <c r="Z729" t="s">
        <v>51</v>
      </c>
      <c r="AA729" t="s">
        <v>37</v>
      </c>
      <c r="AB729" t="s">
        <v>52</v>
      </c>
      <c r="AC729" t="s">
        <v>53</v>
      </c>
      <c r="AD729" t="s">
        <v>54</v>
      </c>
      <c r="AE729">
        <v>7.1622328306499998</v>
      </c>
      <c r="AF729">
        <v>1422</v>
      </c>
      <c r="AG729">
        <v>1421.89578755</v>
      </c>
      <c r="AH729">
        <v>71623.497462800005</v>
      </c>
      <c r="AI729">
        <v>51</v>
      </c>
      <c r="AJ729">
        <v>23481.694013918699</v>
      </c>
      <c r="AK729" s="1">
        <f>intersection_ss_Lden___surface[[#This Row],[surf m2 bout ss]]/intersection_ss_Lden___surface[[#This Row],[Shape_Area]]</f>
        <v>0.32784902784333703</v>
      </c>
      <c r="AL729">
        <v>1609</v>
      </c>
      <c r="AM729">
        <f>intersection_ss_Lden___surface[[#This Row],[Population totale 2024 ss]]*intersection_ss_Lden___surface[[#This Row],[Part de la surface du qs dans le noise contour]]</f>
        <v>527.50908579992927</v>
      </c>
    </row>
    <row r="730" spans="1:39" x14ac:dyDescent="0.3">
      <c r="A730">
        <v>760</v>
      </c>
      <c r="B730" t="s">
        <v>1124</v>
      </c>
      <c r="C730" t="s">
        <v>1125</v>
      </c>
      <c r="D730" t="s">
        <v>1126</v>
      </c>
      <c r="E730" t="s">
        <v>1126</v>
      </c>
      <c r="F730" t="s">
        <v>1117</v>
      </c>
      <c r="G730" t="s">
        <v>1079</v>
      </c>
      <c r="H730" t="s">
        <v>1080</v>
      </c>
      <c r="I730" t="s">
        <v>1081</v>
      </c>
      <c r="J730" t="s">
        <v>36</v>
      </c>
      <c r="K730">
        <v>21015</v>
      </c>
      <c r="L730" t="s">
        <v>1082</v>
      </c>
      <c r="M730" t="s">
        <v>1083</v>
      </c>
      <c r="N730" t="s">
        <v>1083</v>
      </c>
      <c r="O730">
        <v>21000</v>
      </c>
      <c r="P730" t="s">
        <v>46</v>
      </c>
      <c r="Q730" t="s">
        <v>47</v>
      </c>
      <c r="R730" t="s">
        <v>48</v>
      </c>
      <c r="T730" t="s">
        <v>36</v>
      </c>
      <c r="U730" t="s">
        <v>36</v>
      </c>
      <c r="V730" t="s">
        <v>36</v>
      </c>
      <c r="W730">
        <v>4000</v>
      </c>
      <c r="X730" t="s">
        <v>49</v>
      </c>
      <c r="Y730" t="s">
        <v>50</v>
      </c>
      <c r="Z730" t="s">
        <v>51</v>
      </c>
      <c r="AA730" t="s">
        <v>37</v>
      </c>
      <c r="AB730" t="s">
        <v>52</v>
      </c>
      <c r="AC730" t="s">
        <v>53</v>
      </c>
      <c r="AD730" t="s">
        <v>54</v>
      </c>
      <c r="AE730">
        <v>7.1622328306499998</v>
      </c>
      <c r="AF730">
        <v>1422</v>
      </c>
      <c r="AG730">
        <v>1421.89578755</v>
      </c>
      <c r="AH730">
        <v>71623.497462800005</v>
      </c>
      <c r="AI730">
        <v>52</v>
      </c>
      <c r="AJ730">
        <v>48148.472633351601</v>
      </c>
      <c r="AK730" s="1">
        <f>intersection_ss_Lden___surface[[#This Row],[surf m2 bout ss]]/intersection_ss_Lden___surface[[#This Row],[Shape_Area]]</f>
        <v>0.67224408663314827</v>
      </c>
      <c r="AL730">
        <v>1609</v>
      </c>
      <c r="AM730">
        <f>intersection_ss_Lden___surface[[#This Row],[Population totale 2024 ss]]*intersection_ss_Lden___surface[[#This Row],[Part de la surface du qs dans le noise contour]]</f>
        <v>1081.6407353927357</v>
      </c>
    </row>
    <row r="731" spans="1:39" x14ac:dyDescent="0.3">
      <c r="A731">
        <v>761</v>
      </c>
      <c r="B731" t="s">
        <v>1127</v>
      </c>
      <c r="C731" t="s">
        <v>1128</v>
      </c>
      <c r="D731" t="s">
        <v>1129</v>
      </c>
      <c r="E731" t="s">
        <v>1129</v>
      </c>
      <c r="F731" t="s">
        <v>1117</v>
      </c>
      <c r="G731" t="s">
        <v>1079</v>
      </c>
      <c r="H731" t="s">
        <v>1080</v>
      </c>
      <c r="I731" t="s">
        <v>1081</v>
      </c>
      <c r="J731" t="s">
        <v>36</v>
      </c>
      <c r="K731">
        <v>21015</v>
      </c>
      <c r="L731" t="s">
        <v>1082</v>
      </c>
      <c r="M731" t="s">
        <v>1083</v>
      </c>
      <c r="N731" t="s">
        <v>1083</v>
      </c>
      <c r="O731">
        <v>21000</v>
      </c>
      <c r="P731" t="s">
        <v>46</v>
      </c>
      <c r="Q731" t="s">
        <v>47</v>
      </c>
      <c r="R731" t="s">
        <v>48</v>
      </c>
      <c r="T731" t="s">
        <v>36</v>
      </c>
      <c r="U731" t="s">
        <v>36</v>
      </c>
      <c r="V731" t="s">
        <v>36</v>
      </c>
      <c r="W731">
        <v>4000</v>
      </c>
      <c r="X731" t="s">
        <v>49</v>
      </c>
      <c r="Y731" t="s">
        <v>50</v>
      </c>
      <c r="Z731" t="s">
        <v>51</v>
      </c>
      <c r="AA731" t="s">
        <v>37</v>
      </c>
      <c r="AB731" t="s">
        <v>52</v>
      </c>
      <c r="AC731" t="s">
        <v>53</v>
      </c>
      <c r="AD731" t="s">
        <v>54</v>
      </c>
      <c r="AE731">
        <v>13.601397117399999</v>
      </c>
      <c r="AF731">
        <v>1817</v>
      </c>
      <c r="AG731">
        <v>1816.6077691</v>
      </c>
      <c r="AH731">
        <v>136016.13613999999</v>
      </c>
      <c r="AI731">
        <v>51</v>
      </c>
      <c r="AJ731">
        <v>126791.044408455</v>
      </c>
      <c r="AK731" s="1">
        <f>intersection_ss_Lden___surface[[#This Row],[surf m2 bout ss]]/intersection_ss_Lden___surface[[#This Row],[Shape_Area]]</f>
        <v>0.93217649028017013</v>
      </c>
      <c r="AL731">
        <v>2601</v>
      </c>
      <c r="AM731">
        <f>intersection_ss_Lden___surface[[#This Row],[Population totale 2024 ss]]*intersection_ss_Lden___surface[[#This Row],[Part de la surface du qs dans le noise contour]]</f>
        <v>2424.5910512187224</v>
      </c>
    </row>
    <row r="732" spans="1:39" x14ac:dyDescent="0.3">
      <c r="A732">
        <v>762</v>
      </c>
      <c r="B732" t="s">
        <v>1127</v>
      </c>
      <c r="C732" t="s">
        <v>1128</v>
      </c>
      <c r="D732" t="s">
        <v>1129</v>
      </c>
      <c r="E732" t="s">
        <v>1129</v>
      </c>
      <c r="F732" t="s">
        <v>1117</v>
      </c>
      <c r="G732" t="s">
        <v>1079</v>
      </c>
      <c r="H732" t="s">
        <v>1080</v>
      </c>
      <c r="I732" t="s">
        <v>1081</v>
      </c>
      <c r="J732" t="s">
        <v>36</v>
      </c>
      <c r="K732">
        <v>21015</v>
      </c>
      <c r="L732" t="s">
        <v>1082</v>
      </c>
      <c r="M732" t="s">
        <v>1083</v>
      </c>
      <c r="N732" t="s">
        <v>1083</v>
      </c>
      <c r="O732">
        <v>21000</v>
      </c>
      <c r="P732" t="s">
        <v>46</v>
      </c>
      <c r="Q732" t="s">
        <v>47</v>
      </c>
      <c r="R732" t="s">
        <v>48</v>
      </c>
      <c r="T732" t="s">
        <v>36</v>
      </c>
      <c r="U732" t="s">
        <v>36</v>
      </c>
      <c r="V732" t="s">
        <v>36</v>
      </c>
      <c r="W732">
        <v>4000</v>
      </c>
      <c r="X732" t="s">
        <v>49</v>
      </c>
      <c r="Y732" t="s">
        <v>50</v>
      </c>
      <c r="Z732" t="s">
        <v>51</v>
      </c>
      <c r="AA732" t="s">
        <v>37</v>
      </c>
      <c r="AB732" t="s">
        <v>52</v>
      </c>
      <c r="AC732" t="s">
        <v>53</v>
      </c>
      <c r="AD732" t="s">
        <v>54</v>
      </c>
      <c r="AE732">
        <v>13.601397117399999</v>
      </c>
      <c r="AF732">
        <v>1817</v>
      </c>
      <c r="AG732">
        <v>1816.6077691</v>
      </c>
      <c r="AH732">
        <v>136016.13613999999</v>
      </c>
      <c r="AI732">
        <v>52</v>
      </c>
      <c r="AJ732">
        <v>9237.8110244087893</v>
      </c>
      <c r="AK732" s="1">
        <f>intersection_ss_Lden___surface[[#This Row],[surf m2 bout ss]]/intersection_ss_Lden___surface[[#This Row],[Shape_Area]]</f>
        <v>6.7917022836911103E-2</v>
      </c>
      <c r="AL732">
        <v>2601</v>
      </c>
      <c r="AM732">
        <f>intersection_ss_Lden___surface[[#This Row],[Population totale 2024 ss]]*intersection_ss_Lden___surface[[#This Row],[Part de la surface du qs dans le noise contour]]</f>
        <v>176.65217639880578</v>
      </c>
    </row>
    <row r="733" spans="1:39" x14ac:dyDescent="0.3">
      <c r="A733">
        <v>763</v>
      </c>
      <c r="B733" t="s">
        <v>1130</v>
      </c>
      <c r="C733" t="s">
        <v>1131</v>
      </c>
      <c r="D733" t="s">
        <v>1132</v>
      </c>
      <c r="E733" t="s">
        <v>1132</v>
      </c>
      <c r="F733" t="s">
        <v>1117</v>
      </c>
      <c r="G733" t="s">
        <v>1079</v>
      </c>
      <c r="H733" t="s">
        <v>1080</v>
      </c>
      <c r="I733" t="s">
        <v>1081</v>
      </c>
      <c r="J733" t="s">
        <v>36</v>
      </c>
      <c r="K733">
        <v>21015</v>
      </c>
      <c r="L733" t="s">
        <v>1082</v>
      </c>
      <c r="M733" t="s">
        <v>1083</v>
      </c>
      <c r="N733" t="s">
        <v>1083</v>
      </c>
      <c r="O733">
        <v>21000</v>
      </c>
      <c r="P733" t="s">
        <v>46</v>
      </c>
      <c r="Q733" t="s">
        <v>47</v>
      </c>
      <c r="R733" t="s">
        <v>48</v>
      </c>
      <c r="T733" t="s">
        <v>36</v>
      </c>
      <c r="U733" t="s">
        <v>36</v>
      </c>
      <c r="V733" t="s">
        <v>36</v>
      </c>
      <c r="W733">
        <v>4000</v>
      </c>
      <c r="X733" t="s">
        <v>49</v>
      </c>
      <c r="Y733" t="s">
        <v>50</v>
      </c>
      <c r="Z733" t="s">
        <v>51</v>
      </c>
      <c r="AA733" t="s">
        <v>37</v>
      </c>
      <c r="AB733" t="s">
        <v>52</v>
      </c>
      <c r="AC733" t="s">
        <v>53</v>
      </c>
      <c r="AD733" t="s">
        <v>54</v>
      </c>
      <c r="AE733">
        <v>7.6919306155999996</v>
      </c>
      <c r="AF733">
        <v>1128</v>
      </c>
      <c r="AG733">
        <v>1128.2305512099999</v>
      </c>
      <c r="AH733">
        <v>76920.529297300003</v>
      </c>
      <c r="AI733">
        <v>52</v>
      </c>
      <c r="AJ733">
        <v>76927.721258712903</v>
      </c>
      <c r="AK733" s="1">
        <f>intersection_ss_Lden___surface[[#This Row],[surf m2 bout ss]]/intersection_ss_Lden___surface[[#This Row],[Shape_Area]]</f>
        <v>1.0000934985949603</v>
      </c>
      <c r="AL733">
        <v>434</v>
      </c>
      <c r="AM733">
        <f>intersection_ss_Lden___surface[[#This Row],[Population totale 2024 ss]]*intersection_ss_Lden___surface[[#This Row],[Part de la surface du qs dans le noise contour]]</f>
        <v>434.04057839021277</v>
      </c>
    </row>
    <row r="734" spans="1:39" x14ac:dyDescent="0.3">
      <c r="A734">
        <v>764</v>
      </c>
      <c r="B734" t="s">
        <v>1133</v>
      </c>
      <c r="C734" t="s">
        <v>1134</v>
      </c>
      <c r="D734" t="s">
        <v>1135</v>
      </c>
      <c r="E734" t="s">
        <v>1135</v>
      </c>
      <c r="F734" t="s">
        <v>1136</v>
      </c>
      <c r="G734" t="s">
        <v>1079</v>
      </c>
      <c r="H734" t="s">
        <v>1080</v>
      </c>
      <c r="I734" t="s">
        <v>1081</v>
      </c>
      <c r="J734" t="s">
        <v>36</v>
      </c>
      <c r="K734">
        <v>21015</v>
      </c>
      <c r="L734" t="s">
        <v>1082</v>
      </c>
      <c r="M734" t="s">
        <v>1083</v>
      </c>
      <c r="N734" t="s">
        <v>1083</v>
      </c>
      <c r="O734">
        <v>21000</v>
      </c>
      <c r="P734" t="s">
        <v>46</v>
      </c>
      <c r="Q734" t="s">
        <v>47</v>
      </c>
      <c r="R734" t="s">
        <v>48</v>
      </c>
      <c r="T734" t="s">
        <v>36</v>
      </c>
      <c r="U734" t="s">
        <v>36</v>
      </c>
      <c r="V734" t="s">
        <v>36</v>
      </c>
      <c r="W734">
        <v>4000</v>
      </c>
      <c r="X734" t="s">
        <v>49</v>
      </c>
      <c r="Y734" t="s">
        <v>50</v>
      </c>
      <c r="Z734" t="s">
        <v>51</v>
      </c>
      <c r="AA734" t="s">
        <v>37</v>
      </c>
      <c r="AB734" t="s">
        <v>52</v>
      </c>
      <c r="AC734" t="s">
        <v>53</v>
      </c>
      <c r="AD734" t="s">
        <v>54</v>
      </c>
      <c r="AE734">
        <v>17.1543527619</v>
      </c>
      <c r="AF734">
        <v>1924</v>
      </c>
      <c r="AG734">
        <v>1923.9399176700001</v>
      </c>
      <c r="AH734">
        <v>171546.285841</v>
      </c>
      <c r="AI734">
        <v>46</v>
      </c>
      <c r="AJ734">
        <v>4644.7778561506402</v>
      </c>
      <c r="AK734" s="1">
        <f>intersection_ss_Lden___surface[[#This Row],[surf m2 bout ss]]/intersection_ss_Lden___surface[[#This Row],[Shape_Area]]</f>
        <v>2.7075945325075214E-2</v>
      </c>
      <c r="AL734">
        <v>3511</v>
      </c>
      <c r="AM734">
        <f>intersection_ss_Lden___surface[[#This Row],[Population totale 2024 ss]]*intersection_ss_Lden___surface[[#This Row],[Part de la surface du qs dans le noise contour]]</f>
        <v>95.06364403633907</v>
      </c>
    </row>
    <row r="735" spans="1:39" x14ac:dyDescent="0.3">
      <c r="A735">
        <v>765</v>
      </c>
      <c r="B735" t="s">
        <v>1133</v>
      </c>
      <c r="C735" t="s">
        <v>1134</v>
      </c>
      <c r="D735" t="s">
        <v>1135</v>
      </c>
      <c r="E735" t="s">
        <v>1135</v>
      </c>
      <c r="F735" t="s">
        <v>1136</v>
      </c>
      <c r="G735" t="s">
        <v>1079</v>
      </c>
      <c r="H735" t="s">
        <v>1080</v>
      </c>
      <c r="I735" t="s">
        <v>1081</v>
      </c>
      <c r="J735" t="s">
        <v>36</v>
      </c>
      <c r="K735">
        <v>21015</v>
      </c>
      <c r="L735" t="s">
        <v>1082</v>
      </c>
      <c r="M735" t="s">
        <v>1083</v>
      </c>
      <c r="N735" t="s">
        <v>1083</v>
      </c>
      <c r="O735">
        <v>21000</v>
      </c>
      <c r="P735" t="s">
        <v>46</v>
      </c>
      <c r="Q735" t="s">
        <v>47</v>
      </c>
      <c r="R735" t="s">
        <v>48</v>
      </c>
      <c r="T735" t="s">
        <v>36</v>
      </c>
      <c r="U735" t="s">
        <v>36</v>
      </c>
      <c r="V735" t="s">
        <v>36</v>
      </c>
      <c r="W735">
        <v>4000</v>
      </c>
      <c r="X735" t="s">
        <v>49</v>
      </c>
      <c r="Y735" t="s">
        <v>50</v>
      </c>
      <c r="Z735" t="s">
        <v>51</v>
      </c>
      <c r="AA735" t="s">
        <v>37</v>
      </c>
      <c r="AB735" t="s">
        <v>52</v>
      </c>
      <c r="AC735" t="s">
        <v>53</v>
      </c>
      <c r="AD735" t="s">
        <v>54</v>
      </c>
      <c r="AE735">
        <v>17.1543527619</v>
      </c>
      <c r="AF735">
        <v>1924</v>
      </c>
      <c r="AG735">
        <v>1923.9399176700001</v>
      </c>
      <c r="AH735">
        <v>171546.285841</v>
      </c>
      <c r="AI735">
        <v>47</v>
      </c>
      <c r="AJ735">
        <v>73600.094949839404</v>
      </c>
      <c r="AK735" s="1">
        <f>intersection_ss_Lden___surface[[#This Row],[surf m2 bout ss]]/intersection_ss_Lden___surface[[#This Row],[Shape_Area]]</f>
        <v>0.42903927991805457</v>
      </c>
      <c r="AL735">
        <v>3511</v>
      </c>
      <c r="AM735">
        <f>intersection_ss_Lden___surface[[#This Row],[Population totale 2024 ss]]*intersection_ss_Lden___surface[[#This Row],[Part de la surface du qs dans le noise contour]]</f>
        <v>1506.3569117922896</v>
      </c>
    </row>
    <row r="736" spans="1:39" x14ac:dyDescent="0.3">
      <c r="A736">
        <v>766</v>
      </c>
      <c r="B736" t="s">
        <v>1133</v>
      </c>
      <c r="C736" t="s">
        <v>1134</v>
      </c>
      <c r="D736" t="s">
        <v>1135</v>
      </c>
      <c r="E736" t="s">
        <v>1135</v>
      </c>
      <c r="F736" t="s">
        <v>1136</v>
      </c>
      <c r="G736" t="s">
        <v>1079</v>
      </c>
      <c r="H736" t="s">
        <v>1080</v>
      </c>
      <c r="I736" t="s">
        <v>1081</v>
      </c>
      <c r="J736" t="s">
        <v>36</v>
      </c>
      <c r="K736">
        <v>21015</v>
      </c>
      <c r="L736" t="s">
        <v>1082</v>
      </c>
      <c r="M736" t="s">
        <v>1083</v>
      </c>
      <c r="N736" t="s">
        <v>1083</v>
      </c>
      <c r="O736">
        <v>21000</v>
      </c>
      <c r="P736" t="s">
        <v>46</v>
      </c>
      <c r="Q736" t="s">
        <v>47</v>
      </c>
      <c r="R736" t="s">
        <v>48</v>
      </c>
      <c r="T736" t="s">
        <v>36</v>
      </c>
      <c r="U736" t="s">
        <v>36</v>
      </c>
      <c r="V736" t="s">
        <v>36</v>
      </c>
      <c r="W736">
        <v>4000</v>
      </c>
      <c r="X736" t="s">
        <v>49</v>
      </c>
      <c r="Y736" t="s">
        <v>50</v>
      </c>
      <c r="Z736" t="s">
        <v>51</v>
      </c>
      <c r="AA736" t="s">
        <v>37</v>
      </c>
      <c r="AB736" t="s">
        <v>52</v>
      </c>
      <c r="AC736" t="s">
        <v>53</v>
      </c>
      <c r="AD736" t="s">
        <v>54</v>
      </c>
      <c r="AE736">
        <v>17.1543527619</v>
      </c>
      <c r="AF736">
        <v>1924</v>
      </c>
      <c r="AG736">
        <v>1923.9399176700001</v>
      </c>
      <c r="AH736">
        <v>171546.285841</v>
      </c>
      <c r="AI736">
        <v>48</v>
      </c>
      <c r="AJ736">
        <v>93318.016488010297</v>
      </c>
      <c r="AK736" s="1">
        <f>intersection_ss_Lden___surface[[#This Row],[surf m2 bout ss]]/intersection_ss_Lden___surface[[#This Row],[Shape_Area]]</f>
        <v>0.54398156177221679</v>
      </c>
      <c r="AL736">
        <v>3511</v>
      </c>
      <c r="AM736">
        <f>intersection_ss_Lden___surface[[#This Row],[Population totale 2024 ss]]*intersection_ss_Lden___surface[[#This Row],[Part de la surface du qs dans le noise contour]]</f>
        <v>1909.9192633822531</v>
      </c>
    </row>
    <row r="737" spans="1:39" x14ac:dyDescent="0.3">
      <c r="A737">
        <v>767</v>
      </c>
      <c r="B737" t="s">
        <v>1137</v>
      </c>
      <c r="C737" t="s">
        <v>1138</v>
      </c>
      <c r="D737" t="s">
        <v>1139</v>
      </c>
      <c r="E737" t="s">
        <v>1139</v>
      </c>
      <c r="F737" t="s">
        <v>1136</v>
      </c>
      <c r="G737" t="s">
        <v>1079</v>
      </c>
      <c r="H737" t="s">
        <v>1080</v>
      </c>
      <c r="I737" t="s">
        <v>1081</v>
      </c>
      <c r="J737" t="s">
        <v>36</v>
      </c>
      <c r="K737">
        <v>21015</v>
      </c>
      <c r="L737" t="s">
        <v>1082</v>
      </c>
      <c r="M737" t="s">
        <v>1083</v>
      </c>
      <c r="N737" t="s">
        <v>1083</v>
      </c>
      <c r="O737">
        <v>21000</v>
      </c>
      <c r="P737" t="s">
        <v>46</v>
      </c>
      <c r="Q737" t="s">
        <v>47</v>
      </c>
      <c r="R737" t="s">
        <v>48</v>
      </c>
      <c r="T737" t="s">
        <v>36</v>
      </c>
      <c r="U737" t="s">
        <v>36</v>
      </c>
      <c r="V737" t="s">
        <v>36</v>
      </c>
      <c r="W737">
        <v>4000</v>
      </c>
      <c r="X737" t="s">
        <v>49</v>
      </c>
      <c r="Y737" t="s">
        <v>50</v>
      </c>
      <c r="Z737" t="s">
        <v>51</v>
      </c>
      <c r="AA737" t="s">
        <v>37</v>
      </c>
      <c r="AB737" t="s">
        <v>52</v>
      </c>
      <c r="AC737" t="s">
        <v>53</v>
      </c>
      <c r="AD737" t="s">
        <v>54</v>
      </c>
      <c r="AE737">
        <v>14.2436771883</v>
      </c>
      <c r="AF737">
        <v>1688</v>
      </c>
      <c r="AG737">
        <v>1688.43892336</v>
      </c>
      <c r="AH737">
        <v>142439.07603900001</v>
      </c>
      <c r="AI737">
        <v>47</v>
      </c>
      <c r="AJ737">
        <v>3084.02409560978</v>
      </c>
      <c r="AK737" s="1">
        <f>intersection_ss_Lden___surface[[#This Row],[surf m2 bout ss]]/intersection_ss_Lden___surface[[#This Row],[Shape_Area]]</f>
        <v>2.1651531176496611E-2</v>
      </c>
      <c r="AL737">
        <v>2423</v>
      </c>
      <c r="AM737">
        <f>intersection_ss_Lden___surface[[#This Row],[Population totale 2024 ss]]*intersection_ss_Lden___surface[[#This Row],[Part de la surface du qs dans le noise contour]]</f>
        <v>52.461660040651289</v>
      </c>
    </row>
    <row r="738" spans="1:39" x14ac:dyDescent="0.3">
      <c r="A738">
        <v>768</v>
      </c>
      <c r="B738" t="s">
        <v>1137</v>
      </c>
      <c r="C738" t="s">
        <v>1138</v>
      </c>
      <c r="D738" t="s">
        <v>1139</v>
      </c>
      <c r="E738" t="s">
        <v>1139</v>
      </c>
      <c r="F738" t="s">
        <v>1136</v>
      </c>
      <c r="G738" t="s">
        <v>1079</v>
      </c>
      <c r="H738" t="s">
        <v>1080</v>
      </c>
      <c r="I738" t="s">
        <v>1081</v>
      </c>
      <c r="J738" t="s">
        <v>36</v>
      </c>
      <c r="K738">
        <v>21015</v>
      </c>
      <c r="L738" t="s">
        <v>1082</v>
      </c>
      <c r="M738" t="s">
        <v>1083</v>
      </c>
      <c r="N738" t="s">
        <v>1083</v>
      </c>
      <c r="O738">
        <v>21000</v>
      </c>
      <c r="P738" t="s">
        <v>46</v>
      </c>
      <c r="Q738" t="s">
        <v>47</v>
      </c>
      <c r="R738" t="s">
        <v>48</v>
      </c>
      <c r="T738" t="s">
        <v>36</v>
      </c>
      <c r="U738" t="s">
        <v>36</v>
      </c>
      <c r="V738" t="s">
        <v>36</v>
      </c>
      <c r="W738">
        <v>4000</v>
      </c>
      <c r="X738" t="s">
        <v>49</v>
      </c>
      <c r="Y738" t="s">
        <v>50</v>
      </c>
      <c r="Z738" t="s">
        <v>51</v>
      </c>
      <c r="AA738" t="s">
        <v>37</v>
      </c>
      <c r="AB738" t="s">
        <v>52</v>
      </c>
      <c r="AC738" t="s">
        <v>53</v>
      </c>
      <c r="AD738" t="s">
        <v>54</v>
      </c>
      <c r="AE738">
        <v>14.2436771883</v>
      </c>
      <c r="AF738">
        <v>1688</v>
      </c>
      <c r="AG738">
        <v>1688.43892336</v>
      </c>
      <c r="AH738">
        <v>142439.07603900001</v>
      </c>
      <c r="AI738">
        <v>48</v>
      </c>
      <c r="AJ738">
        <v>92033.1812428907</v>
      </c>
      <c r="AK738" s="1">
        <f>intersection_ss_Lden___surface[[#This Row],[surf m2 bout ss]]/intersection_ss_Lden___surface[[#This Row],[Shape_Area]]</f>
        <v>0.6461231271795943</v>
      </c>
      <c r="AL738">
        <v>2423</v>
      </c>
      <c r="AM738">
        <f>intersection_ss_Lden___surface[[#This Row],[Population totale 2024 ss]]*intersection_ss_Lden___surface[[#This Row],[Part de la surface du qs dans le noise contour]]</f>
        <v>1565.556337156157</v>
      </c>
    </row>
    <row r="739" spans="1:39" x14ac:dyDescent="0.3">
      <c r="A739">
        <v>769</v>
      </c>
      <c r="B739" t="s">
        <v>1137</v>
      </c>
      <c r="C739" t="s">
        <v>1138</v>
      </c>
      <c r="D739" t="s">
        <v>1139</v>
      </c>
      <c r="E739" t="s">
        <v>1139</v>
      </c>
      <c r="F739" t="s">
        <v>1136</v>
      </c>
      <c r="G739" t="s">
        <v>1079</v>
      </c>
      <c r="H739" t="s">
        <v>1080</v>
      </c>
      <c r="I739" t="s">
        <v>1081</v>
      </c>
      <c r="J739" t="s">
        <v>36</v>
      </c>
      <c r="K739">
        <v>21015</v>
      </c>
      <c r="L739" t="s">
        <v>1082</v>
      </c>
      <c r="M739" t="s">
        <v>1083</v>
      </c>
      <c r="N739" t="s">
        <v>1083</v>
      </c>
      <c r="O739">
        <v>21000</v>
      </c>
      <c r="P739" t="s">
        <v>46</v>
      </c>
      <c r="Q739" t="s">
        <v>47</v>
      </c>
      <c r="R739" t="s">
        <v>48</v>
      </c>
      <c r="T739" t="s">
        <v>36</v>
      </c>
      <c r="U739" t="s">
        <v>36</v>
      </c>
      <c r="V739" t="s">
        <v>36</v>
      </c>
      <c r="W739">
        <v>4000</v>
      </c>
      <c r="X739" t="s">
        <v>49</v>
      </c>
      <c r="Y739" t="s">
        <v>50</v>
      </c>
      <c r="Z739" t="s">
        <v>51</v>
      </c>
      <c r="AA739" t="s">
        <v>37</v>
      </c>
      <c r="AB739" t="s">
        <v>52</v>
      </c>
      <c r="AC739" t="s">
        <v>53</v>
      </c>
      <c r="AD739" t="s">
        <v>54</v>
      </c>
      <c r="AE739">
        <v>14.2436771883</v>
      </c>
      <c r="AF739">
        <v>1688</v>
      </c>
      <c r="AG739">
        <v>1688.43892336</v>
      </c>
      <c r="AH739">
        <v>142439.07603900001</v>
      </c>
      <c r="AI739">
        <v>49</v>
      </c>
      <c r="AJ739">
        <v>47335.679105251998</v>
      </c>
      <c r="AK739" s="1">
        <f>intersection_ss_Lden___surface[[#This Row],[surf m2 bout ss]]/intersection_ss_Lden___surface[[#This Row],[Shape_Area]]</f>
        <v>0.33232228417636905</v>
      </c>
      <c r="AL739">
        <v>2423</v>
      </c>
      <c r="AM739">
        <f>intersection_ss_Lden___surface[[#This Row],[Population totale 2024 ss]]*intersection_ss_Lden___surface[[#This Row],[Part de la surface du qs dans le noise contour]]</f>
        <v>805.21689455934222</v>
      </c>
    </row>
    <row r="740" spans="1:39" x14ac:dyDescent="0.3">
      <c r="A740">
        <v>770</v>
      </c>
      <c r="B740" t="s">
        <v>1140</v>
      </c>
      <c r="C740" t="s">
        <v>1141</v>
      </c>
      <c r="D740" t="s">
        <v>1142</v>
      </c>
      <c r="E740" t="s">
        <v>1142</v>
      </c>
      <c r="F740" t="s">
        <v>1136</v>
      </c>
      <c r="G740" t="s">
        <v>1079</v>
      </c>
      <c r="H740" t="s">
        <v>1080</v>
      </c>
      <c r="I740" t="s">
        <v>1081</v>
      </c>
      <c r="J740" t="s">
        <v>36</v>
      </c>
      <c r="K740">
        <v>21015</v>
      </c>
      <c r="L740" t="s">
        <v>1082</v>
      </c>
      <c r="M740" t="s">
        <v>1083</v>
      </c>
      <c r="N740" t="s">
        <v>1083</v>
      </c>
      <c r="O740">
        <v>21000</v>
      </c>
      <c r="P740" t="s">
        <v>46</v>
      </c>
      <c r="Q740" t="s">
        <v>47</v>
      </c>
      <c r="R740" t="s">
        <v>48</v>
      </c>
      <c r="T740" t="s">
        <v>36</v>
      </c>
      <c r="U740" t="s">
        <v>36</v>
      </c>
      <c r="V740" t="s">
        <v>36</v>
      </c>
      <c r="W740">
        <v>4000</v>
      </c>
      <c r="X740" t="s">
        <v>49</v>
      </c>
      <c r="Y740" t="s">
        <v>50</v>
      </c>
      <c r="Z740" t="s">
        <v>51</v>
      </c>
      <c r="AA740" t="s">
        <v>37</v>
      </c>
      <c r="AB740" t="s">
        <v>52</v>
      </c>
      <c r="AC740" t="s">
        <v>53</v>
      </c>
      <c r="AD740" t="s">
        <v>54</v>
      </c>
      <c r="AE740">
        <v>16.5411010268</v>
      </c>
      <c r="AF740">
        <v>1821</v>
      </c>
      <c r="AG740">
        <v>1820.62416884</v>
      </c>
      <c r="AH740">
        <v>165413.66284100001</v>
      </c>
      <c r="AI740">
        <v>46</v>
      </c>
      <c r="AJ740">
        <v>62384.7166449547</v>
      </c>
      <c r="AK740" s="1">
        <f>intersection_ss_Lden___surface[[#This Row],[surf m2 bout ss]]/intersection_ss_Lden___surface[[#This Row],[Shape_Area]]</f>
        <v>0.37714367467287474</v>
      </c>
      <c r="AL740">
        <v>2899</v>
      </c>
      <c r="AM740">
        <f>intersection_ss_Lden___surface[[#This Row],[Population totale 2024 ss]]*intersection_ss_Lden___surface[[#This Row],[Part de la surface du qs dans le noise contour]]</f>
        <v>1093.3395128766638</v>
      </c>
    </row>
    <row r="741" spans="1:39" x14ac:dyDescent="0.3">
      <c r="A741">
        <v>771</v>
      </c>
      <c r="B741" t="s">
        <v>1140</v>
      </c>
      <c r="C741" t="s">
        <v>1141</v>
      </c>
      <c r="D741" t="s">
        <v>1142</v>
      </c>
      <c r="E741" t="s">
        <v>1142</v>
      </c>
      <c r="F741" t="s">
        <v>1136</v>
      </c>
      <c r="G741" t="s">
        <v>1079</v>
      </c>
      <c r="H741" t="s">
        <v>1080</v>
      </c>
      <c r="I741" t="s">
        <v>1081</v>
      </c>
      <c r="J741" t="s">
        <v>36</v>
      </c>
      <c r="K741">
        <v>21015</v>
      </c>
      <c r="L741" t="s">
        <v>1082</v>
      </c>
      <c r="M741" t="s">
        <v>1083</v>
      </c>
      <c r="N741" t="s">
        <v>1083</v>
      </c>
      <c r="O741">
        <v>21000</v>
      </c>
      <c r="P741" t="s">
        <v>46</v>
      </c>
      <c r="Q741" t="s">
        <v>47</v>
      </c>
      <c r="R741" t="s">
        <v>48</v>
      </c>
      <c r="T741" t="s">
        <v>36</v>
      </c>
      <c r="U741" t="s">
        <v>36</v>
      </c>
      <c r="V741" t="s">
        <v>36</v>
      </c>
      <c r="W741">
        <v>4000</v>
      </c>
      <c r="X741" t="s">
        <v>49</v>
      </c>
      <c r="Y741" t="s">
        <v>50</v>
      </c>
      <c r="Z741" t="s">
        <v>51</v>
      </c>
      <c r="AA741" t="s">
        <v>37</v>
      </c>
      <c r="AB741" t="s">
        <v>52</v>
      </c>
      <c r="AC741" t="s">
        <v>53</v>
      </c>
      <c r="AD741" t="s">
        <v>54</v>
      </c>
      <c r="AE741">
        <v>16.5411010268</v>
      </c>
      <c r="AF741">
        <v>1821</v>
      </c>
      <c r="AG741">
        <v>1820.62416884</v>
      </c>
      <c r="AH741">
        <v>165413.66284100001</v>
      </c>
      <c r="AI741">
        <v>47</v>
      </c>
      <c r="AJ741">
        <v>103044.993302106</v>
      </c>
      <c r="AK741" s="1">
        <f>intersection_ss_Lden___surface[[#This Row],[surf m2 bout ss]]/intersection_ss_Lden___surface[[#This Row],[Shape_Area]]</f>
        <v>0.62295333730174129</v>
      </c>
      <c r="AL741">
        <v>2899</v>
      </c>
      <c r="AM741">
        <f>intersection_ss_Lden___surface[[#This Row],[Population totale 2024 ss]]*intersection_ss_Lden___surface[[#This Row],[Part de la surface du qs dans le noise contour]]</f>
        <v>1805.9417248377481</v>
      </c>
    </row>
    <row r="742" spans="1:39" x14ac:dyDescent="0.3">
      <c r="A742">
        <v>772</v>
      </c>
      <c r="B742" t="s">
        <v>1143</v>
      </c>
      <c r="C742" t="s">
        <v>1144</v>
      </c>
      <c r="D742" t="s">
        <v>1145</v>
      </c>
      <c r="E742" t="s">
        <v>1145</v>
      </c>
      <c r="F742" t="s">
        <v>1136</v>
      </c>
      <c r="G742" t="s">
        <v>1079</v>
      </c>
      <c r="H742" t="s">
        <v>1080</v>
      </c>
      <c r="I742" t="s">
        <v>1081</v>
      </c>
      <c r="J742" t="s">
        <v>36</v>
      </c>
      <c r="K742">
        <v>21015</v>
      </c>
      <c r="L742" t="s">
        <v>1082</v>
      </c>
      <c r="M742" t="s">
        <v>1083</v>
      </c>
      <c r="N742" t="s">
        <v>1083</v>
      </c>
      <c r="O742">
        <v>21000</v>
      </c>
      <c r="P742" t="s">
        <v>46</v>
      </c>
      <c r="Q742" t="s">
        <v>47</v>
      </c>
      <c r="R742" t="s">
        <v>48</v>
      </c>
      <c r="T742" t="s">
        <v>36</v>
      </c>
      <c r="U742" t="s">
        <v>36</v>
      </c>
      <c r="V742" t="s">
        <v>36</v>
      </c>
      <c r="W742">
        <v>4000</v>
      </c>
      <c r="X742" t="s">
        <v>49</v>
      </c>
      <c r="Y742" t="s">
        <v>50</v>
      </c>
      <c r="Z742" t="s">
        <v>51</v>
      </c>
      <c r="AA742" t="s">
        <v>37</v>
      </c>
      <c r="AB742" t="s">
        <v>52</v>
      </c>
      <c r="AC742" t="s">
        <v>53</v>
      </c>
      <c r="AD742" t="s">
        <v>54</v>
      </c>
      <c r="AE742">
        <v>10.4163775706</v>
      </c>
      <c r="AF742">
        <v>1371</v>
      </c>
      <c r="AG742">
        <v>1371.0682629400001</v>
      </c>
      <c r="AH742">
        <v>104165.455508</v>
      </c>
      <c r="AI742">
        <v>47</v>
      </c>
      <c r="AJ742">
        <v>34210.0787270609</v>
      </c>
      <c r="AK742" s="1">
        <f>intersection_ss_Lden___surface[[#This Row],[surf m2 bout ss]]/intersection_ss_Lden___surface[[#This Row],[Shape_Area]]</f>
        <v>0.32842057436626421</v>
      </c>
      <c r="AL742">
        <v>2342</v>
      </c>
      <c r="AM742">
        <f>intersection_ss_Lden___surface[[#This Row],[Population totale 2024 ss]]*intersection_ss_Lden___surface[[#This Row],[Part de la surface du qs dans le noise contour]]</f>
        <v>769.16098516579075</v>
      </c>
    </row>
    <row r="743" spans="1:39" x14ac:dyDescent="0.3">
      <c r="A743">
        <v>773</v>
      </c>
      <c r="B743" t="s">
        <v>1143</v>
      </c>
      <c r="C743" t="s">
        <v>1144</v>
      </c>
      <c r="D743" t="s">
        <v>1145</v>
      </c>
      <c r="E743" t="s">
        <v>1145</v>
      </c>
      <c r="F743" t="s">
        <v>1136</v>
      </c>
      <c r="G743" t="s">
        <v>1079</v>
      </c>
      <c r="H743" t="s">
        <v>1080</v>
      </c>
      <c r="I743" t="s">
        <v>1081</v>
      </c>
      <c r="J743" t="s">
        <v>36</v>
      </c>
      <c r="K743">
        <v>21015</v>
      </c>
      <c r="L743" t="s">
        <v>1082</v>
      </c>
      <c r="M743" t="s">
        <v>1083</v>
      </c>
      <c r="N743" t="s">
        <v>1083</v>
      </c>
      <c r="O743">
        <v>21000</v>
      </c>
      <c r="P743" t="s">
        <v>46</v>
      </c>
      <c r="Q743" t="s">
        <v>47</v>
      </c>
      <c r="R743" t="s">
        <v>48</v>
      </c>
      <c r="T743" t="s">
        <v>36</v>
      </c>
      <c r="U743" t="s">
        <v>36</v>
      </c>
      <c r="V743" t="s">
        <v>36</v>
      </c>
      <c r="W743">
        <v>4000</v>
      </c>
      <c r="X743" t="s">
        <v>49</v>
      </c>
      <c r="Y743" t="s">
        <v>50</v>
      </c>
      <c r="Z743" t="s">
        <v>51</v>
      </c>
      <c r="AA743" t="s">
        <v>37</v>
      </c>
      <c r="AB743" t="s">
        <v>52</v>
      </c>
      <c r="AC743" t="s">
        <v>53</v>
      </c>
      <c r="AD743" t="s">
        <v>54</v>
      </c>
      <c r="AE743">
        <v>10.4163775706</v>
      </c>
      <c r="AF743">
        <v>1371</v>
      </c>
      <c r="AG743">
        <v>1371.0682629400001</v>
      </c>
      <c r="AH743">
        <v>104165.455508</v>
      </c>
      <c r="AI743">
        <v>48</v>
      </c>
      <c r="AJ743">
        <v>69854.857484897599</v>
      </c>
      <c r="AK743" s="1">
        <f>intersection_ss_Lden___surface[[#This Row],[surf m2 bout ss]]/intersection_ss_Lden___surface[[#This Row],[Shape_Area]]</f>
        <v>0.67061442917160463</v>
      </c>
      <c r="AL743">
        <v>2342</v>
      </c>
      <c r="AM743">
        <f>intersection_ss_Lden___surface[[#This Row],[Population totale 2024 ss]]*intersection_ss_Lden___surface[[#This Row],[Part de la surface du qs dans le noise contour]]</f>
        <v>1570.5789931198981</v>
      </c>
    </row>
    <row r="744" spans="1:39" x14ac:dyDescent="0.3">
      <c r="A744">
        <v>774</v>
      </c>
      <c r="B744" t="s">
        <v>1143</v>
      </c>
      <c r="C744" t="s">
        <v>1144</v>
      </c>
      <c r="D744" t="s">
        <v>1145</v>
      </c>
      <c r="E744" t="s">
        <v>1145</v>
      </c>
      <c r="F744" t="s">
        <v>1136</v>
      </c>
      <c r="G744" t="s">
        <v>1079</v>
      </c>
      <c r="H744" t="s">
        <v>1080</v>
      </c>
      <c r="I744" t="s">
        <v>1081</v>
      </c>
      <c r="J744" t="s">
        <v>36</v>
      </c>
      <c r="K744">
        <v>21015</v>
      </c>
      <c r="L744" t="s">
        <v>1082</v>
      </c>
      <c r="M744" t="s">
        <v>1083</v>
      </c>
      <c r="N744" t="s">
        <v>1083</v>
      </c>
      <c r="O744">
        <v>21000</v>
      </c>
      <c r="P744" t="s">
        <v>46</v>
      </c>
      <c r="Q744" t="s">
        <v>47</v>
      </c>
      <c r="R744" t="s">
        <v>48</v>
      </c>
      <c r="T744" t="s">
        <v>36</v>
      </c>
      <c r="U744" t="s">
        <v>36</v>
      </c>
      <c r="V744" t="s">
        <v>36</v>
      </c>
      <c r="W744">
        <v>4000</v>
      </c>
      <c r="X744" t="s">
        <v>49</v>
      </c>
      <c r="Y744" t="s">
        <v>50</v>
      </c>
      <c r="Z744" t="s">
        <v>51</v>
      </c>
      <c r="AA744" t="s">
        <v>37</v>
      </c>
      <c r="AB744" t="s">
        <v>52</v>
      </c>
      <c r="AC744" t="s">
        <v>53</v>
      </c>
      <c r="AD744" t="s">
        <v>54</v>
      </c>
      <c r="AE744">
        <v>10.4163775706</v>
      </c>
      <c r="AF744">
        <v>1371</v>
      </c>
      <c r="AG744">
        <v>1371.0682629400001</v>
      </c>
      <c r="AH744">
        <v>104165.455508</v>
      </c>
      <c r="AI744">
        <v>49</v>
      </c>
      <c r="AJ744">
        <v>110.547690391541</v>
      </c>
      <c r="AK744" s="1">
        <f>intersection_ss_Lden___surface[[#This Row],[surf m2 bout ss]]/intersection_ss_Lden___surface[[#This Row],[Shape_Area]]</f>
        <v>1.0612701672777769E-3</v>
      </c>
      <c r="AL744">
        <v>2342</v>
      </c>
      <c r="AM744">
        <f>intersection_ss_Lden___surface[[#This Row],[Population totale 2024 ss]]*intersection_ss_Lden___surface[[#This Row],[Part de la surface du qs dans le noise contour]]</f>
        <v>2.4854947317645535</v>
      </c>
    </row>
    <row r="745" spans="1:39" x14ac:dyDescent="0.3">
      <c r="A745">
        <v>775</v>
      </c>
      <c r="B745" t="s">
        <v>1146</v>
      </c>
      <c r="C745" t="s">
        <v>1147</v>
      </c>
      <c r="D745" t="s">
        <v>1148</v>
      </c>
      <c r="E745" t="s">
        <v>1148</v>
      </c>
      <c r="F745" t="s">
        <v>1136</v>
      </c>
      <c r="G745" t="s">
        <v>1079</v>
      </c>
      <c r="H745" t="s">
        <v>1080</v>
      </c>
      <c r="I745" t="s">
        <v>1081</v>
      </c>
      <c r="J745" t="s">
        <v>36</v>
      </c>
      <c r="K745">
        <v>21015</v>
      </c>
      <c r="L745" t="s">
        <v>1082</v>
      </c>
      <c r="M745" t="s">
        <v>1083</v>
      </c>
      <c r="N745" t="s">
        <v>1083</v>
      </c>
      <c r="O745">
        <v>21000</v>
      </c>
      <c r="P745" t="s">
        <v>46</v>
      </c>
      <c r="Q745" t="s">
        <v>47</v>
      </c>
      <c r="R745" t="s">
        <v>48</v>
      </c>
      <c r="T745" t="s">
        <v>36</v>
      </c>
      <c r="U745" t="s">
        <v>36</v>
      </c>
      <c r="V745" t="s">
        <v>36</v>
      </c>
      <c r="W745">
        <v>4000</v>
      </c>
      <c r="X745" t="s">
        <v>49</v>
      </c>
      <c r="Y745" t="s">
        <v>50</v>
      </c>
      <c r="Z745" t="s">
        <v>51</v>
      </c>
      <c r="AA745" t="s">
        <v>37</v>
      </c>
      <c r="AB745" t="s">
        <v>52</v>
      </c>
      <c r="AC745" t="s">
        <v>53</v>
      </c>
      <c r="AD745" t="s">
        <v>54</v>
      </c>
      <c r="AE745">
        <v>8.2675398923499994</v>
      </c>
      <c r="AF745">
        <v>1514</v>
      </c>
      <c r="AG745">
        <v>1514.02520379</v>
      </c>
      <c r="AH745">
        <v>82676.723309299996</v>
      </c>
      <c r="AI745">
        <v>48</v>
      </c>
      <c r="AJ745">
        <v>23402.306810791601</v>
      </c>
      <c r="AK745" s="1">
        <f>intersection_ss_Lden___surface[[#This Row],[surf m2 bout ss]]/intersection_ss_Lden___surface[[#This Row],[Shape_Area]]</f>
        <v>0.28305798626345852</v>
      </c>
      <c r="AL745">
        <v>1551</v>
      </c>
      <c r="AM745">
        <f>intersection_ss_Lden___surface[[#This Row],[Population totale 2024 ss]]*intersection_ss_Lden___surface[[#This Row],[Part de la surface du qs dans le noise contour]]</f>
        <v>439.02293669462415</v>
      </c>
    </row>
    <row r="746" spans="1:39" x14ac:dyDescent="0.3">
      <c r="A746">
        <v>776</v>
      </c>
      <c r="B746" t="s">
        <v>1146</v>
      </c>
      <c r="C746" t="s">
        <v>1147</v>
      </c>
      <c r="D746" t="s">
        <v>1148</v>
      </c>
      <c r="E746" t="s">
        <v>1148</v>
      </c>
      <c r="F746" t="s">
        <v>1136</v>
      </c>
      <c r="G746" t="s">
        <v>1079</v>
      </c>
      <c r="H746" t="s">
        <v>1080</v>
      </c>
      <c r="I746" t="s">
        <v>1081</v>
      </c>
      <c r="J746" t="s">
        <v>36</v>
      </c>
      <c r="K746">
        <v>21015</v>
      </c>
      <c r="L746" t="s">
        <v>1082</v>
      </c>
      <c r="M746" t="s">
        <v>1083</v>
      </c>
      <c r="N746" t="s">
        <v>1083</v>
      </c>
      <c r="O746">
        <v>21000</v>
      </c>
      <c r="P746" t="s">
        <v>46</v>
      </c>
      <c r="Q746" t="s">
        <v>47</v>
      </c>
      <c r="R746" t="s">
        <v>48</v>
      </c>
      <c r="T746" t="s">
        <v>36</v>
      </c>
      <c r="U746" t="s">
        <v>36</v>
      </c>
      <c r="V746" t="s">
        <v>36</v>
      </c>
      <c r="W746">
        <v>4000</v>
      </c>
      <c r="X746" t="s">
        <v>49</v>
      </c>
      <c r="Y746" t="s">
        <v>50</v>
      </c>
      <c r="Z746" t="s">
        <v>51</v>
      </c>
      <c r="AA746" t="s">
        <v>37</v>
      </c>
      <c r="AB746" t="s">
        <v>52</v>
      </c>
      <c r="AC746" t="s">
        <v>53</v>
      </c>
      <c r="AD746" t="s">
        <v>54</v>
      </c>
      <c r="AE746">
        <v>8.2675398923499994</v>
      </c>
      <c r="AF746">
        <v>1514</v>
      </c>
      <c r="AG746">
        <v>1514.02520379</v>
      </c>
      <c r="AH746">
        <v>82676.723309299996</v>
      </c>
      <c r="AI746">
        <v>49</v>
      </c>
      <c r="AJ746">
        <v>59188.450127908</v>
      </c>
      <c r="AK746" s="1">
        <f>intersection_ss_Lden___surface[[#This Row],[surf m2 bout ss]]/intersection_ss_Lden___surface[[#This Row],[Shape_Area]]</f>
        <v>0.71590222445656737</v>
      </c>
      <c r="AL746">
        <v>1551</v>
      </c>
      <c r="AM746">
        <f>intersection_ss_Lden___surface[[#This Row],[Population totale 2024 ss]]*intersection_ss_Lden___surface[[#This Row],[Part de la surface du qs dans le noise contour]]</f>
        <v>1110.364350132136</v>
      </c>
    </row>
    <row r="747" spans="1:39" x14ac:dyDescent="0.3">
      <c r="A747">
        <v>777</v>
      </c>
      <c r="B747" t="s">
        <v>1146</v>
      </c>
      <c r="C747" t="s">
        <v>1147</v>
      </c>
      <c r="D747" t="s">
        <v>1148</v>
      </c>
      <c r="E747" t="s">
        <v>1148</v>
      </c>
      <c r="F747" t="s">
        <v>1136</v>
      </c>
      <c r="G747" t="s">
        <v>1079</v>
      </c>
      <c r="H747" t="s">
        <v>1080</v>
      </c>
      <c r="I747" t="s">
        <v>1081</v>
      </c>
      <c r="J747" t="s">
        <v>36</v>
      </c>
      <c r="K747">
        <v>21015</v>
      </c>
      <c r="L747" t="s">
        <v>1082</v>
      </c>
      <c r="M747" t="s">
        <v>1083</v>
      </c>
      <c r="N747" t="s">
        <v>1083</v>
      </c>
      <c r="O747">
        <v>21000</v>
      </c>
      <c r="P747" t="s">
        <v>46</v>
      </c>
      <c r="Q747" t="s">
        <v>47</v>
      </c>
      <c r="R747" t="s">
        <v>48</v>
      </c>
      <c r="T747" t="s">
        <v>36</v>
      </c>
      <c r="U747" t="s">
        <v>36</v>
      </c>
      <c r="V747" t="s">
        <v>36</v>
      </c>
      <c r="W747">
        <v>4000</v>
      </c>
      <c r="X747" t="s">
        <v>49</v>
      </c>
      <c r="Y747" t="s">
        <v>50</v>
      </c>
      <c r="Z747" t="s">
        <v>51</v>
      </c>
      <c r="AA747" t="s">
        <v>37</v>
      </c>
      <c r="AB747" t="s">
        <v>52</v>
      </c>
      <c r="AC747" t="s">
        <v>53</v>
      </c>
      <c r="AD747" t="s">
        <v>54</v>
      </c>
      <c r="AE747">
        <v>8.2675398923499994</v>
      </c>
      <c r="AF747">
        <v>1514</v>
      </c>
      <c r="AG747">
        <v>1514.02520379</v>
      </c>
      <c r="AH747">
        <v>82676.723309299996</v>
      </c>
      <c r="AI747">
        <v>50</v>
      </c>
      <c r="AJ747">
        <v>93.876963887363701</v>
      </c>
      <c r="AK747" s="1">
        <f>intersection_ss_Lden___surface[[#This Row],[surf m2 bout ss]]/intersection_ss_Lden___surface[[#This Row],[Shape_Area]]</f>
        <v>1.1354703008265427E-3</v>
      </c>
      <c r="AL747">
        <v>1551</v>
      </c>
      <c r="AM747">
        <f>intersection_ss_Lden___surface[[#This Row],[Population totale 2024 ss]]*intersection_ss_Lden___surface[[#This Row],[Part de la surface du qs dans le noise contour]]</f>
        <v>1.7611144365819678</v>
      </c>
    </row>
    <row r="748" spans="1:39" x14ac:dyDescent="0.3">
      <c r="A748">
        <v>778</v>
      </c>
      <c r="B748" t="s">
        <v>1149</v>
      </c>
      <c r="C748" t="s">
        <v>1150</v>
      </c>
      <c r="D748" t="s">
        <v>1151</v>
      </c>
      <c r="E748" t="s">
        <v>1151</v>
      </c>
      <c r="F748" t="s">
        <v>1136</v>
      </c>
      <c r="G748" t="s">
        <v>1079</v>
      </c>
      <c r="H748" t="s">
        <v>1080</v>
      </c>
      <c r="I748" t="s">
        <v>1081</v>
      </c>
      <c r="J748" t="s">
        <v>36</v>
      </c>
      <c r="K748">
        <v>21015</v>
      </c>
      <c r="L748" t="s">
        <v>1082</v>
      </c>
      <c r="M748" t="s">
        <v>1083</v>
      </c>
      <c r="N748" t="s">
        <v>1083</v>
      </c>
      <c r="O748">
        <v>21000</v>
      </c>
      <c r="P748" t="s">
        <v>46</v>
      </c>
      <c r="Q748" t="s">
        <v>47</v>
      </c>
      <c r="R748" t="s">
        <v>48</v>
      </c>
      <c r="T748" t="s">
        <v>36</v>
      </c>
      <c r="U748" t="s">
        <v>36</v>
      </c>
      <c r="V748" t="s">
        <v>36</v>
      </c>
      <c r="W748">
        <v>4000</v>
      </c>
      <c r="X748" t="s">
        <v>49</v>
      </c>
      <c r="Y748" t="s">
        <v>50</v>
      </c>
      <c r="Z748" t="s">
        <v>51</v>
      </c>
      <c r="AA748" t="s">
        <v>37</v>
      </c>
      <c r="AB748" t="s">
        <v>52</v>
      </c>
      <c r="AC748" t="s">
        <v>53</v>
      </c>
      <c r="AD748" t="s">
        <v>54</v>
      </c>
      <c r="AE748">
        <v>11.1626818674</v>
      </c>
      <c r="AF748">
        <v>1339</v>
      </c>
      <c r="AG748">
        <v>1339.0672257000001</v>
      </c>
      <c r="AH748">
        <v>111628.608188</v>
      </c>
      <c r="AI748">
        <v>48</v>
      </c>
      <c r="AJ748">
        <v>47257.287661265596</v>
      </c>
      <c r="AK748" s="1">
        <f>intersection_ss_Lden___surface[[#This Row],[surf m2 bout ss]]/intersection_ss_Lden___surface[[#This Row],[Shape_Area]]</f>
        <v>0.42334387598631479</v>
      </c>
      <c r="AL748">
        <v>2053</v>
      </c>
      <c r="AM748">
        <f>intersection_ss_Lden___surface[[#This Row],[Population totale 2024 ss]]*intersection_ss_Lden___surface[[#This Row],[Part de la surface du qs dans le noise contour]]</f>
        <v>869.12497739990431</v>
      </c>
    </row>
    <row r="749" spans="1:39" x14ac:dyDescent="0.3">
      <c r="A749">
        <v>779</v>
      </c>
      <c r="B749" t="s">
        <v>1149</v>
      </c>
      <c r="C749" t="s">
        <v>1150</v>
      </c>
      <c r="D749" t="s">
        <v>1151</v>
      </c>
      <c r="E749" t="s">
        <v>1151</v>
      </c>
      <c r="F749" t="s">
        <v>1136</v>
      </c>
      <c r="G749" t="s">
        <v>1079</v>
      </c>
      <c r="H749" t="s">
        <v>1080</v>
      </c>
      <c r="I749" t="s">
        <v>1081</v>
      </c>
      <c r="J749" t="s">
        <v>36</v>
      </c>
      <c r="K749">
        <v>21015</v>
      </c>
      <c r="L749" t="s">
        <v>1082</v>
      </c>
      <c r="M749" t="s">
        <v>1083</v>
      </c>
      <c r="N749" t="s">
        <v>1083</v>
      </c>
      <c r="O749">
        <v>21000</v>
      </c>
      <c r="P749" t="s">
        <v>46</v>
      </c>
      <c r="Q749" t="s">
        <v>47</v>
      </c>
      <c r="R749" t="s">
        <v>48</v>
      </c>
      <c r="T749" t="s">
        <v>36</v>
      </c>
      <c r="U749" t="s">
        <v>36</v>
      </c>
      <c r="V749" t="s">
        <v>36</v>
      </c>
      <c r="W749">
        <v>4000</v>
      </c>
      <c r="X749" t="s">
        <v>49</v>
      </c>
      <c r="Y749" t="s">
        <v>50</v>
      </c>
      <c r="Z749" t="s">
        <v>51</v>
      </c>
      <c r="AA749" t="s">
        <v>37</v>
      </c>
      <c r="AB749" t="s">
        <v>52</v>
      </c>
      <c r="AC749" t="s">
        <v>53</v>
      </c>
      <c r="AD749" t="s">
        <v>54</v>
      </c>
      <c r="AE749">
        <v>11.1626818674</v>
      </c>
      <c r="AF749">
        <v>1339</v>
      </c>
      <c r="AG749">
        <v>1339.0672257000001</v>
      </c>
      <c r="AH749">
        <v>111628.608188</v>
      </c>
      <c r="AI749">
        <v>49</v>
      </c>
      <c r="AJ749">
        <v>64382.049204435199</v>
      </c>
      <c r="AK749" s="1">
        <f>intersection_ss_Lden___surface[[#This Row],[surf m2 bout ss]]/intersection_ss_Lden___surface[[#This Row],[Shape_Area]]</f>
        <v>0.5767522344810192</v>
      </c>
      <c r="AL749">
        <v>2053</v>
      </c>
      <c r="AM749">
        <f>intersection_ss_Lden___surface[[#This Row],[Population totale 2024 ss]]*intersection_ss_Lden___surface[[#This Row],[Part de la surface du qs dans le noise contour]]</f>
        <v>1184.0723373895323</v>
      </c>
    </row>
    <row r="750" spans="1:39" x14ac:dyDescent="0.3">
      <c r="A750">
        <v>780</v>
      </c>
      <c r="B750" t="s">
        <v>1152</v>
      </c>
      <c r="C750" t="s">
        <v>1153</v>
      </c>
      <c r="D750" t="s">
        <v>1154</v>
      </c>
      <c r="E750" t="s">
        <v>1154</v>
      </c>
      <c r="F750" t="s">
        <v>1136</v>
      </c>
      <c r="G750" t="s">
        <v>1079</v>
      </c>
      <c r="H750" t="s">
        <v>1080</v>
      </c>
      <c r="I750" t="s">
        <v>1081</v>
      </c>
      <c r="J750" t="s">
        <v>36</v>
      </c>
      <c r="K750">
        <v>21015</v>
      </c>
      <c r="L750" t="s">
        <v>1082</v>
      </c>
      <c r="M750" t="s">
        <v>1083</v>
      </c>
      <c r="N750" t="s">
        <v>1083</v>
      </c>
      <c r="O750">
        <v>21000</v>
      </c>
      <c r="P750" t="s">
        <v>46</v>
      </c>
      <c r="Q750" t="s">
        <v>47</v>
      </c>
      <c r="R750" t="s">
        <v>48</v>
      </c>
      <c r="T750" t="s">
        <v>36</v>
      </c>
      <c r="U750" t="s">
        <v>36</v>
      </c>
      <c r="V750" t="s">
        <v>36</v>
      </c>
      <c r="W750">
        <v>4000</v>
      </c>
      <c r="X750" t="s">
        <v>49</v>
      </c>
      <c r="Y750" t="s">
        <v>50</v>
      </c>
      <c r="Z750" t="s">
        <v>51</v>
      </c>
      <c r="AA750" t="s">
        <v>37</v>
      </c>
      <c r="AB750" t="s">
        <v>52</v>
      </c>
      <c r="AC750" t="s">
        <v>53</v>
      </c>
      <c r="AD750" t="s">
        <v>54</v>
      </c>
      <c r="AE750">
        <v>16.273643702200001</v>
      </c>
      <c r="AF750">
        <v>2033</v>
      </c>
      <c r="AG750">
        <v>2032.5572573300001</v>
      </c>
      <c r="AH750">
        <v>162739.066746</v>
      </c>
      <c r="AI750">
        <v>48</v>
      </c>
      <c r="AJ750">
        <v>882.76602055504895</v>
      </c>
      <c r="AK750" s="1">
        <f>intersection_ss_Lden___surface[[#This Row],[surf m2 bout ss]]/intersection_ss_Lden___surface[[#This Row],[Shape_Area]]</f>
        <v>5.42442597346864E-3</v>
      </c>
      <c r="AL750">
        <v>1895</v>
      </c>
      <c r="AM750">
        <f>intersection_ss_Lden___surface[[#This Row],[Population totale 2024 ss]]*intersection_ss_Lden___surface[[#This Row],[Part de la surface du qs dans le noise contour]]</f>
        <v>10.279287219723074</v>
      </c>
    </row>
    <row r="751" spans="1:39" x14ac:dyDescent="0.3">
      <c r="A751">
        <v>781</v>
      </c>
      <c r="B751" t="s">
        <v>1152</v>
      </c>
      <c r="C751" t="s">
        <v>1153</v>
      </c>
      <c r="D751" t="s">
        <v>1154</v>
      </c>
      <c r="E751" t="s">
        <v>1154</v>
      </c>
      <c r="F751" t="s">
        <v>1136</v>
      </c>
      <c r="G751" t="s">
        <v>1079</v>
      </c>
      <c r="H751" t="s">
        <v>1080</v>
      </c>
      <c r="I751" t="s">
        <v>1081</v>
      </c>
      <c r="J751" t="s">
        <v>36</v>
      </c>
      <c r="K751">
        <v>21015</v>
      </c>
      <c r="L751" t="s">
        <v>1082</v>
      </c>
      <c r="M751" t="s">
        <v>1083</v>
      </c>
      <c r="N751" t="s">
        <v>1083</v>
      </c>
      <c r="O751">
        <v>21000</v>
      </c>
      <c r="P751" t="s">
        <v>46</v>
      </c>
      <c r="Q751" t="s">
        <v>47</v>
      </c>
      <c r="R751" t="s">
        <v>48</v>
      </c>
      <c r="T751" t="s">
        <v>36</v>
      </c>
      <c r="U751" t="s">
        <v>36</v>
      </c>
      <c r="V751" t="s">
        <v>36</v>
      </c>
      <c r="W751">
        <v>4000</v>
      </c>
      <c r="X751" t="s">
        <v>49</v>
      </c>
      <c r="Y751" t="s">
        <v>50</v>
      </c>
      <c r="Z751" t="s">
        <v>51</v>
      </c>
      <c r="AA751" t="s">
        <v>37</v>
      </c>
      <c r="AB751" t="s">
        <v>52</v>
      </c>
      <c r="AC751" t="s">
        <v>53</v>
      </c>
      <c r="AD751" t="s">
        <v>54</v>
      </c>
      <c r="AE751">
        <v>16.273643702200001</v>
      </c>
      <c r="AF751">
        <v>2033</v>
      </c>
      <c r="AG751">
        <v>2032.5572573300001</v>
      </c>
      <c r="AH751">
        <v>162739.066746</v>
      </c>
      <c r="AI751">
        <v>49</v>
      </c>
      <c r="AJ751">
        <v>108449.29276502899</v>
      </c>
      <c r="AK751" s="1">
        <f>intersection_ss_Lden___surface[[#This Row],[surf m2 bout ss]]/intersection_ss_Lden___surface[[#This Row],[Shape_Area]]</f>
        <v>0.6663998690264985</v>
      </c>
      <c r="AL751">
        <v>1895</v>
      </c>
      <c r="AM751">
        <f>intersection_ss_Lden___surface[[#This Row],[Population totale 2024 ss]]*intersection_ss_Lden___surface[[#This Row],[Part de la surface du qs dans le noise contour]]</f>
        <v>1262.8277518052146</v>
      </c>
    </row>
    <row r="752" spans="1:39" x14ac:dyDescent="0.3">
      <c r="A752">
        <v>782</v>
      </c>
      <c r="B752" t="s">
        <v>1152</v>
      </c>
      <c r="C752" t="s">
        <v>1153</v>
      </c>
      <c r="D752" t="s">
        <v>1154</v>
      </c>
      <c r="E752" t="s">
        <v>1154</v>
      </c>
      <c r="F752" t="s">
        <v>1136</v>
      </c>
      <c r="G752" t="s">
        <v>1079</v>
      </c>
      <c r="H752" t="s">
        <v>1080</v>
      </c>
      <c r="I752" t="s">
        <v>1081</v>
      </c>
      <c r="J752" t="s">
        <v>36</v>
      </c>
      <c r="K752">
        <v>21015</v>
      </c>
      <c r="L752" t="s">
        <v>1082</v>
      </c>
      <c r="M752" t="s">
        <v>1083</v>
      </c>
      <c r="N752" t="s">
        <v>1083</v>
      </c>
      <c r="O752">
        <v>21000</v>
      </c>
      <c r="P752" t="s">
        <v>46</v>
      </c>
      <c r="Q752" t="s">
        <v>47</v>
      </c>
      <c r="R752" t="s">
        <v>48</v>
      </c>
      <c r="T752" t="s">
        <v>36</v>
      </c>
      <c r="U752" t="s">
        <v>36</v>
      </c>
      <c r="V752" t="s">
        <v>36</v>
      </c>
      <c r="W752">
        <v>4000</v>
      </c>
      <c r="X752" t="s">
        <v>49</v>
      </c>
      <c r="Y752" t="s">
        <v>50</v>
      </c>
      <c r="Z752" t="s">
        <v>51</v>
      </c>
      <c r="AA752" t="s">
        <v>37</v>
      </c>
      <c r="AB752" t="s">
        <v>52</v>
      </c>
      <c r="AC752" t="s">
        <v>53</v>
      </c>
      <c r="AD752" t="s">
        <v>54</v>
      </c>
      <c r="AE752">
        <v>16.273643702200001</v>
      </c>
      <c r="AF752">
        <v>2033</v>
      </c>
      <c r="AG752">
        <v>2032.5572573300001</v>
      </c>
      <c r="AH752">
        <v>162739.066746</v>
      </c>
      <c r="AI752">
        <v>50</v>
      </c>
      <c r="AJ752">
        <v>53422.688696917103</v>
      </c>
      <c r="AK752" s="1">
        <f>intersection_ss_Lden___surface[[#This Row],[surf m2 bout ss]]/intersection_ss_Lden___surface[[#This Row],[Shape_Area]]</f>
        <v>0.32827206008436932</v>
      </c>
      <c r="AL752">
        <v>1895</v>
      </c>
      <c r="AM752">
        <f>intersection_ss_Lden___surface[[#This Row],[Population totale 2024 ss]]*intersection_ss_Lden___surface[[#This Row],[Part de la surface du qs dans le noise contour]]</f>
        <v>622.07555385987985</v>
      </c>
    </row>
    <row r="753" spans="1:39" x14ac:dyDescent="0.3">
      <c r="A753">
        <v>783</v>
      </c>
      <c r="B753" t="s">
        <v>1155</v>
      </c>
      <c r="C753" t="s">
        <v>1156</v>
      </c>
      <c r="D753" t="s">
        <v>1157</v>
      </c>
      <c r="E753" t="s">
        <v>1157</v>
      </c>
      <c r="F753" t="s">
        <v>1136</v>
      </c>
      <c r="G753" t="s">
        <v>1079</v>
      </c>
      <c r="H753" t="s">
        <v>1080</v>
      </c>
      <c r="I753" t="s">
        <v>1081</v>
      </c>
      <c r="J753" t="s">
        <v>36</v>
      </c>
      <c r="K753">
        <v>21015</v>
      </c>
      <c r="L753" t="s">
        <v>1082</v>
      </c>
      <c r="M753" t="s">
        <v>1083</v>
      </c>
      <c r="N753" t="s">
        <v>1083</v>
      </c>
      <c r="O753">
        <v>21000</v>
      </c>
      <c r="P753" t="s">
        <v>46</v>
      </c>
      <c r="Q753" t="s">
        <v>47</v>
      </c>
      <c r="R753" t="s">
        <v>48</v>
      </c>
      <c r="T753" t="s">
        <v>36</v>
      </c>
      <c r="U753" t="s">
        <v>36</v>
      </c>
      <c r="V753" t="s">
        <v>36</v>
      </c>
      <c r="W753">
        <v>4000</v>
      </c>
      <c r="X753" t="s">
        <v>49</v>
      </c>
      <c r="Y753" t="s">
        <v>50</v>
      </c>
      <c r="Z753" t="s">
        <v>51</v>
      </c>
      <c r="AA753" t="s">
        <v>37</v>
      </c>
      <c r="AB753" t="s">
        <v>52</v>
      </c>
      <c r="AC753" t="s">
        <v>53</v>
      </c>
      <c r="AD753" t="s">
        <v>54</v>
      </c>
      <c r="AE753">
        <v>38.224856510000002</v>
      </c>
      <c r="AF753">
        <v>3617</v>
      </c>
      <c r="AG753">
        <v>3617.1508090399998</v>
      </c>
      <c r="AH753">
        <v>382254.721984</v>
      </c>
      <c r="AI753">
        <v>49</v>
      </c>
      <c r="AJ753">
        <v>104273.809072206</v>
      </c>
      <c r="AK753" s="1">
        <f>intersection_ss_Lden___surface[[#This Row],[surf m2 bout ss]]/intersection_ss_Lden___surface[[#This Row],[Shape_Area]]</f>
        <v>0.27278618961460621</v>
      </c>
      <c r="AL753">
        <v>8</v>
      </c>
      <c r="AM753">
        <f>intersection_ss_Lden___surface[[#This Row],[Population totale 2024 ss]]*intersection_ss_Lden___surface[[#This Row],[Part de la surface du qs dans le noise contour]]</f>
        <v>2.1822895169168497</v>
      </c>
    </row>
    <row r="754" spans="1:39" x14ac:dyDescent="0.3">
      <c r="A754">
        <v>784</v>
      </c>
      <c r="B754" t="s">
        <v>1155</v>
      </c>
      <c r="C754" t="s">
        <v>1156</v>
      </c>
      <c r="D754" t="s">
        <v>1157</v>
      </c>
      <c r="E754" t="s">
        <v>1157</v>
      </c>
      <c r="F754" t="s">
        <v>1136</v>
      </c>
      <c r="G754" t="s">
        <v>1079</v>
      </c>
      <c r="H754" t="s">
        <v>1080</v>
      </c>
      <c r="I754" t="s">
        <v>1081</v>
      </c>
      <c r="J754" t="s">
        <v>36</v>
      </c>
      <c r="K754">
        <v>21015</v>
      </c>
      <c r="L754" t="s">
        <v>1082</v>
      </c>
      <c r="M754" t="s">
        <v>1083</v>
      </c>
      <c r="N754" t="s">
        <v>1083</v>
      </c>
      <c r="O754">
        <v>21000</v>
      </c>
      <c r="P754" t="s">
        <v>46</v>
      </c>
      <c r="Q754" t="s">
        <v>47</v>
      </c>
      <c r="R754" t="s">
        <v>48</v>
      </c>
      <c r="T754" t="s">
        <v>36</v>
      </c>
      <c r="U754" t="s">
        <v>36</v>
      </c>
      <c r="V754" t="s">
        <v>36</v>
      </c>
      <c r="W754">
        <v>4000</v>
      </c>
      <c r="X754" t="s">
        <v>49</v>
      </c>
      <c r="Y754" t="s">
        <v>50</v>
      </c>
      <c r="Z754" t="s">
        <v>51</v>
      </c>
      <c r="AA754" t="s">
        <v>37</v>
      </c>
      <c r="AB754" t="s">
        <v>52</v>
      </c>
      <c r="AC754" t="s">
        <v>53</v>
      </c>
      <c r="AD754" t="s">
        <v>54</v>
      </c>
      <c r="AE754">
        <v>38.224856510000002</v>
      </c>
      <c r="AF754">
        <v>3617</v>
      </c>
      <c r="AG754">
        <v>3617.1508090399998</v>
      </c>
      <c r="AH754">
        <v>382254.721984</v>
      </c>
      <c r="AI754">
        <v>50</v>
      </c>
      <c r="AJ754">
        <v>177653.057511494</v>
      </c>
      <c r="AK754" s="1">
        <f>intersection_ss_Lden___surface[[#This Row],[surf m2 bout ss]]/intersection_ss_Lden___surface[[#This Row],[Shape_Area]]</f>
        <v>0.4647504590379658</v>
      </c>
      <c r="AL754">
        <v>8</v>
      </c>
      <c r="AM754">
        <f>intersection_ss_Lden___surface[[#This Row],[Population totale 2024 ss]]*intersection_ss_Lden___surface[[#This Row],[Part de la surface du qs dans le noise contour]]</f>
        <v>3.7180036723037264</v>
      </c>
    </row>
    <row r="755" spans="1:39" x14ac:dyDescent="0.3">
      <c r="A755">
        <v>785</v>
      </c>
      <c r="B755" t="s">
        <v>1155</v>
      </c>
      <c r="C755" t="s">
        <v>1156</v>
      </c>
      <c r="D755" t="s">
        <v>1157</v>
      </c>
      <c r="E755" t="s">
        <v>1157</v>
      </c>
      <c r="F755" t="s">
        <v>1136</v>
      </c>
      <c r="G755" t="s">
        <v>1079</v>
      </c>
      <c r="H755" t="s">
        <v>1080</v>
      </c>
      <c r="I755" t="s">
        <v>1081</v>
      </c>
      <c r="J755" t="s">
        <v>36</v>
      </c>
      <c r="K755">
        <v>21015</v>
      </c>
      <c r="L755" t="s">
        <v>1082</v>
      </c>
      <c r="M755" t="s">
        <v>1083</v>
      </c>
      <c r="N755" t="s">
        <v>1083</v>
      </c>
      <c r="O755">
        <v>21000</v>
      </c>
      <c r="P755" t="s">
        <v>46</v>
      </c>
      <c r="Q755" t="s">
        <v>47</v>
      </c>
      <c r="R755" t="s">
        <v>48</v>
      </c>
      <c r="T755" t="s">
        <v>36</v>
      </c>
      <c r="U755" t="s">
        <v>36</v>
      </c>
      <c r="V755" t="s">
        <v>36</v>
      </c>
      <c r="W755">
        <v>4000</v>
      </c>
      <c r="X755" t="s">
        <v>49</v>
      </c>
      <c r="Y755" t="s">
        <v>50</v>
      </c>
      <c r="Z755" t="s">
        <v>51</v>
      </c>
      <c r="AA755" t="s">
        <v>37</v>
      </c>
      <c r="AB755" t="s">
        <v>52</v>
      </c>
      <c r="AC755" t="s">
        <v>53</v>
      </c>
      <c r="AD755" t="s">
        <v>54</v>
      </c>
      <c r="AE755">
        <v>38.224856510000002</v>
      </c>
      <c r="AF755">
        <v>3617</v>
      </c>
      <c r="AG755">
        <v>3617.1508090399998</v>
      </c>
      <c r="AH755">
        <v>382254.721984</v>
      </c>
      <c r="AI755">
        <v>51</v>
      </c>
      <c r="AJ755">
        <v>90471.871538894906</v>
      </c>
      <c r="AK755" s="1">
        <f>intersection_ss_Lden___surface[[#This Row],[surf m2 bout ss]]/intersection_ss_Lden___surface[[#This Row],[Shape_Area]]</f>
        <v>0.23667953941634179</v>
      </c>
      <c r="AL755">
        <v>8</v>
      </c>
      <c r="AM755">
        <f>intersection_ss_Lden___surface[[#This Row],[Population totale 2024 ss]]*intersection_ss_Lden___surface[[#This Row],[Part de la surface du qs dans le noise contour]]</f>
        <v>1.8934363153307343</v>
      </c>
    </row>
    <row r="756" spans="1:39" x14ac:dyDescent="0.3">
      <c r="A756">
        <v>786</v>
      </c>
      <c r="B756" t="s">
        <v>1155</v>
      </c>
      <c r="C756" t="s">
        <v>1156</v>
      </c>
      <c r="D756" t="s">
        <v>1157</v>
      </c>
      <c r="E756" t="s">
        <v>1157</v>
      </c>
      <c r="F756" t="s">
        <v>1136</v>
      </c>
      <c r="G756" t="s">
        <v>1079</v>
      </c>
      <c r="H756" t="s">
        <v>1080</v>
      </c>
      <c r="I756" t="s">
        <v>1081</v>
      </c>
      <c r="J756" t="s">
        <v>36</v>
      </c>
      <c r="K756">
        <v>21015</v>
      </c>
      <c r="L756" t="s">
        <v>1082</v>
      </c>
      <c r="M756" t="s">
        <v>1083</v>
      </c>
      <c r="N756" t="s">
        <v>1083</v>
      </c>
      <c r="O756">
        <v>21000</v>
      </c>
      <c r="P756" t="s">
        <v>46</v>
      </c>
      <c r="Q756" t="s">
        <v>47</v>
      </c>
      <c r="R756" t="s">
        <v>48</v>
      </c>
      <c r="T756" t="s">
        <v>36</v>
      </c>
      <c r="U756" t="s">
        <v>36</v>
      </c>
      <c r="V756" t="s">
        <v>36</v>
      </c>
      <c r="W756">
        <v>4000</v>
      </c>
      <c r="X756" t="s">
        <v>49</v>
      </c>
      <c r="Y756" t="s">
        <v>50</v>
      </c>
      <c r="Z756" t="s">
        <v>51</v>
      </c>
      <c r="AA756" t="s">
        <v>37</v>
      </c>
      <c r="AB756" t="s">
        <v>52</v>
      </c>
      <c r="AC756" t="s">
        <v>53</v>
      </c>
      <c r="AD756" t="s">
        <v>54</v>
      </c>
      <c r="AE756">
        <v>38.224856510000002</v>
      </c>
      <c r="AF756">
        <v>3617</v>
      </c>
      <c r="AG756">
        <v>3617.1508090399998</v>
      </c>
      <c r="AH756">
        <v>382254.721984</v>
      </c>
      <c r="AI756">
        <v>52</v>
      </c>
      <c r="AJ756">
        <v>9892.3515140269901</v>
      </c>
      <c r="AK756" s="1">
        <f>intersection_ss_Lden___surface[[#This Row],[surf m2 bout ss]]/intersection_ss_Lden___surface[[#This Row],[Shape_Area]]</f>
        <v>2.5878951769864739E-2</v>
      </c>
      <c r="AL756">
        <v>8</v>
      </c>
      <c r="AM756">
        <f>intersection_ss_Lden___surface[[#This Row],[Population totale 2024 ss]]*intersection_ss_Lden___surface[[#This Row],[Part de la surface du qs dans le noise contour]]</f>
        <v>0.20703161415891791</v>
      </c>
    </row>
    <row r="757" spans="1:39" x14ac:dyDescent="0.3">
      <c r="A757">
        <v>787</v>
      </c>
      <c r="B757" t="s">
        <v>1158</v>
      </c>
      <c r="C757" t="s">
        <v>1159</v>
      </c>
      <c r="D757" t="s">
        <v>1160</v>
      </c>
      <c r="E757" t="s">
        <v>1160</v>
      </c>
      <c r="F757" t="s">
        <v>1161</v>
      </c>
      <c r="G757" t="s">
        <v>1079</v>
      </c>
      <c r="H757" t="s">
        <v>1080</v>
      </c>
      <c r="I757" t="s">
        <v>1081</v>
      </c>
      <c r="J757" t="s">
        <v>36</v>
      </c>
      <c r="K757">
        <v>21015</v>
      </c>
      <c r="L757" t="s">
        <v>1082</v>
      </c>
      <c r="M757" t="s">
        <v>1083</v>
      </c>
      <c r="N757" t="s">
        <v>1083</v>
      </c>
      <c r="O757">
        <v>21000</v>
      </c>
      <c r="P757" t="s">
        <v>46</v>
      </c>
      <c r="Q757" t="s">
        <v>47</v>
      </c>
      <c r="R757" t="s">
        <v>48</v>
      </c>
      <c r="T757" t="s">
        <v>36</v>
      </c>
      <c r="U757" t="s">
        <v>36</v>
      </c>
      <c r="V757" t="s">
        <v>36</v>
      </c>
      <c r="W757">
        <v>4000</v>
      </c>
      <c r="X757" t="s">
        <v>49</v>
      </c>
      <c r="Y757" t="s">
        <v>50</v>
      </c>
      <c r="Z757" t="s">
        <v>51</v>
      </c>
      <c r="AA757" t="s">
        <v>37</v>
      </c>
      <c r="AB757" t="s">
        <v>52</v>
      </c>
      <c r="AC757" t="s">
        <v>53</v>
      </c>
      <c r="AD757" t="s">
        <v>54</v>
      </c>
      <c r="AE757">
        <v>17.287028875299999</v>
      </c>
      <c r="AF757">
        <v>2028</v>
      </c>
      <c r="AG757">
        <v>2027.5229065000001</v>
      </c>
      <c r="AH757">
        <v>172873.079807</v>
      </c>
      <c r="AI757">
        <v>48</v>
      </c>
      <c r="AJ757">
        <v>1576.0540748742901</v>
      </c>
      <c r="AK757" s="1">
        <f>intersection_ss_Lden___surface[[#This Row],[surf m2 bout ss]]/intersection_ss_Lden___surface[[#This Row],[Shape_Area]]</f>
        <v>9.1168276554905933E-3</v>
      </c>
      <c r="AL757">
        <v>3594</v>
      </c>
      <c r="AM757">
        <f>intersection_ss_Lden___surface[[#This Row],[Population totale 2024 ss]]*intersection_ss_Lden___surface[[#This Row],[Part de la surface du qs dans le noise contour]]</f>
        <v>32.765878593833193</v>
      </c>
    </row>
    <row r="758" spans="1:39" x14ac:dyDescent="0.3">
      <c r="A758">
        <v>788</v>
      </c>
      <c r="B758" t="s">
        <v>1158</v>
      </c>
      <c r="C758" t="s">
        <v>1159</v>
      </c>
      <c r="D758" t="s">
        <v>1160</v>
      </c>
      <c r="E758" t="s">
        <v>1160</v>
      </c>
      <c r="F758" t="s">
        <v>1161</v>
      </c>
      <c r="G758" t="s">
        <v>1079</v>
      </c>
      <c r="H758" t="s">
        <v>1080</v>
      </c>
      <c r="I758" t="s">
        <v>1081</v>
      </c>
      <c r="J758" t="s">
        <v>36</v>
      </c>
      <c r="K758">
        <v>21015</v>
      </c>
      <c r="L758" t="s">
        <v>1082</v>
      </c>
      <c r="M758" t="s">
        <v>1083</v>
      </c>
      <c r="N758" t="s">
        <v>1083</v>
      </c>
      <c r="O758">
        <v>21000</v>
      </c>
      <c r="P758" t="s">
        <v>46</v>
      </c>
      <c r="Q758" t="s">
        <v>47</v>
      </c>
      <c r="R758" t="s">
        <v>48</v>
      </c>
      <c r="T758" t="s">
        <v>36</v>
      </c>
      <c r="U758" t="s">
        <v>36</v>
      </c>
      <c r="V758" t="s">
        <v>36</v>
      </c>
      <c r="W758">
        <v>4000</v>
      </c>
      <c r="X758" t="s">
        <v>49</v>
      </c>
      <c r="Y758" t="s">
        <v>50</v>
      </c>
      <c r="Z758" t="s">
        <v>51</v>
      </c>
      <c r="AA758" t="s">
        <v>37</v>
      </c>
      <c r="AB758" t="s">
        <v>52</v>
      </c>
      <c r="AC758" t="s">
        <v>53</v>
      </c>
      <c r="AD758" t="s">
        <v>54</v>
      </c>
      <c r="AE758">
        <v>17.287028875299999</v>
      </c>
      <c r="AF758">
        <v>2028</v>
      </c>
      <c r="AG758">
        <v>2027.5229065000001</v>
      </c>
      <c r="AH758">
        <v>172873.079807</v>
      </c>
      <c r="AI758">
        <v>49</v>
      </c>
      <c r="AJ758">
        <v>78434.620882192394</v>
      </c>
      <c r="AK758" s="1">
        <f>intersection_ss_Lden___surface[[#This Row],[surf m2 bout ss]]/intersection_ss_Lden___surface[[#This Row],[Shape_Area]]</f>
        <v>0.45371217409766079</v>
      </c>
      <c r="AL758">
        <v>3594</v>
      </c>
      <c r="AM758">
        <f>intersection_ss_Lden___surface[[#This Row],[Population totale 2024 ss]]*intersection_ss_Lden___surface[[#This Row],[Part de la surface du qs dans le noise contour]]</f>
        <v>1630.6415537069929</v>
      </c>
    </row>
    <row r="759" spans="1:39" x14ac:dyDescent="0.3">
      <c r="A759">
        <v>789</v>
      </c>
      <c r="B759" t="s">
        <v>1158</v>
      </c>
      <c r="C759" t="s">
        <v>1159</v>
      </c>
      <c r="D759" t="s">
        <v>1160</v>
      </c>
      <c r="E759" t="s">
        <v>1160</v>
      </c>
      <c r="F759" t="s">
        <v>1161</v>
      </c>
      <c r="G759" t="s">
        <v>1079</v>
      </c>
      <c r="H759" t="s">
        <v>1080</v>
      </c>
      <c r="I759" t="s">
        <v>1081</v>
      </c>
      <c r="J759" t="s">
        <v>36</v>
      </c>
      <c r="K759">
        <v>21015</v>
      </c>
      <c r="L759" t="s">
        <v>1082</v>
      </c>
      <c r="M759" t="s">
        <v>1083</v>
      </c>
      <c r="N759" t="s">
        <v>1083</v>
      </c>
      <c r="O759">
        <v>21000</v>
      </c>
      <c r="P759" t="s">
        <v>46</v>
      </c>
      <c r="Q759" t="s">
        <v>47</v>
      </c>
      <c r="R759" t="s">
        <v>48</v>
      </c>
      <c r="T759" t="s">
        <v>36</v>
      </c>
      <c r="U759" t="s">
        <v>36</v>
      </c>
      <c r="V759" t="s">
        <v>36</v>
      </c>
      <c r="W759">
        <v>4000</v>
      </c>
      <c r="X759" t="s">
        <v>49</v>
      </c>
      <c r="Y759" t="s">
        <v>50</v>
      </c>
      <c r="Z759" t="s">
        <v>51</v>
      </c>
      <c r="AA759" t="s">
        <v>37</v>
      </c>
      <c r="AB759" t="s">
        <v>52</v>
      </c>
      <c r="AC759" t="s">
        <v>53</v>
      </c>
      <c r="AD759" t="s">
        <v>54</v>
      </c>
      <c r="AE759">
        <v>17.287028875299999</v>
      </c>
      <c r="AF759">
        <v>2028</v>
      </c>
      <c r="AG759">
        <v>2027.5229065000001</v>
      </c>
      <c r="AH759">
        <v>172873.079807</v>
      </c>
      <c r="AI759">
        <v>50</v>
      </c>
      <c r="AJ759">
        <v>92878.890563802794</v>
      </c>
      <c r="AK759" s="1">
        <f>intersection_ss_Lden___surface[[#This Row],[surf m2 bout ss]]/intersection_ss_Lden___surface[[#This Row],[Shape_Area]]</f>
        <v>0.53726636135305272</v>
      </c>
      <c r="AL759">
        <v>3594</v>
      </c>
      <c r="AM759">
        <f>intersection_ss_Lden___surface[[#This Row],[Population totale 2024 ss]]*intersection_ss_Lden___surface[[#This Row],[Part de la surface du qs dans le noise contour]]</f>
        <v>1930.9353027028715</v>
      </c>
    </row>
    <row r="760" spans="1:39" x14ac:dyDescent="0.3">
      <c r="A760">
        <v>790</v>
      </c>
      <c r="B760" t="s">
        <v>1162</v>
      </c>
      <c r="C760" t="s">
        <v>1163</v>
      </c>
      <c r="D760" t="s">
        <v>1164</v>
      </c>
      <c r="E760" t="s">
        <v>1164</v>
      </c>
      <c r="F760" t="s">
        <v>1161</v>
      </c>
      <c r="G760" t="s">
        <v>1079</v>
      </c>
      <c r="H760" t="s">
        <v>1080</v>
      </c>
      <c r="I760" t="s">
        <v>1081</v>
      </c>
      <c r="J760" t="s">
        <v>36</v>
      </c>
      <c r="K760">
        <v>21015</v>
      </c>
      <c r="L760" t="s">
        <v>1082</v>
      </c>
      <c r="M760" t="s">
        <v>1083</v>
      </c>
      <c r="N760" t="s">
        <v>1083</v>
      </c>
      <c r="O760">
        <v>21000</v>
      </c>
      <c r="P760" t="s">
        <v>46</v>
      </c>
      <c r="Q760" t="s">
        <v>47</v>
      </c>
      <c r="R760" t="s">
        <v>48</v>
      </c>
      <c r="T760" t="s">
        <v>36</v>
      </c>
      <c r="U760" t="s">
        <v>36</v>
      </c>
      <c r="V760" t="s">
        <v>36</v>
      </c>
      <c r="W760">
        <v>4000</v>
      </c>
      <c r="X760" t="s">
        <v>49</v>
      </c>
      <c r="Y760" t="s">
        <v>50</v>
      </c>
      <c r="Z760" t="s">
        <v>51</v>
      </c>
      <c r="AA760" t="s">
        <v>37</v>
      </c>
      <c r="AB760" t="s">
        <v>52</v>
      </c>
      <c r="AC760" t="s">
        <v>53</v>
      </c>
      <c r="AD760" t="s">
        <v>54</v>
      </c>
      <c r="AE760">
        <v>16.7741664212</v>
      </c>
      <c r="AF760">
        <v>1850</v>
      </c>
      <c r="AG760">
        <v>1849.96800117</v>
      </c>
      <c r="AH760">
        <v>167744.354074</v>
      </c>
      <c r="AI760">
        <v>50</v>
      </c>
      <c r="AJ760">
        <v>164660.46867630299</v>
      </c>
      <c r="AK760" s="1">
        <f>intersection_ss_Lden___surface[[#This Row],[surf m2 bout ss]]/intersection_ss_Lden___surface[[#This Row],[Shape_Area]]</f>
        <v>0.98161556366698</v>
      </c>
      <c r="AL760">
        <v>3416</v>
      </c>
      <c r="AM760">
        <f>intersection_ss_Lden___surface[[#This Row],[Population totale 2024 ss]]*intersection_ss_Lden___surface[[#This Row],[Part de la surface du qs dans le noise contour]]</f>
        <v>3353.1987654864038</v>
      </c>
    </row>
    <row r="761" spans="1:39" x14ac:dyDescent="0.3">
      <c r="A761">
        <v>791</v>
      </c>
      <c r="B761" t="s">
        <v>1162</v>
      </c>
      <c r="C761" t="s">
        <v>1163</v>
      </c>
      <c r="D761" t="s">
        <v>1164</v>
      </c>
      <c r="E761" t="s">
        <v>1164</v>
      </c>
      <c r="F761" t="s">
        <v>1161</v>
      </c>
      <c r="G761" t="s">
        <v>1079</v>
      </c>
      <c r="H761" t="s">
        <v>1080</v>
      </c>
      <c r="I761" t="s">
        <v>1081</v>
      </c>
      <c r="J761" t="s">
        <v>36</v>
      </c>
      <c r="K761">
        <v>21015</v>
      </c>
      <c r="L761" t="s">
        <v>1082</v>
      </c>
      <c r="M761" t="s">
        <v>1083</v>
      </c>
      <c r="N761" t="s">
        <v>1083</v>
      </c>
      <c r="O761">
        <v>21000</v>
      </c>
      <c r="P761" t="s">
        <v>46</v>
      </c>
      <c r="Q761" t="s">
        <v>47</v>
      </c>
      <c r="R761" t="s">
        <v>48</v>
      </c>
      <c r="T761" t="s">
        <v>36</v>
      </c>
      <c r="U761" t="s">
        <v>36</v>
      </c>
      <c r="V761" t="s">
        <v>36</v>
      </c>
      <c r="W761">
        <v>4000</v>
      </c>
      <c r="X761" t="s">
        <v>49</v>
      </c>
      <c r="Y761" t="s">
        <v>50</v>
      </c>
      <c r="Z761" t="s">
        <v>51</v>
      </c>
      <c r="AA761" t="s">
        <v>37</v>
      </c>
      <c r="AB761" t="s">
        <v>52</v>
      </c>
      <c r="AC761" t="s">
        <v>53</v>
      </c>
      <c r="AD761" t="s">
        <v>54</v>
      </c>
      <c r="AE761">
        <v>16.7741664212</v>
      </c>
      <c r="AF761">
        <v>1850</v>
      </c>
      <c r="AG761">
        <v>1849.96800117</v>
      </c>
      <c r="AH761">
        <v>167744.354074</v>
      </c>
      <c r="AI761">
        <v>51</v>
      </c>
      <c r="AJ761">
        <v>3099.6728407293599</v>
      </c>
      <c r="AK761" s="1">
        <f>intersection_ss_Lden___surface[[#This Row],[surf m2 bout ss]]/intersection_ss_Lden___surface[[#This Row],[Shape_Area]]</f>
        <v>1.8478552424852086E-2</v>
      </c>
      <c r="AL761">
        <v>3416</v>
      </c>
      <c r="AM761">
        <f>intersection_ss_Lden___surface[[#This Row],[Population totale 2024 ss]]*intersection_ss_Lden___surface[[#This Row],[Part de la surface du qs dans le noise contour]]</f>
        <v>63.122735083294728</v>
      </c>
    </row>
    <row r="762" spans="1:39" x14ac:dyDescent="0.3">
      <c r="A762">
        <v>792</v>
      </c>
      <c r="B762" t="s">
        <v>1165</v>
      </c>
      <c r="C762" t="s">
        <v>1166</v>
      </c>
      <c r="D762" t="s">
        <v>1167</v>
      </c>
      <c r="E762" t="s">
        <v>1167</v>
      </c>
      <c r="F762" t="s">
        <v>1161</v>
      </c>
      <c r="G762" t="s">
        <v>1079</v>
      </c>
      <c r="H762" t="s">
        <v>1080</v>
      </c>
      <c r="I762" t="s">
        <v>1081</v>
      </c>
      <c r="J762" t="s">
        <v>36</v>
      </c>
      <c r="K762">
        <v>21015</v>
      </c>
      <c r="L762" t="s">
        <v>1082</v>
      </c>
      <c r="M762" t="s">
        <v>1083</v>
      </c>
      <c r="N762" t="s">
        <v>1083</v>
      </c>
      <c r="O762">
        <v>21000</v>
      </c>
      <c r="P762" t="s">
        <v>46</v>
      </c>
      <c r="Q762" t="s">
        <v>47</v>
      </c>
      <c r="R762" t="s">
        <v>48</v>
      </c>
      <c r="T762" t="s">
        <v>36</v>
      </c>
      <c r="U762" t="s">
        <v>36</v>
      </c>
      <c r="V762" t="s">
        <v>36</v>
      </c>
      <c r="W762">
        <v>4000</v>
      </c>
      <c r="X762" t="s">
        <v>49</v>
      </c>
      <c r="Y762" t="s">
        <v>50</v>
      </c>
      <c r="Z762" t="s">
        <v>51</v>
      </c>
      <c r="AA762" t="s">
        <v>37</v>
      </c>
      <c r="AB762" t="s">
        <v>52</v>
      </c>
      <c r="AC762" t="s">
        <v>53</v>
      </c>
      <c r="AD762" t="s">
        <v>54</v>
      </c>
      <c r="AE762">
        <v>8.8923599445499999</v>
      </c>
      <c r="AF762">
        <v>1488</v>
      </c>
      <c r="AG762">
        <v>1487.9869981899999</v>
      </c>
      <c r="AH762">
        <v>88925.035369899997</v>
      </c>
      <c r="AI762">
        <v>48</v>
      </c>
      <c r="AJ762">
        <v>23419.807670093898</v>
      </c>
      <c r="AK762" s="1">
        <f>intersection_ss_Lden___surface[[#This Row],[surf m2 bout ss]]/intersection_ss_Lden___surface[[#This Row],[Shape_Area]]</f>
        <v>0.26336573916079892</v>
      </c>
      <c r="AL762">
        <v>1805</v>
      </c>
      <c r="AM762">
        <f>intersection_ss_Lden___surface[[#This Row],[Population totale 2024 ss]]*intersection_ss_Lden___surface[[#This Row],[Part de la surface du qs dans le noise contour]]</f>
        <v>475.37515918524207</v>
      </c>
    </row>
    <row r="763" spans="1:39" x14ac:dyDescent="0.3">
      <c r="A763">
        <v>793</v>
      </c>
      <c r="B763" t="s">
        <v>1165</v>
      </c>
      <c r="C763" t="s">
        <v>1166</v>
      </c>
      <c r="D763" t="s">
        <v>1167</v>
      </c>
      <c r="E763" t="s">
        <v>1167</v>
      </c>
      <c r="F763" t="s">
        <v>1161</v>
      </c>
      <c r="G763" t="s">
        <v>1079</v>
      </c>
      <c r="H763" t="s">
        <v>1080</v>
      </c>
      <c r="I763" t="s">
        <v>1081</v>
      </c>
      <c r="J763" t="s">
        <v>36</v>
      </c>
      <c r="K763">
        <v>21015</v>
      </c>
      <c r="L763" t="s">
        <v>1082</v>
      </c>
      <c r="M763" t="s">
        <v>1083</v>
      </c>
      <c r="N763" t="s">
        <v>1083</v>
      </c>
      <c r="O763">
        <v>21000</v>
      </c>
      <c r="P763" t="s">
        <v>46</v>
      </c>
      <c r="Q763" t="s">
        <v>47</v>
      </c>
      <c r="R763" t="s">
        <v>48</v>
      </c>
      <c r="T763" t="s">
        <v>36</v>
      </c>
      <c r="U763" t="s">
        <v>36</v>
      </c>
      <c r="V763" t="s">
        <v>36</v>
      </c>
      <c r="W763">
        <v>4000</v>
      </c>
      <c r="X763" t="s">
        <v>49</v>
      </c>
      <c r="Y763" t="s">
        <v>50</v>
      </c>
      <c r="Z763" t="s">
        <v>51</v>
      </c>
      <c r="AA763" t="s">
        <v>37</v>
      </c>
      <c r="AB763" t="s">
        <v>52</v>
      </c>
      <c r="AC763" t="s">
        <v>53</v>
      </c>
      <c r="AD763" t="s">
        <v>54</v>
      </c>
      <c r="AE763">
        <v>8.8923599445499999</v>
      </c>
      <c r="AF763">
        <v>1488</v>
      </c>
      <c r="AG763">
        <v>1487.9869981899999</v>
      </c>
      <c r="AH763">
        <v>88925.035369899997</v>
      </c>
      <c r="AI763">
        <v>49</v>
      </c>
      <c r="AJ763">
        <v>56139.863331966299</v>
      </c>
      <c r="AK763" s="1">
        <f>intersection_ss_Lden___surface[[#This Row],[surf m2 bout ss]]/intersection_ss_Lden___surface[[#This Row],[Shape_Area]]</f>
        <v>0.63131673885135087</v>
      </c>
      <c r="AL763">
        <v>1805</v>
      </c>
      <c r="AM763">
        <f>intersection_ss_Lden___surface[[#This Row],[Population totale 2024 ss]]*intersection_ss_Lden___surface[[#This Row],[Part de la surface du qs dans le noise contour]]</f>
        <v>1139.5267136266882</v>
      </c>
    </row>
    <row r="764" spans="1:39" x14ac:dyDescent="0.3">
      <c r="A764">
        <v>794</v>
      </c>
      <c r="B764" t="s">
        <v>1165</v>
      </c>
      <c r="C764" t="s">
        <v>1166</v>
      </c>
      <c r="D764" t="s">
        <v>1167</v>
      </c>
      <c r="E764" t="s">
        <v>1167</v>
      </c>
      <c r="F764" t="s">
        <v>1161</v>
      </c>
      <c r="G764" t="s">
        <v>1079</v>
      </c>
      <c r="H764" t="s">
        <v>1080</v>
      </c>
      <c r="I764" t="s">
        <v>1081</v>
      </c>
      <c r="J764" t="s">
        <v>36</v>
      </c>
      <c r="K764">
        <v>21015</v>
      </c>
      <c r="L764" t="s">
        <v>1082</v>
      </c>
      <c r="M764" t="s">
        <v>1083</v>
      </c>
      <c r="N764" t="s">
        <v>1083</v>
      </c>
      <c r="O764">
        <v>21000</v>
      </c>
      <c r="P764" t="s">
        <v>46</v>
      </c>
      <c r="Q764" t="s">
        <v>47</v>
      </c>
      <c r="R764" t="s">
        <v>48</v>
      </c>
      <c r="T764" t="s">
        <v>36</v>
      </c>
      <c r="U764" t="s">
        <v>36</v>
      </c>
      <c r="V764" t="s">
        <v>36</v>
      </c>
      <c r="W764">
        <v>4000</v>
      </c>
      <c r="X764" t="s">
        <v>49</v>
      </c>
      <c r="Y764" t="s">
        <v>50</v>
      </c>
      <c r="Z764" t="s">
        <v>51</v>
      </c>
      <c r="AA764" t="s">
        <v>37</v>
      </c>
      <c r="AB764" t="s">
        <v>52</v>
      </c>
      <c r="AC764" t="s">
        <v>53</v>
      </c>
      <c r="AD764" t="s">
        <v>54</v>
      </c>
      <c r="AE764">
        <v>8.8923599445499999</v>
      </c>
      <c r="AF764">
        <v>1488</v>
      </c>
      <c r="AG764">
        <v>1487.9869981899999</v>
      </c>
      <c r="AH764">
        <v>88925.035369899997</v>
      </c>
      <c r="AI764">
        <v>50</v>
      </c>
      <c r="AJ764">
        <v>9373.8755176737905</v>
      </c>
      <c r="AK764" s="1">
        <f>intersection_ss_Lden___surface[[#This Row],[surf m2 bout ss]]/intersection_ss_Lden___surface[[#This Row],[Shape_Area]]</f>
        <v>0.10541323350259503</v>
      </c>
      <c r="AL764">
        <v>1805</v>
      </c>
      <c r="AM764">
        <f>intersection_ss_Lden___surface[[#This Row],[Population totale 2024 ss]]*intersection_ss_Lden___surface[[#This Row],[Part de la surface du qs dans le noise contour]]</f>
        <v>190.27088647218403</v>
      </c>
    </row>
    <row r="765" spans="1:39" x14ac:dyDescent="0.3">
      <c r="A765">
        <v>795</v>
      </c>
      <c r="B765" t="s">
        <v>1168</v>
      </c>
      <c r="C765" t="s">
        <v>1169</v>
      </c>
      <c r="D765" t="s">
        <v>1170</v>
      </c>
      <c r="E765" t="s">
        <v>1170</v>
      </c>
      <c r="F765" t="s">
        <v>1161</v>
      </c>
      <c r="G765" t="s">
        <v>1079</v>
      </c>
      <c r="H765" t="s">
        <v>1080</v>
      </c>
      <c r="I765" t="s">
        <v>1081</v>
      </c>
      <c r="J765" t="s">
        <v>36</v>
      </c>
      <c r="K765">
        <v>21015</v>
      </c>
      <c r="L765" t="s">
        <v>1082</v>
      </c>
      <c r="M765" t="s">
        <v>1083</v>
      </c>
      <c r="N765" t="s">
        <v>1083</v>
      </c>
      <c r="O765">
        <v>21000</v>
      </c>
      <c r="P765" t="s">
        <v>46</v>
      </c>
      <c r="Q765" t="s">
        <v>47</v>
      </c>
      <c r="R765" t="s">
        <v>48</v>
      </c>
      <c r="T765" t="s">
        <v>36</v>
      </c>
      <c r="U765" t="s">
        <v>36</v>
      </c>
      <c r="V765" t="s">
        <v>36</v>
      </c>
      <c r="W765">
        <v>4000</v>
      </c>
      <c r="X765" t="s">
        <v>49</v>
      </c>
      <c r="Y765" t="s">
        <v>50</v>
      </c>
      <c r="Z765" t="s">
        <v>51</v>
      </c>
      <c r="AA765" t="s">
        <v>37</v>
      </c>
      <c r="AB765" t="s">
        <v>52</v>
      </c>
      <c r="AC765" t="s">
        <v>53</v>
      </c>
      <c r="AD765" t="s">
        <v>54</v>
      </c>
      <c r="AE765">
        <v>19.801078533399998</v>
      </c>
      <c r="AF765">
        <v>1997</v>
      </c>
      <c r="AG765">
        <v>1996.6737167000001</v>
      </c>
      <c r="AH765">
        <v>198013.96574399999</v>
      </c>
      <c r="AI765">
        <v>49</v>
      </c>
      <c r="AJ765">
        <v>29339.4183062296</v>
      </c>
      <c r="AK765" s="1">
        <f>intersection_ss_Lden___surface[[#This Row],[surf m2 bout ss]]/intersection_ss_Lden___surface[[#This Row],[Shape_Area]]</f>
        <v>0.14816842941351277</v>
      </c>
      <c r="AL765">
        <v>1767</v>
      </c>
      <c r="AM765">
        <f>intersection_ss_Lden___surface[[#This Row],[Population totale 2024 ss]]*intersection_ss_Lden___surface[[#This Row],[Part de la surface du qs dans le noise contour]]</f>
        <v>261.81361477367705</v>
      </c>
    </row>
    <row r="766" spans="1:39" x14ac:dyDescent="0.3">
      <c r="A766">
        <v>796</v>
      </c>
      <c r="B766" t="s">
        <v>1168</v>
      </c>
      <c r="C766" t="s">
        <v>1169</v>
      </c>
      <c r="D766" t="s">
        <v>1170</v>
      </c>
      <c r="E766" t="s">
        <v>1170</v>
      </c>
      <c r="F766" t="s">
        <v>1161</v>
      </c>
      <c r="G766" t="s">
        <v>1079</v>
      </c>
      <c r="H766" t="s">
        <v>1080</v>
      </c>
      <c r="I766" t="s">
        <v>1081</v>
      </c>
      <c r="J766" t="s">
        <v>36</v>
      </c>
      <c r="K766">
        <v>21015</v>
      </c>
      <c r="L766" t="s">
        <v>1082</v>
      </c>
      <c r="M766" t="s">
        <v>1083</v>
      </c>
      <c r="N766" t="s">
        <v>1083</v>
      </c>
      <c r="O766">
        <v>21000</v>
      </c>
      <c r="P766" t="s">
        <v>46</v>
      </c>
      <c r="Q766" t="s">
        <v>47</v>
      </c>
      <c r="R766" t="s">
        <v>48</v>
      </c>
      <c r="T766" t="s">
        <v>36</v>
      </c>
      <c r="U766" t="s">
        <v>36</v>
      </c>
      <c r="V766" t="s">
        <v>36</v>
      </c>
      <c r="W766">
        <v>4000</v>
      </c>
      <c r="X766" t="s">
        <v>49</v>
      </c>
      <c r="Y766" t="s">
        <v>50</v>
      </c>
      <c r="Z766" t="s">
        <v>51</v>
      </c>
      <c r="AA766" t="s">
        <v>37</v>
      </c>
      <c r="AB766" t="s">
        <v>52</v>
      </c>
      <c r="AC766" t="s">
        <v>53</v>
      </c>
      <c r="AD766" t="s">
        <v>54</v>
      </c>
      <c r="AE766">
        <v>19.801078533399998</v>
      </c>
      <c r="AF766">
        <v>1997</v>
      </c>
      <c r="AG766">
        <v>1996.6737167000001</v>
      </c>
      <c r="AH766">
        <v>198013.96574399999</v>
      </c>
      <c r="AI766">
        <v>50</v>
      </c>
      <c r="AJ766">
        <v>168693.391243594</v>
      </c>
      <c r="AK766" s="1">
        <f>intersection_ss_Lden___surface[[#This Row],[surf m2 bout ss]]/intersection_ss_Lden___surface[[#This Row],[Shape_Area]]</f>
        <v>0.85192673461066504</v>
      </c>
      <c r="AL766">
        <v>1767</v>
      </c>
      <c r="AM766">
        <f>intersection_ss_Lden___surface[[#This Row],[Population totale 2024 ss]]*intersection_ss_Lden___surface[[#This Row],[Part de la surface du qs dans le noise contour]]</f>
        <v>1505.3545400570451</v>
      </c>
    </row>
    <row r="767" spans="1:39" x14ac:dyDescent="0.3">
      <c r="A767">
        <v>797</v>
      </c>
      <c r="B767" t="s">
        <v>1171</v>
      </c>
      <c r="C767" t="s">
        <v>1172</v>
      </c>
      <c r="D767" t="s">
        <v>1173</v>
      </c>
      <c r="E767" t="s">
        <v>1173</v>
      </c>
      <c r="F767" t="s">
        <v>1161</v>
      </c>
      <c r="G767" t="s">
        <v>1079</v>
      </c>
      <c r="H767" t="s">
        <v>1080</v>
      </c>
      <c r="I767" t="s">
        <v>1081</v>
      </c>
      <c r="J767" t="s">
        <v>36</v>
      </c>
      <c r="K767">
        <v>21015</v>
      </c>
      <c r="L767" t="s">
        <v>1082</v>
      </c>
      <c r="M767" t="s">
        <v>1083</v>
      </c>
      <c r="N767" t="s">
        <v>1083</v>
      </c>
      <c r="O767">
        <v>21000</v>
      </c>
      <c r="P767" t="s">
        <v>46</v>
      </c>
      <c r="Q767" t="s">
        <v>47</v>
      </c>
      <c r="R767" t="s">
        <v>48</v>
      </c>
      <c r="T767" t="s">
        <v>36</v>
      </c>
      <c r="U767" t="s">
        <v>36</v>
      </c>
      <c r="V767" t="s">
        <v>36</v>
      </c>
      <c r="W767">
        <v>4000</v>
      </c>
      <c r="X767" t="s">
        <v>49</v>
      </c>
      <c r="Y767" t="s">
        <v>50</v>
      </c>
      <c r="Z767" t="s">
        <v>51</v>
      </c>
      <c r="AA767" t="s">
        <v>37</v>
      </c>
      <c r="AB767" t="s">
        <v>52</v>
      </c>
      <c r="AC767" t="s">
        <v>53</v>
      </c>
      <c r="AD767" t="s">
        <v>54</v>
      </c>
      <c r="AE767">
        <v>15.4961632666</v>
      </c>
      <c r="AF767">
        <v>1754</v>
      </c>
      <c r="AG767">
        <v>1754.17067653</v>
      </c>
      <c r="AH767">
        <v>154964.13486699999</v>
      </c>
      <c r="AI767">
        <v>50</v>
      </c>
      <c r="AJ767">
        <v>143247.49662919101</v>
      </c>
      <c r="AK767" s="1">
        <f>intersection_ss_Lden___surface[[#This Row],[surf m2 bout ss]]/intersection_ss_Lden___surface[[#This Row],[Shape_Area]]</f>
        <v>0.92439129061789083</v>
      </c>
      <c r="AL767">
        <v>3694</v>
      </c>
      <c r="AM767">
        <f>intersection_ss_Lden___surface[[#This Row],[Population totale 2024 ss]]*intersection_ss_Lden___surface[[#This Row],[Part de la surface du qs dans le noise contour]]</f>
        <v>3414.7014275424885</v>
      </c>
    </row>
    <row r="768" spans="1:39" x14ac:dyDescent="0.3">
      <c r="A768">
        <v>798</v>
      </c>
      <c r="B768" t="s">
        <v>1171</v>
      </c>
      <c r="C768" t="s">
        <v>1172</v>
      </c>
      <c r="D768" t="s">
        <v>1173</v>
      </c>
      <c r="E768" t="s">
        <v>1173</v>
      </c>
      <c r="F768" t="s">
        <v>1161</v>
      </c>
      <c r="G768" t="s">
        <v>1079</v>
      </c>
      <c r="H768" t="s">
        <v>1080</v>
      </c>
      <c r="I768" t="s">
        <v>1081</v>
      </c>
      <c r="J768" t="s">
        <v>36</v>
      </c>
      <c r="K768">
        <v>21015</v>
      </c>
      <c r="L768" t="s">
        <v>1082</v>
      </c>
      <c r="M768" t="s">
        <v>1083</v>
      </c>
      <c r="N768" t="s">
        <v>1083</v>
      </c>
      <c r="O768">
        <v>21000</v>
      </c>
      <c r="P768" t="s">
        <v>46</v>
      </c>
      <c r="Q768" t="s">
        <v>47</v>
      </c>
      <c r="R768" t="s">
        <v>48</v>
      </c>
      <c r="T768" t="s">
        <v>36</v>
      </c>
      <c r="U768" t="s">
        <v>36</v>
      </c>
      <c r="V768" t="s">
        <v>36</v>
      </c>
      <c r="W768">
        <v>4000</v>
      </c>
      <c r="X768" t="s">
        <v>49</v>
      </c>
      <c r="Y768" t="s">
        <v>50</v>
      </c>
      <c r="Z768" t="s">
        <v>51</v>
      </c>
      <c r="AA768" t="s">
        <v>37</v>
      </c>
      <c r="AB768" t="s">
        <v>52</v>
      </c>
      <c r="AC768" t="s">
        <v>53</v>
      </c>
      <c r="AD768" t="s">
        <v>54</v>
      </c>
      <c r="AE768">
        <v>15.4961632666</v>
      </c>
      <c r="AF768">
        <v>1754</v>
      </c>
      <c r="AG768">
        <v>1754.17067653</v>
      </c>
      <c r="AH768">
        <v>154964.13486699999</v>
      </c>
      <c r="AI768">
        <v>51</v>
      </c>
      <c r="AJ768">
        <v>11731.205706983799</v>
      </c>
      <c r="AK768" s="1">
        <f>intersection_ss_Lden___surface[[#This Row],[surf m2 bout ss]]/intersection_ss_Lden___surface[[#This Row],[Shape_Area]]</f>
        <v>7.5702714805927593E-2</v>
      </c>
      <c r="AL768">
        <v>3694</v>
      </c>
      <c r="AM768">
        <f>intersection_ss_Lden___surface[[#This Row],[Population totale 2024 ss]]*intersection_ss_Lden___surface[[#This Row],[Part de la surface du qs dans le noise contour]]</f>
        <v>279.64582849309653</v>
      </c>
    </row>
    <row r="769" spans="1:39" x14ac:dyDescent="0.3">
      <c r="A769">
        <v>799</v>
      </c>
      <c r="B769" t="s">
        <v>1174</v>
      </c>
      <c r="C769" t="s">
        <v>1175</v>
      </c>
      <c r="D769" t="s">
        <v>1176</v>
      </c>
      <c r="E769" t="s">
        <v>1176</v>
      </c>
      <c r="F769" t="s">
        <v>1161</v>
      </c>
      <c r="G769" t="s">
        <v>1079</v>
      </c>
      <c r="H769" t="s">
        <v>1080</v>
      </c>
      <c r="I769" t="s">
        <v>1081</v>
      </c>
      <c r="J769" t="s">
        <v>36</v>
      </c>
      <c r="K769">
        <v>21015</v>
      </c>
      <c r="L769" t="s">
        <v>1082</v>
      </c>
      <c r="M769" t="s">
        <v>1083</v>
      </c>
      <c r="N769" t="s">
        <v>1083</v>
      </c>
      <c r="O769">
        <v>21000</v>
      </c>
      <c r="P769" t="s">
        <v>46</v>
      </c>
      <c r="Q769" t="s">
        <v>47</v>
      </c>
      <c r="R769" t="s">
        <v>48</v>
      </c>
      <c r="T769" t="s">
        <v>36</v>
      </c>
      <c r="U769" t="s">
        <v>36</v>
      </c>
      <c r="V769" t="s">
        <v>36</v>
      </c>
      <c r="W769">
        <v>4000</v>
      </c>
      <c r="X769" t="s">
        <v>49</v>
      </c>
      <c r="Y769" t="s">
        <v>50</v>
      </c>
      <c r="Z769" t="s">
        <v>51</v>
      </c>
      <c r="AA769" t="s">
        <v>37</v>
      </c>
      <c r="AB769" t="s">
        <v>52</v>
      </c>
      <c r="AC769" t="s">
        <v>53</v>
      </c>
      <c r="AD769" t="s">
        <v>54</v>
      </c>
      <c r="AE769">
        <v>4.8020029199299996</v>
      </c>
      <c r="AF769">
        <v>993</v>
      </c>
      <c r="AG769">
        <v>993.22072457000002</v>
      </c>
      <c r="AH769">
        <v>48020.803281200002</v>
      </c>
      <c r="AI769">
        <v>50</v>
      </c>
      <c r="AJ769">
        <v>6196.7031175866696</v>
      </c>
      <c r="AK769" s="1">
        <f>intersection_ss_Lden___surface[[#This Row],[surf m2 bout ss]]/intersection_ss_Lden___surface[[#This Row],[Shape_Area]]</f>
        <v>0.12904205457164145</v>
      </c>
      <c r="AL769">
        <v>1529</v>
      </c>
      <c r="AM769">
        <f>intersection_ss_Lden___surface[[#This Row],[Population totale 2024 ss]]*intersection_ss_Lden___surface[[#This Row],[Part de la surface du qs dans le noise contour]]</f>
        <v>197.30530144003978</v>
      </c>
    </row>
    <row r="770" spans="1:39" x14ac:dyDescent="0.3">
      <c r="A770">
        <v>800</v>
      </c>
      <c r="B770" t="s">
        <v>1174</v>
      </c>
      <c r="C770" t="s">
        <v>1175</v>
      </c>
      <c r="D770" t="s">
        <v>1176</v>
      </c>
      <c r="E770" t="s">
        <v>1176</v>
      </c>
      <c r="F770" t="s">
        <v>1161</v>
      </c>
      <c r="G770" t="s">
        <v>1079</v>
      </c>
      <c r="H770" t="s">
        <v>1080</v>
      </c>
      <c r="I770" t="s">
        <v>1081</v>
      </c>
      <c r="J770" t="s">
        <v>36</v>
      </c>
      <c r="K770">
        <v>21015</v>
      </c>
      <c r="L770" t="s">
        <v>1082</v>
      </c>
      <c r="M770" t="s">
        <v>1083</v>
      </c>
      <c r="N770" t="s">
        <v>1083</v>
      </c>
      <c r="O770">
        <v>21000</v>
      </c>
      <c r="P770" t="s">
        <v>46</v>
      </c>
      <c r="Q770" t="s">
        <v>47</v>
      </c>
      <c r="R770" t="s">
        <v>48</v>
      </c>
      <c r="T770" t="s">
        <v>36</v>
      </c>
      <c r="U770" t="s">
        <v>36</v>
      </c>
      <c r="V770" t="s">
        <v>36</v>
      </c>
      <c r="W770">
        <v>4000</v>
      </c>
      <c r="X770" t="s">
        <v>49</v>
      </c>
      <c r="Y770" t="s">
        <v>50</v>
      </c>
      <c r="Z770" t="s">
        <v>51</v>
      </c>
      <c r="AA770" t="s">
        <v>37</v>
      </c>
      <c r="AB770" t="s">
        <v>52</v>
      </c>
      <c r="AC770" t="s">
        <v>53</v>
      </c>
      <c r="AD770" t="s">
        <v>54</v>
      </c>
      <c r="AE770">
        <v>4.8020029199299996</v>
      </c>
      <c r="AF770">
        <v>993</v>
      </c>
      <c r="AG770">
        <v>993.22072457000002</v>
      </c>
      <c r="AH770">
        <v>48020.803281200002</v>
      </c>
      <c r="AI770">
        <v>51</v>
      </c>
      <c r="AJ770">
        <v>41828.587089685701</v>
      </c>
      <c r="AK770" s="1">
        <f>intersection_ss_Lden___surface[[#This Row],[surf m2 bout ss]]/intersection_ss_Lden___surface[[#This Row],[Shape_Area]]</f>
        <v>0.87105138255905568</v>
      </c>
      <c r="AL770">
        <v>1529</v>
      </c>
      <c r="AM770">
        <f>intersection_ss_Lden___surface[[#This Row],[Population totale 2024 ss]]*intersection_ss_Lden___surface[[#This Row],[Part de la surface du qs dans le noise contour]]</f>
        <v>1331.8375639327962</v>
      </c>
    </row>
    <row r="771" spans="1:39" x14ac:dyDescent="0.3">
      <c r="A771">
        <v>801</v>
      </c>
      <c r="B771" t="s">
        <v>1177</v>
      </c>
      <c r="C771" t="s">
        <v>1178</v>
      </c>
      <c r="D771" t="s">
        <v>1179</v>
      </c>
      <c r="E771" t="s">
        <v>1179</v>
      </c>
      <c r="F771" t="s">
        <v>1180</v>
      </c>
      <c r="G771" t="s">
        <v>1079</v>
      </c>
      <c r="H771" t="s">
        <v>1080</v>
      </c>
      <c r="I771" t="s">
        <v>1081</v>
      </c>
      <c r="J771" t="s">
        <v>36</v>
      </c>
      <c r="K771">
        <v>21015</v>
      </c>
      <c r="L771" t="s">
        <v>1082</v>
      </c>
      <c r="M771" t="s">
        <v>1083</v>
      </c>
      <c r="N771" t="s">
        <v>1083</v>
      </c>
      <c r="O771">
        <v>21000</v>
      </c>
      <c r="P771" t="s">
        <v>46</v>
      </c>
      <c r="Q771" t="s">
        <v>47</v>
      </c>
      <c r="R771" t="s">
        <v>48</v>
      </c>
      <c r="T771" t="s">
        <v>36</v>
      </c>
      <c r="U771" t="s">
        <v>36</v>
      </c>
      <c r="V771" t="s">
        <v>36</v>
      </c>
      <c r="W771">
        <v>4000</v>
      </c>
      <c r="X771" t="s">
        <v>49</v>
      </c>
      <c r="Y771" t="s">
        <v>50</v>
      </c>
      <c r="Z771" t="s">
        <v>51</v>
      </c>
      <c r="AA771" t="s">
        <v>37</v>
      </c>
      <c r="AB771" t="s">
        <v>52</v>
      </c>
      <c r="AC771" t="s">
        <v>53</v>
      </c>
      <c r="AD771" t="s">
        <v>54</v>
      </c>
      <c r="AE771">
        <v>26.168033409900001</v>
      </c>
      <c r="AF771">
        <v>2215</v>
      </c>
      <c r="AG771">
        <v>2214.6028304299998</v>
      </c>
      <c r="AH771">
        <v>261684.54288299999</v>
      </c>
      <c r="AI771">
        <v>46</v>
      </c>
      <c r="AJ771">
        <v>12342.5755156417</v>
      </c>
      <c r="AK771" s="1">
        <f>intersection_ss_Lden___surface[[#This Row],[surf m2 bout ss]]/intersection_ss_Lden___surface[[#This Row],[Shape_Area]]</f>
        <v>4.7165856185705651E-2</v>
      </c>
      <c r="AL771">
        <v>5345</v>
      </c>
      <c r="AM771">
        <f>intersection_ss_Lden___surface[[#This Row],[Population totale 2024 ss]]*intersection_ss_Lden___surface[[#This Row],[Part de la surface du qs dans le noise contour]]</f>
        <v>252.1015013125967</v>
      </c>
    </row>
    <row r="772" spans="1:39" x14ac:dyDescent="0.3">
      <c r="A772">
        <v>802</v>
      </c>
      <c r="B772" t="s">
        <v>1177</v>
      </c>
      <c r="C772" t="s">
        <v>1178</v>
      </c>
      <c r="D772" t="s">
        <v>1179</v>
      </c>
      <c r="E772" t="s">
        <v>1179</v>
      </c>
      <c r="F772" t="s">
        <v>1180</v>
      </c>
      <c r="G772" t="s">
        <v>1079</v>
      </c>
      <c r="H772" t="s">
        <v>1080</v>
      </c>
      <c r="I772" t="s">
        <v>1081</v>
      </c>
      <c r="J772" t="s">
        <v>36</v>
      </c>
      <c r="K772">
        <v>21015</v>
      </c>
      <c r="L772" t="s">
        <v>1082</v>
      </c>
      <c r="M772" t="s">
        <v>1083</v>
      </c>
      <c r="N772" t="s">
        <v>1083</v>
      </c>
      <c r="O772">
        <v>21000</v>
      </c>
      <c r="P772" t="s">
        <v>46</v>
      </c>
      <c r="Q772" t="s">
        <v>47</v>
      </c>
      <c r="R772" t="s">
        <v>48</v>
      </c>
      <c r="T772" t="s">
        <v>36</v>
      </c>
      <c r="U772" t="s">
        <v>36</v>
      </c>
      <c r="V772" t="s">
        <v>36</v>
      </c>
      <c r="W772">
        <v>4000</v>
      </c>
      <c r="X772" t="s">
        <v>49</v>
      </c>
      <c r="Y772" t="s">
        <v>50</v>
      </c>
      <c r="Z772" t="s">
        <v>51</v>
      </c>
      <c r="AA772" t="s">
        <v>37</v>
      </c>
      <c r="AB772" t="s">
        <v>52</v>
      </c>
      <c r="AC772" t="s">
        <v>53</v>
      </c>
      <c r="AD772" t="s">
        <v>54</v>
      </c>
      <c r="AE772">
        <v>26.168033409900001</v>
      </c>
      <c r="AF772">
        <v>2215</v>
      </c>
      <c r="AG772">
        <v>2214.6028304299998</v>
      </c>
      <c r="AH772">
        <v>261684.54288299999</v>
      </c>
      <c r="AI772">
        <v>47</v>
      </c>
      <c r="AJ772">
        <v>111771.74595789101</v>
      </c>
      <c r="AK772" s="1">
        <f>intersection_ss_Lden___surface[[#This Row],[surf m2 bout ss]]/intersection_ss_Lden___surface[[#This Row],[Shape_Area]]</f>
        <v>0.42712398954287689</v>
      </c>
      <c r="AL772">
        <v>5345</v>
      </c>
      <c r="AM772">
        <f>intersection_ss_Lden___surface[[#This Row],[Population totale 2024 ss]]*intersection_ss_Lden___surface[[#This Row],[Part de la surface du qs dans le noise contour]]</f>
        <v>2282.9777241066768</v>
      </c>
    </row>
    <row r="773" spans="1:39" x14ac:dyDescent="0.3">
      <c r="A773">
        <v>803</v>
      </c>
      <c r="B773" t="s">
        <v>1177</v>
      </c>
      <c r="C773" t="s">
        <v>1178</v>
      </c>
      <c r="D773" t="s">
        <v>1179</v>
      </c>
      <c r="E773" t="s">
        <v>1179</v>
      </c>
      <c r="F773" t="s">
        <v>1180</v>
      </c>
      <c r="G773" t="s">
        <v>1079</v>
      </c>
      <c r="H773" t="s">
        <v>1080</v>
      </c>
      <c r="I773" t="s">
        <v>1081</v>
      </c>
      <c r="J773" t="s">
        <v>36</v>
      </c>
      <c r="K773">
        <v>21015</v>
      </c>
      <c r="L773" t="s">
        <v>1082</v>
      </c>
      <c r="M773" t="s">
        <v>1083</v>
      </c>
      <c r="N773" t="s">
        <v>1083</v>
      </c>
      <c r="O773">
        <v>21000</v>
      </c>
      <c r="P773" t="s">
        <v>46</v>
      </c>
      <c r="Q773" t="s">
        <v>47</v>
      </c>
      <c r="R773" t="s">
        <v>48</v>
      </c>
      <c r="T773" t="s">
        <v>36</v>
      </c>
      <c r="U773" t="s">
        <v>36</v>
      </c>
      <c r="V773" t="s">
        <v>36</v>
      </c>
      <c r="W773">
        <v>4000</v>
      </c>
      <c r="X773" t="s">
        <v>49</v>
      </c>
      <c r="Y773" t="s">
        <v>50</v>
      </c>
      <c r="Z773" t="s">
        <v>51</v>
      </c>
      <c r="AA773" t="s">
        <v>37</v>
      </c>
      <c r="AB773" t="s">
        <v>52</v>
      </c>
      <c r="AC773" t="s">
        <v>53</v>
      </c>
      <c r="AD773" t="s">
        <v>54</v>
      </c>
      <c r="AE773">
        <v>26.168033409900001</v>
      </c>
      <c r="AF773">
        <v>2215</v>
      </c>
      <c r="AG773">
        <v>2214.6028304299998</v>
      </c>
      <c r="AH773">
        <v>261684.54288299999</v>
      </c>
      <c r="AI773">
        <v>48</v>
      </c>
      <c r="AJ773">
        <v>110643.628137594</v>
      </c>
      <c r="AK773" s="1">
        <f>intersection_ss_Lden___surface[[#This Row],[surf m2 bout ss]]/intersection_ss_Lden___surface[[#This Row],[Shape_Area]]</f>
        <v>0.42281300576115083</v>
      </c>
      <c r="AL773">
        <v>5345</v>
      </c>
      <c r="AM773">
        <f>intersection_ss_Lden___surface[[#This Row],[Population totale 2024 ss]]*intersection_ss_Lden___surface[[#This Row],[Part de la surface du qs dans le noise contour]]</f>
        <v>2259.935515793351</v>
      </c>
    </row>
    <row r="774" spans="1:39" x14ac:dyDescent="0.3">
      <c r="A774">
        <v>804</v>
      </c>
      <c r="B774" t="s">
        <v>1177</v>
      </c>
      <c r="C774" t="s">
        <v>1178</v>
      </c>
      <c r="D774" t="s">
        <v>1179</v>
      </c>
      <c r="E774" t="s">
        <v>1179</v>
      </c>
      <c r="F774" t="s">
        <v>1180</v>
      </c>
      <c r="G774" t="s">
        <v>1079</v>
      </c>
      <c r="H774" t="s">
        <v>1080</v>
      </c>
      <c r="I774" t="s">
        <v>1081</v>
      </c>
      <c r="J774" t="s">
        <v>36</v>
      </c>
      <c r="K774">
        <v>21015</v>
      </c>
      <c r="L774" t="s">
        <v>1082</v>
      </c>
      <c r="M774" t="s">
        <v>1083</v>
      </c>
      <c r="N774" t="s">
        <v>1083</v>
      </c>
      <c r="O774">
        <v>21000</v>
      </c>
      <c r="P774" t="s">
        <v>46</v>
      </c>
      <c r="Q774" t="s">
        <v>47</v>
      </c>
      <c r="R774" t="s">
        <v>48</v>
      </c>
      <c r="T774" t="s">
        <v>36</v>
      </c>
      <c r="U774" t="s">
        <v>36</v>
      </c>
      <c r="V774" t="s">
        <v>36</v>
      </c>
      <c r="W774">
        <v>4000</v>
      </c>
      <c r="X774" t="s">
        <v>49</v>
      </c>
      <c r="Y774" t="s">
        <v>50</v>
      </c>
      <c r="Z774" t="s">
        <v>51</v>
      </c>
      <c r="AA774" t="s">
        <v>37</v>
      </c>
      <c r="AB774" t="s">
        <v>52</v>
      </c>
      <c r="AC774" t="s">
        <v>53</v>
      </c>
      <c r="AD774" t="s">
        <v>54</v>
      </c>
      <c r="AE774">
        <v>26.168033409900001</v>
      </c>
      <c r="AF774">
        <v>2215</v>
      </c>
      <c r="AG774">
        <v>2214.6028304299998</v>
      </c>
      <c r="AH774">
        <v>261684.54288299999</v>
      </c>
      <c r="AI774">
        <v>49</v>
      </c>
      <c r="AJ774">
        <v>26952.262656346</v>
      </c>
      <c r="AK774" s="1">
        <f>intersection_ss_Lden___surface[[#This Row],[surf m2 bout ss]]/intersection_ss_Lden___surface[[#This Row],[Shape_Area]]</f>
        <v>0.10299524136737585</v>
      </c>
      <c r="AL774">
        <v>5345</v>
      </c>
      <c r="AM774">
        <f>intersection_ss_Lden___surface[[#This Row],[Population totale 2024 ss]]*intersection_ss_Lden___surface[[#This Row],[Part de la surface du qs dans le noise contour]]</f>
        <v>550.50956510862397</v>
      </c>
    </row>
    <row r="775" spans="1:39" x14ac:dyDescent="0.3">
      <c r="A775">
        <v>805</v>
      </c>
      <c r="B775" t="s">
        <v>1181</v>
      </c>
      <c r="C775" t="s">
        <v>1182</v>
      </c>
      <c r="D775" t="s">
        <v>1183</v>
      </c>
      <c r="E775" t="s">
        <v>1183</v>
      </c>
      <c r="F775" t="s">
        <v>1180</v>
      </c>
      <c r="G775" t="s">
        <v>1079</v>
      </c>
      <c r="H775" t="s">
        <v>1080</v>
      </c>
      <c r="I775" t="s">
        <v>1081</v>
      </c>
      <c r="J775" t="s">
        <v>36</v>
      </c>
      <c r="K775">
        <v>21015</v>
      </c>
      <c r="L775" t="s">
        <v>1082</v>
      </c>
      <c r="M775" t="s">
        <v>1083</v>
      </c>
      <c r="N775" t="s">
        <v>1083</v>
      </c>
      <c r="O775">
        <v>21000</v>
      </c>
      <c r="P775" t="s">
        <v>46</v>
      </c>
      <c r="Q775" t="s">
        <v>47</v>
      </c>
      <c r="R775" t="s">
        <v>48</v>
      </c>
      <c r="T775" t="s">
        <v>36</v>
      </c>
      <c r="U775" t="s">
        <v>36</v>
      </c>
      <c r="V775" t="s">
        <v>36</v>
      </c>
      <c r="W775">
        <v>4000</v>
      </c>
      <c r="X775" t="s">
        <v>49</v>
      </c>
      <c r="Y775" t="s">
        <v>50</v>
      </c>
      <c r="Z775" t="s">
        <v>51</v>
      </c>
      <c r="AA775" t="s">
        <v>37</v>
      </c>
      <c r="AB775" t="s">
        <v>52</v>
      </c>
      <c r="AC775" t="s">
        <v>53</v>
      </c>
      <c r="AD775" t="s">
        <v>54</v>
      </c>
      <c r="AE775">
        <v>15.747530103200001</v>
      </c>
      <c r="AF775">
        <v>1710</v>
      </c>
      <c r="AG775">
        <v>1710.4796744800001</v>
      </c>
      <c r="AH775">
        <v>157477.85107599999</v>
      </c>
      <c r="AI775">
        <v>48</v>
      </c>
      <c r="AJ775">
        <v>32836.747498331701</v>
      </c>
      <c r="AK775" s="1">
        <f>intersection_ss_Lden___surface[[#This Row],[surf m2 bout ss]]/intersection_ss_Lden___surface[[#This Row],[Shape_Area]]</f>
        <v>0.20851660899591803</v>
      </c>
      <c r="AL775">
        <v>1778</v>
      </c>
      <c r="AM775">
        <f>intersection_ss_Lden___surface[[#This Row],[Population totale 2024 ss]]*intersection_ss_Lden___surface[[#This Row],[Part de la surface du qs dans le noise contour]]</f>
        <v>370.74253079474227</v>
      </c>
    </row>
    <row r="776" spans="1:39" x14ac:dyDescent="0.3">
      <c r="A776">
        <v>806</v>
      </c>
      <c r="B776" t="s">
        <v>1181</v>
      </c>
      <c r="C776" t="s">
        <v>1182</v>
      </c>
      <c r="D776" t="s">
        <v>1183</v>
      </c>
      <c r="E776" t="s">
        <v>1183</v>
      </c>
      <c r="F776" t="s">
        <v>1180</v>
      </c>
      <c r="G776" t="s">
        <v>1079</v>
      </c>
      <c r="H776" t="s">
        <v>1080</v>
      </c>
      <c r="I776" t="s">
        <v>1081</v>
      </c>
      <c r="J776" t="s">
        <v>36</v>
      </c>
      <c r="K776">
        <v>21015</v>
      </c>
      <c r="L776" t="s">
        <v>1082</v>
      </c>
      <c r="M776" t="s">
        <v>1083</v>
      </c>
      <c r="N776" t="s">
        <v>1083</v>
      </c>
      <c r="O776">
        <v>21000</v>
      </c>
      <c r="P776" t="s">
        <v>46</v>
      </c>
      <c r="Q776" t="s">
        <v>47</v>
      </c>
      <c r="R776" t="s">
        <v>48</v>
      </c>
      <c r="T776" t="s">
        <v>36</v>
      </c>
      <c r="U776" t="s">
        <v>36</v>
      </c>
      <c r="V776" t="s">
        <v>36</v>
      </c>
      <c r="W776">
        <v>4000</v>
      </c>
      <c r="X776" t="s">
        <v>49</v>
      </c>
      <c r="Y776" t="s">
        <v>50</v>
      </c>
      <c r="Z776" t="s">
        <v>51</v>
      </c>
      <c r="AA776" t="s">
        <v>37</v>
      </c>
      <c r="AB776" t="s">
        <v>52</v>
      </c>
      <c r="AC776" t="s">
        <v>53</v>
      </c>
      <c r="AD776" t="s">
        <v>54</v>
      </c>
      <c r="AE776">
        <v>15.747530103200001</v>
      </c>
      <c r="AF776">
        <v>1710</v>
      </c>
      <c r="AG776">
        <v>1710.4796744800001</v>
      </c>
      <c r="AH776">
        <v>157477.85107599999</v>
      </c>
      <c r="AI776">
        <v>49</v>
      </c>
      <c r="AJ776">
        <v>87270.8766622189</v>
      </c>
      <c r="AK776" s="1">
        <f>intersection_ss_Lden___surface[[#This Row],[surf m2 bout ss]]/intersection_ss_Lden___surface[[#This Row],[Shape_Area]]</f>
        <v>0.55417873730129397</v>
      </c>
      <c r="AL776">
        <v>1778</v>
      </c>
      <c r="AM776">
        <f>intersection_ss_Lden___surface[[#This Row],[Population totale 2024 ss]]*intersection_ss_Lden___surface[[#This Row],[Part de la surface du qs dans le noise contour]]</f>
        <v>985.32979492170068</v>
      </c>
    </row>
    <row r="777" spans="1:39" x14ac:dyDescent="0.3">
      <c r="A777">
        <v>807</v>
      </c>
      <c r="B777" t="s">
        <v>1181</v>
      </c>
      <c r="C777" t="s">
        <v>1182</v>
      </c>
      <c r="D777" t="s">
        <v>1183</v>
      </c>
      <c r="E777" t="s">
        <v>1183</v>
      </c>
      <c r="F777" t="s">
        <v>1180</v>
      </c>
      <c r="G777" t="s">
        <v>1079</v>
      </c>
      <c r="H777" t="s">
        <v>1080</v>
      </c>
      <c r="I777" t="s">
        <v>1081</v>
      </c>
      <c r="J777" t="s">
        <v>36</v>
      </c>
      <c r="K777">
        <v>21015</v>
      </c>
      <c r="L777" t="s">
        <v>1082</v>
      </c>
      <c r="M777" t="s">
        <v>1083</v>
      </c>
      <c r="N777" t="s">
        <v>1083</v>
      </c>
      <c r="O777">
        <v>21000</v>
      </c>
      <c r="P777" t="s">
        <v>46</v>
      </c>
      <c r="Q777" t="s">
        <v>47</v>
      </c>
      <c r="R777" t="s">
        <v>48</v>
      </c>
      <c r="T777" t="s">
        <v>36</v>
      </c>
      <c r="U777" t="s">
        <v>36</v>
      </c>
      <c r="V777" t="s">
        <v>36</v>
      </c>
      <c r="W777">
        <v>4000</v>
      </c>
      <c r="X777" t="s">
        <v>49</v>
      </c>
      <c r="Y777" t="s">
        <v>50</v>
      </c>
      <c r="Z777" t="s">
        <v>51</v>
      </c>
      <c r="AA777" t="s">
        <v>37</v>
      </c>
      <c r="AB777" t="s">
        <v>52</v>
      </c>
      <c r="AC777" t="s">
        <v>53</v>
      </c>
      <c r="AD777" t="s">
        <v>54</v>
      </c>
      <c r="AE777">
        <v>15.747530103200001</v>
      </c>
      <c r="AF777">
        <v>1710</v>
      </c>
      <c r="AG777">
        <v>1710.4796744800001</v>
      </c>
      <c r="AH777">
        <v>157477.85107599999</v>
      </c>
      <c r="AI777">
        <v>50</v>
      </c>
      <c r="AJ777">
        <v>37385.702914990499</v>
      </c>
      <c r="AK777" s="1">
        <f>intersection_ss_Lden___surface[[#This Row],[surf m2 bout ss]]/intersection_ss_Lden___surface[[#This Row],[Shape_Area]]</f>
        <v>0.23740292783743841</v>
      </c>
      <c r="AL777">
        <v>1778</v>
      </c>
      <c r="AM777">
        <f>intersection_ss_Lden___surface[[#This Row],[Population totale 2024 ss]]*intersection_ss_Lden___surface[[#This Row],[Part de la surface du qs dans le noise contour]]</f>
        <v>422.10240569496551</v>
      </c>
    </row>
    <row r="778" spans="1:39" x14ac:dyDescent="0.3">
      <c r="A778">
        <v>808</v>
      </c>
      <c r="B778" t="s">
        <v>1184</v>
      </c>
      <c r="C778" t="s">
        <v>1185</v>
      </c>
      <c r="D778" t="s">
        <v>1186</v>
      </c>
      <c r="E778" t="s">
        <v>1186</v>
      </c>
      <c r="F778" t="s">
        <v>1180</v>
      </c>
      <c r="G778" t="s">
        <v>1079</v>
      </c>
      <c r="H778" t="s">
        <v>1080</v>
      </c>
      <c r="I778" t="s">
        <v>1081</v>
      </c>
      <c r="J778" t="s">
        <v>36</v>
      </c>
      <c r="K778">
        <v>21015</v>
      </c>
      <c r="L778" t="s">
        <v>1082</v>
      </c>
      <c r="M778" t="s">
        <v>1083</v>
      </c>
      <c r="N778" t="s">
        <v>1083</v>
      </c>
      <c r="O778">
        <v>21000</v>
      </c>
      <c r="P778" t="s">
        <v>46</v>
      </c>
      <c r="Q778" t="s">
        <v>47</v>
      </c>
      <c r="R778" t="s">
        <v>48</v>
      </c>
      <c r="T778" t="s">
        <v>36</v>
      </c>
      <c r="U778" t="s">
        <v>36</v>
      </c>
      <c r="V778" t="s">
        <v>36</v>
      </c>
      <c r="W778">
        <v>4000</v>
      </c>
      <c r="X778" t="s">
        <v>49</v>
      </c>
      <c r="Y778" t="s">
        <v>50</v>
      </c>
      <c r="Z778" t="s">
        <v>51</v>
      </c>
      <c r="AA778" t="s">
        <v>37</v>
      </c>
      <c r="AB778" t="s">
        <v>52</v>
      </c>
      <c r="AC778" t="s">
        <v>53</v>
      </c>
      <c r="AD778" t="s">
        <v>54</v>
      </c>
      <c r="AE778">
        <v>26.887489949799999</v>
      </c>
      <c r="AF778">
        <v>2220</v>
      </c>
      <c r="AG778">
        <v>2219.5649905400001</v>
      </c>
      <c r="AH778">
        <v>268879.20759800001</v>
      </c>
      <c r="AI778">
        <v>46</v>
      </c>
      <c r="AJ778">
        <v>40104.992257210397</v>
      </c>
      <c r="AK778" s="1">
        <f>intersection_ss_Lden___surface[[#This Row],[surf m2 bout ss]]/intersection_ss_Lden___surface[[#This Row],[Shape_Area]]</f>
        <v>0.14915616798890294</v>
      </c>
      <c r="AL778">
        <v>3087</v>
      </c>
      <c r="AM778">
        <f>intersection_ss_Lden___surface[[#This Row],[Population totale 2024 ss]]*intersection_ss_Lden___surface[[#This Row],[Part de la surface du qs dans le noise contour]]</f>
        <v>460.44509058174339</v>
      </c>
    </row>
    <row r="779" spans="1:39" x14ac:dyDescent="0.3">
      <c r="A779">
        <v>809</v>
      </c>
      <c r="B779" t="s">
        <v>1184</v>
      </c>
      <c r="C779" t="s">
        <v>1185</v>
      </c>
      <c r="D779" t="s">
        <v>1186</v>
      </c>
      <c r="E779" t="s">
        <v>1186</v>
      </c>
      <c r="F779" t="s">
        <v>1180</v>
      </c>
      <c r="G779" t="s">
        <v>1079</v>
      </c>
      <c r="H779" t="s">
        <v>1080</v>
      </c>
      <c r="I779" t="s">
        <v>1081</v>
      </c>
      <c r="J779" t="s">
        <v>36</v>
      </c>
      <c r="K779">
        <v>21015</v>
      </c>
      <c r="L779" t="s">
        <v>1082</v>
      </c>
      <c r="M779" t="s">
        <v>1083</v>
      </c>
      <c r="N779" t="s">
        <v>1083</v>
      </c>
      <c r="O779">
        <v>21000</v>
      </c>
      <c r="P779" t="s">
        <v>46</v>
      </c>
      <c r="Q779" t="s">
        <v>47</v>
      </c>
      <c r="R779" t="s">
        <v>48</v>
      </c>
      <c r="T779" t="s">
        <v>36</v>
      </c>
      <c r="U779" t="s">
        <v>36</v>
      </c>
      <c r="V779" t="s">
        <v>36</v>
      </c>
      <c r="W779">
        <v>4000</v>
      </c>
      <c r="X779" t="s">
        <v>49</v>
      </c>
      <c r="Y779" t="s">
        <v>50</v>
      </c>
      <c r="Z779" t="s">
        <v>51</v>
      </c>
      <c r="AA779" t="s">
        <v>37</v>
      </c>
      <c r="AB779" t="s">
        <v>52</v>
      </c>
      <c r="AC779" t="s">
        <v>53</v>
      </c>
      <c r="AD779" t="s">
        <v>54</v>
      </c>
      <c r="AE779">
        <v>26.887489949799999</v>
      </c>
      <c r="AF779">
        <v>2220</v>
      </c>
      <c r="AG779">
        <v>2219.5649905400001</v>
      </c>
      <c r="AH779">
        <v>268879.20759800001</v>
      </c>
      <c r="AI779">
        <v>47</v>
      </c>
      <c r="AJ779">
        <v>144233.582932363</v>
      </c>
      <c r="AK779" s="1">
        <f>intersection_ss_Lden___surface[[#This Row],[surf m2 bout ss]]/intersection_ss_Lden___surface[[#This Row],[Shape_Area]]</f>
        <v>0.53642520082105394</v>
      </c>
      <c r="AL779">
        <v>3087</v>
      </c>
      <c r="AM779">
        <f>intersection_ss_Lden___surface[[#This Row],[Population totale 2024 ss]]*intersection_ss_Lden___surface[[#This Row],[Part de la surface du qs dans le noise contour]]</f>
        <v>1655.9445949345934</v>
      </c>
    </row>
    <row r="780" spans="1:39" x14ac:dyDescent="0.3">
      <c r="A780">
        <v>810</v>
      </c>
      <c r="B780" t="s">
        <v>1184</v>
      </c>
      <c r="C780" t="s">
        <v>1185</v>
      </c>
      <c r="D780" t="s">
        <v>1186</v>
      </c>
      <c r="E780" t="s">
        <v>1186</v>
      </c>
      <c r="F780" t="s">
        <v>1180</v>
      </c>
      <c r="G780" t="s">
        <v>1079</v>
      </c>
      <c r="H780" t="s">
        <v>1080</v>
      </c>
      <c r="I780" t="s">
        <v>1081</v>
      </c>
      <c r="J780" t="s">
        <v>36</v>
      </c>
      <c r="K780">
        <v>21015</v>
      </c>
      <c r="L780" t="s">
        <v>1082</v>
      </c>
      <c r="M780" t="s">
        <v>1083</v>
      </c>
      <c r="N780" t="s">
        <v>1083</v>
      </c>
      <c r="O780">
        <v>21000</v>
      </c>
      <c r="P780" t="s">
        <v>46</v>
      </c>
      <c r="Q780" t="s">
        <v>47</v>
      </c>
      <c r="R780" t="s">
        <v>48</v>
      </c>
      <c r="T780" t="s">
        <v>36</v>
      </c>
      <c r="U780" t="s">
        <v>36</v>
      </c>
      <c r="V780" t="s">
        <v>36</v>
      </c>
      <c r="W780">
        <v>4000</v>
      </c>
      <c r="X780" t="s">
        <v>49</v>
      </c>
      <c r="Y780" t="s">
        <v>50</v>
      </c>
      <c r="Z780" t="s">
        <v>51</v>
      </c>
      <c r="AA780" t="s">
        <v>37</v>
      </c>
      <c r="AB780" t="s">
        <v>52</v>
      </c>
      <c r="AC780" t="s">
        <v>53</v>
      </c>
      <c r="AD780" t="s">
        <v>54</v>
      </c>
      <c r="AE780">
        <v>26.887489949799999</v>
      </c>
      <c r="AF780">
        <v>2220</v>
      </c>
      <c r="AG780">
        <v>2219.5649905400001</v>
      </c>
      <c r="AH780">
        <v>268879.20759800001</v>
      </c>
      <c r="AI780">
        <v>48</v>
      </c>
      <c r="AJ780">
        <v>84567.182704269799</v>
      </c>
      <c r="AK780" s="1">
        <f>intersection_ss_Lden___surface[[#This Row],[surf m2 bout ss]]/intersection_ss_Lden___surface[[#This Row],[Shape_Area]]</f>
        <v>0.31451737551497766</v>
      </c>
      <c r="AL780">
        <v>3087</v>
      </c>
      <c r="AM780">
        <f>intersection_ss_Lden___surface[[#This Row],[Population totale 2024 ss]]*intersection_ss_Lden___surface[[#This Row],[Part de la surface du qs dans le noise contour]]</f>
        <v>970.91513821473609</v>
      </c>
    </row>
    <row r="781" spans="1:39" x14ac:dyDescent="0.3">
      <c r="A781">
        <v>811</v>
      </c>
      <c r="B781" t="s">
        <v>1187</v>
      </c>
      <c r="C781" t="s">
        <v>1188</v>
      </c>
      <c r="D781" t="s">
        <v>1189</v>
      </c>
      <c r="E781" t="s">
        <v>1189</v>
      </c>
      <c r="F781" t="s">
        <v>1180</v>
      </c>
      <c r="G781" t="s">
        <v>1079</v>
      </c>
      <c r="H781" t="s">
        <v>1080</v>
      </c>
      <c r="I781" t="s">
        <v>1081</v>
      </c>
      <c r="J781" t="s">
        <v>36</v>
      </c>
      <c r="K781">
        <v>21015</v>
      </c>
      <c r="L781" t="s">
        <v>1082</v>
      </c>
      <c r="M781" t="s">
        <v>1083</v>
      </c>
      <c r="N781" t="s">
        <v>1083</v>
      </c>
      <c r="O781">
        <v>21000</v>
      </c>
      <c r="P781" t="s">
        <v>46</v>
      </c>
      <c r="Q781" t="s">
        <v>47</v>
      </c>
      <c r="R781" t="s">
        <v>48</v>
      </c>
      <c r="T781" t="s">
        <v>36</v>
      </c>
      <c r="U781" t="s">
        <v>36</v>
      </c>
      <c r="V781" t="s">
        <v>36</v>
      </c>
      <c r="W781">
        <v>4000</v>
      </c>
      <c r="X781" t="s">
        <v>49</v>
      </c>
      <c r="Y781" t="s">
        <v>50</v>
      </c>
      <c r="Z781" t="s">
        <v>51</v>
      </c>
      <c r="AA781" t="s">
        <v>37</v>
      </c>
      <c r="AB781" t="s">
        <v>52</v>
      </c>
      <c r="AC781" t="s">
        <v>53</v>
      </c>
      <c r="AD781" t="s">
        <v>54</v>
      </c>
      <c r="AE781">
        <v>17.6203554312</v>
      </c>
      <c r="AF781">
        <v>1800</v>
      </c>
      <c r="AG781">
        <v>1799.82994446</v>
      </c>
      <c r="AH781">
        <v>176206.39236599999</v>
      </c>
      <c r="AI781">
        <v>46</v>
      </c>
      <c r="AJ781">
        <v>17919.198371898201</v>
      </c>
      <c r="AK781" s="1">
        <f>intersection_ss_Lden___surface[[#This Row],[surf m2 bout ss]]/intersection_ss_Lden___surface[[#This Row],[Shape_Area]]</f>
        <v>0.10169437176080458</v>
      </c>
      <c r="AL781">
        <v>3344</v>
      </c>
      <c r="AM781">
        <f>intersection_ss_Lden___surface[[#This Row],[Population totale 2024 ss]]*intersection_ss_Lden___surface[[#This Row],[Part de la surface du qs dans le noise contour]]</f>
        <v>340.06597916813053</v>
      </c>
    </row>
    <row r="782" spans="1:39" x14ac:dyDescent="0.3">
      <c r="A782">
        <v>812</v>
      </c>
      <c r="B782" t="s">
        <v>1187</v>
      </c>
      <c r="C782" t="s">
        <v>1188</v>
      </c>
      <c r="D782" t="s">
        <v>1189</v>
      </c>
      <c r="E782" t="s">
        <v>1189</v>
      </c>
      <c r="F782" t="s">
        <v>1180</v>
      </c>
      <c r="G782" t="s">
        <v>1079</v>
      </c>
      <c r="H782" t="s">
        <v>1080</v>
      </c>
      <c r="I782" t="s">
        <v>1081</v>
      </c>
      <c r="J782" t="s">
        <v>36</v>
      </c>
      <c r="K782">
        <v>21015</v>
      </c>
      <c r="L782" t="s">
        <v>1082</v>
      </c>
      <c r="M782" t="s">
        <v>1083</v>
      </c>
      <c r="N782" t="s">
        <v>1083</v>
      </c>
      <c r="O782">
        <v>21000</v>
      </c>
      <c r="P782" t="s">
        <v>46</v>
      </c>
      <c r="Q782" t="s">
        <v>47</v>
      </c>
      <c r="R782" t="s">
        <v>48</v>
      </c>
      <c r="T782" t="s">
        <v>36</v>
      </c>
      <c r="U782" t="s">
        <v>36</v>
      </c>
      <c r="V782" t="s">
        <v>36</v>
      </c>
      <c r="W782">
        <v>4000</v>
      </c>
      <c r="X782" t="s">
        <v>49</v>
      </c>
      <c r="Y782" t="s">
        <v>50</v>
      </c>
      <c r="Z782" t="s">
        <v>51</v>
      </c>
      <c r="AA782" t="s">
        <v>37</v>
      </c>
      <c r="AB782" t="s">
        <v>52</v>
      </c>
      <c r="AC782" t="s">
        <v>53</v>
      </c>
      <c r="AD782" t="s">
        <v>54</v>
      </c>
      <c r="AE782">
        <v>17.6203554312</v>
      </c>
      <c r="AF782">
        <v>1800</v>
      </c>
      <c r="AG782">
        <v>1799.82994446</v>
      </c>
      <c r="AH782">
        <v>176206.39236599999</v>
      </c>
      <c r="AI782">
        <v>47</v>
      </c>
      <c r="AJ782">
        <v>158304.38327245499</v>
      </c>
      <c r="AK782" s="1">
        <f>intersection_ss_Lden___surface[[#This Row],[surf m2 bout ss]]/intersection_ss_Lden___surface[[#This Row],[Shape_Area]]</f>
        <v>0.89840318019586618</v>
      </c>
      <c r="AL782">
        <v>3344</v>
      </c>
      <c r="AM782">
        <f>intersection_ss_Lden___surface[[#This Row],[Population totale 2024 ss]]*intersection_ss_Lden___surface[[#This Row],[Part de la surface du qs dans le noise contour]]</f>
        <v>3004.2602345749765</v>
      </c>
    </row>
    <row r="783" spans="1:39" x14ac:dyDescent="0.3">
      <c r="A783">
        <v>813</v>
      </c>
      <c r="B783" t="s">
        <v>1190</v>
      </c>
      <c r="C783" t="s">
        <v>1191</v>
      </c>
      <c r="D783" t="s">
        <v>1192</v>
      </c>
      <c r="E783" t="s">
        <v>1192</v>
      </c>
      <c r="F783" t="s">
        <v>1180</v>
      </c>
      <c r="G783" t="s">
        <v>1079</v>
      </c>
      <c r="H783" t="s">
        <v>1080</v>
      </c>
      <c r="I783" t="s">
        <v>1081</v>
      </c>
      <c r="J783" t="s">
        <v>36</v>
      </c>
      <c r="K783">
        <v>21015</v>
      </c>
      <c r="L783" t="s">
        <v>1082</v>
      </c>
      <c r="M783" t="s">
        <v>1083</v>
      </c>
      <c r="N783" t="s">
        <v>1083</v>
      </c>
      <c r="O783">
        <v>21000</v>
      </c>
      <c r="P783" t="s">
        <v>46</v>
      </c>
      <c r="Q783" t="s">
        <v>47</v>
      </c>
      <c r="R783" t="s">
        <v>48</v>
      </c>
      <c r="T783" t="s">
        <v>36</v>
      </c>
      <c r="U783" t="s">
        <v>36</v>
      </c>
      <c r="V783" t="s">
        <v>36</v>
      </c>
      <c r="W783">
        <v>4000</v>
      </c>
      <c r="X783" t="s">
        <v>49</v>
      </c>
      <c r="Y783" t="s">
        <v>50</v>
      </c>
      <c r="Z783" t="s">
        <v>51</v>
      </c>
      <c r="AA783" t="s">
        <v>37</v>
      </c>
      <c r="AB783" t="s">
        <v>52</v>
      </c>
      <c r="AC783" t="s">
        <v>53</v>
      </c>
      <c r="AD783" t="s">
        <v>54</v>
      </c>
      <c r="AE783">
        <v>24.141655185000001</v>
      </c>
      <c r="AF783">
        <v>2343</v>
      </c>
      <c r="AG783">
        <v>2342.8915831200002</v>
      </c>
      <c r="AH783">
        <v>241420.43637499999</v>
      </c>
      <c r="AI783">
        <v>47</v>
      </c>
      <c r="AJ783">
        <v>28495.638773128401</v>
      </c>
      <c r="AK783" s="1">
        <f>intersection_ss_Lden___surface[[#This Row],[surf m2 bout ss]]/intersection_ss_Lden___surface[[#This Row],[Shape_Area]]</f>
        <v>0.1180332502127779</v>
      </c>
      <c r="AL783">
        <v>5055</v>
      </c>
      <c r="AM783">
        <f>intersection_ss_Lden___surface[[#This Row],[Population totale 2024 ss]]*intersection_ss_Lden___surface[[#This Row],[Part de la surface du qs dans le noise contour]]</f>
        <v>596.65807982559227</v>
      </c>
    </row>
    <row r="784" spans="1:39" x14ac:dyDescent="0.3">
      <c r="A784">
        <v>814</v>
      </c>
      <c r="B784" t="s">
        <v>1190</v>
      </c>
      <c r="C784" t="s">
        <v>1191</v>
      </c>
      <c r="D784" t="s">
        <v>1192</v>
      </c>
      <c r="E784" t="s">
        <v>1192</v>
      </c>
      <c r="F784" t="s">
        <v>1180</v>
      </c>
      <c r="G784" t="s">
        <v>1079</v>
      </c>
      <c r="H784" t="s">
        <v>1080</v>
      </c>
      <c r="I784" t="s">
        <v>1081</v>
      </c>
      <c r="J784" t="s">
        <v>36</v>
      </c>
      <c r="K784">
        <v>21015</v>
      </c>
      <c r="L784" t="s">
        <v>1082</v>
      </c>
      <c r="M784" t="s">
        <v>1083</v>
      </c>
      <c r="N784" t="s">
        <v>1083</v>
      </c>
      <c r="O784">
        <v>21000</v>
      </c>
      <c r="P784" t="s">
        <v>46</v>
      </c>
      <c r="Q784" t="s">
        <v>47</v>
      </c>
      <c r="R784" t="s">
        <v>48</v>
      </c>
      <c r="T784" t="s">
        <v>36</v>
      </c>
      <c r="U784" t="s">
        <v>36</v>
      </c>
      <c r="V784" t="s">
        <v>36</v>
      </c>
      <c r="W784">
        <v>4000</v>
      </c>
      <c r="X784" t="s">
        <v>49</v>
      </c>
      <c r="Y784" t="s">
        <v>50</v>
      </c>
      <c r="Z784" t="s">
        <v>51</v>
      </c>
      <c r="AA784" t="s">
        <v>37</v>
      </c>
      <c r="AB784" t="s">
        <v>52</v>
      </c>
      <c r="AC784" t="s">
        <v>53</v>
      </c>
      <c r="AD784" t="s">
        <v>54</v>
      </c>
      <c r="AE784">
        <v>24.141655185000001</v>
      </c>
      <c r="AF784">
        <v>2343</v>
      </c>
      <c r="AG784">
        <v>2342.8915831200002</v>
      </c>
      <c r="AH784">
        <v>241420.43637499999</v>
      </c>
      <c r="AI784">
        <v>48</v>
      </c>
      <c r="AJ784">
        <v>120085.9633852</v>
      </c>
      <c r="AK784" s="1">
        <f>intersection_ss_Lden___surface[[#This Row],[surf m2 bout ss]]/intersection_ss_Lden___surface[[#This Row],[Shape_Area]]</f>
        <v>0.49741424209286766</v>
      </c>
      <c r="AL784">
        <v>5055</v>
      </c>
      <c r="AM784">
        <f>intersection_ss_Lden___surface[[#This Row],[Population totale 2024 ss]]*intersection_ss_Lden___surface[[#This Row],[Part de la surface du qs dans le noise contour]]</f>
        <v>2514.428993779446</v>
      </c>
    </row>
    <row r="785" spans="1:39" x14ac:dyDescent="0.3">
      <c r="A785">
        <v>815</v>
      </c>
      <c r="B785" t="s">
        <v>1190</v>
      </c>
      <c r="C785" t="s">
        <v>1191</v>
      </c>
      <c r="D785" t="s">
        <v>1192</v>
      </c>
      <c r="E785" t="s">
        <v>1192</v>
      </c>
      <c r="F785" t="s">
        <v>1180</v>
      </c>
      <c r="G785" t="s">
        <v>1079</v>
      </c>
      <c r="H785" t="s">
        <v>1080</v>
      </c>
      <c r="I785" t="s">
        <v>1081</v>
      </c>
      <c r="J785" t="s">
        <v>36</v>
      </c>
      <c r="K785">
        <v>21015</v>
      </c>
      <c r="L785" t="s">
        <v>1082</v>
      </c>
      <c r="M785" t="s">
        <v>1083</v>
      </c>
      <c r="N785" t="s">
        <v>1083</v>
      </c>
      <c r="O785">
        <v>21000</v>
      </c>
      <c r="P785" t="s">
        <v>46</v>
      </c>
      <c r="Q785" t="s">
        <v>47</v>
      </c>
      <c r="R785" t="s">
        <v>48</v>
      </c>
      <c r="T785" t="s">
        <v>36</v>
      </c>
      <c r="U785" t="s">
        <v>36</v>
      </c>
      <c r="V785" t="s">
        <v>36</v>
      </c>
      <c r="W785">
        <v>4000</v>
      </c>
      <c r="X785" t="s">
        <v>49</v>
      </c>
      <c r="Y785" t="s">
        <v>50</v>
      </c>
      <c r="Z785" t="s">
        <v>51</v>
      </c>
      <c r="AA785" t="s">
        <v>37</v>
      </c>
      <c r="AB785" t="s">
        <v>52</v>
      </c>
      <c r="AC785" t="s">
        <v>53</v>
      </c>
      <c r="AD785" t="s">
        <v>54</v>
      </c>
      <c r="AE785">
        <v>24.141655185000001</v>
      </c>
      <c r="AF785">
        <v>2343</v>
      </c>
      <c r="AG785">
        <v>2342.8915831200002</v>
      </c>
      <c r="AH785">
        <v>241420.43637499999</v>
      </c>
      <c r="AI785">
        <v>49</v>
      </c>
      <c r="AJ785">
        <v>92291.599270628503</v>
      </c>
      <c r="AK785" s="1">
        <f>intersection_ss_Lden___surface[[#This Row],[surf m2 bout ss]]/intersection_ss_Lden___surface[[#This Row],[Shape_Area]]</f>
        <v>0.38228577769311683</v>
      </c>
      <c r="AL785">
        <v>5055</v>
      </c>
      <c r="AM785">
        <f>intersection_ss_Lden___surface[[#This Row],[Population totale 2024 ss]]*intersection_ss_Lden___surface[[#This Row],[Part de la surface du qs dans le noise contour]]</f>
        <v>1932.4546062387055</v>
      </c>
    </row>
    <row r="786" spans="1:39" x14ac:dyDescent="0.3">
      <c r="A786">
        <v>816</v>
      </c>
      <c r="B786" t="s">
        <v>1190</v>
      </c>
      <c r="C786" t="s">
        <v>1191</v>
      </c>
      <c r="D786" t="s">
        <v>1192</v>
      </c>
      <c r="E786" t="s">
        <v>1192</v>
      </c>
      <c r="F786" t="s">
        <v>1180</v>
      </c>
      <c r="G786" t="s">
        <v>1079</v>
      </c>
      <c r="H786" t="s">
        <v>1080</v>
      </c>
      <c r="I786" t="s">
        <v>1081</v>
      </c>
      <c r="J786" t="s">
        <v>36</v>
      </c>
      <c r="K786">
        <v>21015</v>
      </c>
      <c r="L786" t="s">
        <v>1082</v>
      </c>
      <c r="M786" t="s">
        <v>1083</v>
      </c>
      <c r="N786" t="s">
        <v>1083</v>
      </c>
      <c r="O786">
        <v>21000</v>
      </c>
      <c r="P786" t="s">
        <v>46</v>
      </c>
      <c r="Q786" t="s">
        <v>47</v>
      </c>
      <c r="R786" t="s">
        <v>48</v>
      </c>
      <c r="T786" t="s">
        <v>36</v>
      </c>
      <c r="U786" t="s">
        <v>36</v>
      </c>
      <c r="V786" t="s">
        <v>36</v>
      </c>
      <c r="W786">
        <v>4000</v>
      </c>
      <c r="X786" t="s">
        <v>49</v>
      </c>
      <c r="Y786" t="s">
        <v>50</v>
      </c>
      <c r="Z786" t="s">
        <v>51</v>
      </c>
      <c r="AA786" t="s">
        <v>37</v>
      </c>
      <c r="AB786" t="s">
        <v>52</v>
      </c>
      <c r="AC786" t="s">
        <v>53</v>
      </c>
      <c r="AD786" t="s">
        <v>54</v>
      </c>
      <c r="AE786">
        <v>24.141655185000001</v>
      </c>
      <c r="AF786">
        <v>2343</v>
      </c>
      <c r="AG786">
        <v>2342.8915831200002</v>
      </c>
      <c r="AH786">
        <v>241420.43637499999</v>
      </c>
      <c r="AI786">
        <v>50</v>
      </c>
      <c r="AJ786">
        <v>570.75237620994403</v>
      </c>
      <c r="AK786" s="1">
        <f>intersection_ss_Lden___surface[[#This Row],[surf m2 bout ss]]/intersection_ss_Lden___surface[[#This Row],[Shape_Area]]</f>
        <v>2.3641427576718919E-3</v>
      </c>
      <c r="AL786">
        <v>5055</v>
      </c>
      <c r="AM786">
        <f>intersection_ss_Lden___surface[[#This Row],[Population totale 2024 ss]]*intersection_ss_Lden___surface[[#This Row],[Part de la surface du qs dans le noise contour]]</f>
        <v>11.950741640031413</v>
      </c>
    </row>
    <row r="787" spans="1:39" x14ac:dyDescent="0.3">
      <c r="A787">
        <v>817</v>
      </c>
      <c r="B787" t="s">
        <v>1193</v>
      </c>
      <c r="C787" t="s">
        <v>1194</v>
      </c>
      <c r="D787" t="s">
        <v>1195</v>
      </c>
      <c r="E787" t="s">
        <v>1195</v>
      </c>
      <c r="F787" t="s">
        <v>1196</v>
      </c>
      <c r="G787" t="s">
        <v>1079</v>
      </c>
      <c r="H787" t="s">
        <v>1080</v>
      </c>
      <c r="I787" t="s">
        <v>1081</v>
      </c>
      <c r="J787" t="s">
        <v>36</v>
      </c>
      <c r="K787">
        <v>21015</v>
      </c>
      <c r="L787" t="s">
        <v>1082</v>
      </c>
      <c r="M787" t="s">
        <v>1083</v>
      </c>
      <c r="N787" t="s">
        <v>1083</v>
      </c>
      <c r="O787">
        <v>21000</v>
      </c>
      <c r="P787" t="s">
        <v>46</v>
      </c>
      <c r="Q787" t="s">
        <v>47</v>
      </c>
      <c r="R787" t="s">
        <v>48</v>
      </c>
      <c r="T787" t="s">
        <v>36</v>
      </c>
      <c r="U787" t="s">
        <v>36</v>
      </c>
      <c r="V787" t="s">
        <v>36</v>
      </c>
      <c r="W787">
        <v>4000</v>
      </c>
      <c r="X787" t="s">
        <v>49</v>
      </c>
      <c r="Y787" t="s">
        <v>50</v>
      </c>
      <c r="Z787" t="s">
        <v>51</v>
      </c>
      <c r="AA787" t="s">
        <v>37</v>
      </c>
      <c r="AB787" t="s">
        <v>52</v>
      </c>
      <c r="AC787" t="s">
        <v>53</v>
      </c>
      <c r="AD787" t="s">
        <v>54</v>
      </c>
      <c r="AE787">
        <v>13.665942915800001</v>
      </c>
      <c r="AF787">
        <v>1770</v>
      </c>
      <c r="AG787">
        <v>1769.90625411</v>
      </c>
      <c r="AH787">
        <v>136661.63813199999</v>
      </c>
      <c r="AI787">
        <v>49</v>
      </c>
      <c r="AJ787">
        <v>11446.2892500777</v>
      </c>
      <c r="AK787" s="1">
        <f>intersection_ss_Lden___surface[[#This Row],[surf m2 bout ss]]/intersection_ss_Lden___surface[[#This Row],[Shape_Area]]</f>
        <v>8.3756417722886167E-2</v>
      </c>
      <c r="AL787">
        <v>4124</v>
      </c>
      <c r="AM787">
        <f>intersection_ss_Lden___surface[[#This Row],[Population totale 2024 ss]]*intersection_ss_Lden___surface[[#This Row],[Part de la surface du qs dans le noise contour]]</f>
        <v>345.41146668918253</v>
      </c>
    </row>
    <row r="788" spans="1:39" x14ac:dyDescent="0.3">
      <c r="A788">
        <v>818</v>
      </c>
      <c r="B788" t="s">
        <v>1193</v>
      </c>
      <c r="C788" t="s">
        <v>1194</v>
      </c>
      <c r="D788" t="s">
        <v>1195</v>
      </c>
      <c r="E788" t="s">
        <v>1195</v>
      </c>
      <c r="F788" t="s">
        <v>1196</v>
      </c>
      <c r="G788" t="s">
        <v>1079</v>
      </c>
      <c r="H788" t="s">
        <v>1080</v>
      </c>
      <c r="I788" t="s">
        <v>1081</v>
      </c>
      <c r="J788" t="s">
        <v>36</v>
      </c>
      <c r="K788">
        <v>21015</v>
      </c>
      <c r="L788" t="s">
        <v>1082</v>
      </c>
      <c r="M788" t="s">
        <v>1083</v>
      </c>
      <c r="N788" t="s">
        <v>1083</v>
      </c>
      <c r="O788">
        <v>21000</v>
      </c>
      <c r="P788" t="s">
        <v>46</v>
      </c>
      <c r="Q788" t="s">
        <v>47</v>
      </c>
      <c r="R788" t="s">
        <v>48</v>
      </c>
      <c r="T788" t="s">
        <v>36</v>
      </c>
      <c r="U788" t="s">
        <v>36</v>
      </c>
      <c r="V788" t="s">
        <v>36</v>
      </c>
      <c r="W788">
        <v>4000</v>
      </c>
      <c r="X788" t="s">
        <v>49</v>
      </c>
      <c r="Y788" t="s">
        <v>50</v>
      </c>
      <c r="Z788" t="s">
        <v>51</v>
      </c>
      <c r="AA788" t="s">
        <v>37</v>
      </c>
      <c r="AB788" t="s">
        <v>52</v>
      </c>
      <c r="AC788" t="s">
        <v>53</v>
      </c>
      <c r="AD788" t="s">
        <v>54</v>
      </c>
      <c r="AE788">
        <v>13.665942915800001</v>
      </c>
      <c r="AF788">
        <v>1770</v>
      </c>
      <c r="AG788">
        <v>1769.90625411</v>
      </c>
      <c r="AH788">
        <v>136661.63813199999</v>
      </c>
      <c r="AI788">
        <v>50</v>
      </c>
      <c r="AJ788">
        <v>125228.302034963</v>
      </c>
      <c r="AK788" s="1">
        <f>intersection_ss_Lden___surface[[#This Row],[surf m2 bout ss]]/intersection_ss_Lden___surface[[#This Row],[Shape_Area]]</f>
        <v>0.91633836493315213</v>
      </c>
      <c r="AL788">
        <v>4124</v>
      </c>
      <c r="AM788">
        <f>intersection_ss_Lden___surface[[#This Row],[Population totale 2024 ss]]*intersection_ss_Lden___surface[[#This Row],[Part de la surface du qs dans le noise contour]]</f>
        <v>3778.9794169843194</v>
      </c>
    </row>
    <row r="789" spans="1:39" x14ac:dyDescent="0.3">
      <c r="A789">
        <v>819</v>
      </c>
      <c r="B789" t="s">
        <v>1197</v>
      </c>
      <c r="C789" t="s">
        <v>1198</v>
      </c>
      <c r="D789" t="s">
        <v>1198</v>
      </c>
      <c r="E789" t="s">
        <v>1198</v>
      </c>
      <c r="F789" t="s">
        <v>1196</v>
      </c>
      <c r="G789" t="s">
        <v>1079</v>
      </c>
      <c r="H789" t="s">
        <v>1080</v>
      </c>
      <c r="I789" t="s">
        <v>1081</v>
      </c>
      <c r="J789" t="s">
        <v>36</v>
      </c>
      <c r="K789">
        <v>21015</v>
      </c>
      <c r="L789" t="s">
        <v>1082</v>
      </c>
      <c r="M789" t="s">
        <v>1083</v>
      </c>
      <c r="N789" t="s">
        <v>1083</v>
      </c>
      <c r="O789">
        <v>21000</v>
      </c>
      <c r="P789" t="s">
        <v>46</v>
      </c>
      <c r="Q789" t="s">
        <v>47</v>
      </c>
      <c r="R789" t="s">
        <v>48</v>
      </c>
      <c r="T789" t="s">
        <v>36</v>
      </c>
      <c r="U789" t="s">
        <v>36</v>
      </c>
      <c r="V789" t="s">
        <v>36</v>
      </c>
      <c r="W789">
        <v>4000</v>
      </c>
      <c r="X789" t="s">
        <v>49</v>
      </c>
      <c r="Y789" t="s">
        <v>50</v>
      </c>
      <c r="Z789" t="s">
        <v>51</v>
      </c>
      <c r="AA789" t="s">
        <v>37</v>
      </c>
      <c r="AB789" t="s">
        <v>52</v>
      </c>
      <c r="AC789" t="s">
        <v>53</v>
      </c>
      <c r="AD789" t="s">
        <v>54</v>
      </c>
      <c r="AE789">
        <v>6.7102021298199999</v>
      </c>
      <c r="AF789">
        <v>1317</v>
      </c>
      <c r="AG789">
        <v>1317.4202156599999</v>
      </c>
      <c r="AH789">
        <v>67103.107887100006</v>
      </c>
      <c r="AI789">
        <v>50</v>
      </c>
      <c r="AJ789">
        <v>40398.046703981199</v>
      </c>
      <c r="AK789" s="1">
        <f>intersection_ss_Lden___surface[[#This Row],[surf m2 bout ss]]/intersection_ss_Lden___surface[[#This Row],[Shape_Area]]</f>
        <v>0.60202944358330346</v>
      </c>
      <c r="AL789">
        <v>953</v>
      </c>
      <c r="AM789">
        <f>intersection_ss_Lden___surface[[#This Row],[Population totale 2024 ss]]*intersection_ss_Lden___surface[[#This Row],[Part de la surface du qs dans le noise contour]]</f>
        <v>573.73405973488821</v>
      </c>
    </row>
    <row r="790" spans="1:39" x14ac:dyDescent="0.3">
      <c r="A790">
        <v>820</v>
      </c>
      <c r="B790" t="s">
        <v>1197</v>
      </c>
      <c r="C790" t="s">
        <v>1198</v>
      </c>
      <c r="D790" t="s">
        <v>1198</v>
      </c>
      <c r="E790" t="s">
        <v>1198</v>
      </c>
      <c r="F790" t="s">
        <v>1196</v>
      </c>
      <c r="G790" t="s">
        <v>1079</v>
      </c>
      <c r="H790" t="s">
        <v>1080</v>
      </c>
      <c r="I790" t="s">
        <v>1081</v>
      </c>
      <c r="J790" t="s">
        <v>36</v>
      </c>
      <c r="K790">
        <v>21015</v>
      </c>
      <c r="L790" t="s">
        <v>1082</v>
      </c>
      <c r="M790" t="s">
        <v>1083</v>
      </c>
      <c r="N790" t="s">
        <v>1083</v>
      </c>
      <c r="O790">
        <v>21000</v>
      </c>
      <c r="P790" t="s">
        <v>46</v>
      </c>
      <c r="Q790" t="s">
        <v>47</v>
      </c>
      <c r="R790" t="s">
        <v>48</v>
      </c>
      <c r="T790" t="s">
        <v>36</v>
      </c>
      <c r="U790" t="s">
        <v>36</v>
      </c>
      <c r="V790" t="s">
        <v>36</v>
      </c>
      <c r="W790">
        <v>4000</v>
      </c>
      <c r="X790" t="s">
        <v>49</v>
      </c>
      <c r="Y790" t="s">
        <v>50</v>
      </c>
      <c r="Z790" t="s">
        <v>51</v>
      </c>
      <c r="AA790" t="s">
        <v>37</v>
      </c>
      <c r="AB790" t="s">
        <v>52</v>
      </c>
      <c r="AC790" t="s">
        <v>53</v>
      </c>
      <c r="AD790" t="s">
        <v>54</v>
      </c>
      <c r="AE790">
        <v>6.7102021298199999</v>
      </c>
      <c r="AF790">
        <v>1317</v>
      </c>
      <c r="AG790">
        <v>1317.4202156599999</v>
      </c>
      <c r="AH790">
        <v>67103.107887100006</v>
      </c>
      <c r="AI790">
        <v>51</v>
      </c>
      <c r="AJ790">
        <v>26711.4133080631</v>
      </c>
      <c r="AK790" s="1">
        <f>intersection_ss_Lden___surface[[#This Row],[surf m2 bout ss]]/intersection_ss_Lden___surface[[#This Row],[Shape_Area]]</f>
        <v>0.39806521857384997</v>
      </c>
      <c r="AL790">
        <v>953</v>
      </c>
      <c r="AM790">
        <f>intersection_ss_Lden___surface[[#This Row],[Population totale 2024 ss]]*intersection_ss_Lden___surface[[#This Row],[Part de la surface du qs dans le noise contour]]</f>
        <v>379.35615330087904</v>
      </c>
    </row>
    <row r="791" spans="1:39" x14ac:dyDescent="0.3">
      <c r="A791">
        <v>821</v>
      </c>
      <c r="B791" t="s">
        <v>1199</v>
      </c>
      <c r="C791" t="s">
        <v>1200</v>
      </c>
      <c r="D791" t="s">
        <v>1201</v>
      </c>
      <c r="E791" t="s">
        <v>1201</v>
      </c>
      <c r="F791" t="s">
        <v>1196</v>
      </c>
      <c r="G791" t="s">
        <v>1079</v>
      </c>
      <c r="H791" t="s">
        <v>1080</v>
      </c>
      <c r="I791" t="s">
        <v>1081</v>
      </c>
      <c r="J791" t="s">
        <v>36</v>
      </c>
      <c r="K791">
        <v>21015</v>
      </c>
      <c r="L791" t="s">
        <v>1082</v>
      </c>
      <c r="M791" t="s">
        <v>1083</v>
      </c>
      <c r="N791" t="s">
        <v>1083</v>
      </c>
      <c r="O791">
        <v>21000</v>
      </c>
      <c r="P791" t="s">
        <v>46</v>
      </c>
      <c r="Q791" t="s">
        <v>47</v>
      </c>
      <c r="R791" t="s">
        <v>48</v>
      </c>
      <c r="T791" t="s">
        <v>36</v>
      </c>
      <c r="U791" t="s">
        <v>36</v>
      </c>
      <c r="V791" t="s">
        <v>36</v>
      </c>
      <c r="W791">
        <v>4000</v>
      </c>
      <c r="X791" t="s">
        <v>49</v>
      </c>
      <c r="Y791" t="s">
        <v>50</v>
      </c>
      <c r="Z791" t="s">
        <v>51</v>
      </c>
      <c r="AA791" t="s">
        <v>37</v>
      </c>
      <c r="AB791" t="s">
        <v>52</v>
      </c>
      <c r="AC791" t="s">
        <v>53</v>
      </c>
      <c r="AD791" t="s">
        <v>54</v>
      </c>
      <c r="AE791">
        <v>8.5843871196899997</v>
      </c>
      <c r="AF791">
        <v>1260</v>
      </c>
      <c r="AG791">
        <v>1259.85625289</v>
      </c>
      <c r="AH791">
        <v>85845.264895600005</v>
      </c>
      <c r="AI791">
        <v>48</v>
      </c>
      <c r="AJ791">
        <v>35659.042477297102</v>
      </c>
      <c r="AK791" s="1">
        <f>intersection_ss_Lden___surface[[#This Row],[surf m2 bout ss]]/intersection_ss_Lden___surface[[#This Row],[Shape_Area]]</f>
        <v>0.41538741269729373</v>
      </c>
      <c r="AL791">
        <v>1779</v>
      </c>
      <c r="AM791">
        <f>intersection_ss_Lden___surface[[#This Row],[Population totale 2024 ss]]*intersection_ss_Lden___surface[[#This Row],[Part de la surface du qs dans le noise contour]]</f>
        <v>738.97420718848559</v>
      </c>
    </row>
    <row r="792" spans="1:39" x14ac:dyDescent="0.3">
      <c r="A792">
        <v>822</v>
      </c>
      <c r="B792" t="s">
        <v>1199</v>
      </c>
      <c r="C792" t="s">
        <v>1200</v>
      </c>
      <c r="D792" t="s">
        <v>1201</v>
      </c>
      <c r="E792" t="s">
        <v>1201</v>
      </c>
      <c r="F792" t="s">
        <v>1196</v>
      </c>
      <c r="G792" t="s">
        <v>1079</v>
      </c>
      <c r="H792" t="s">
        <v>1080</v>
      </c>
      <c r="I792" t="s">
        <v>1081</v>
      </c>
      <c r="J792" t="s">
        <v>36</v>
      </c>
      <c r="K792">
        <v>21015</v>
      </c>
      <c r="L792" t="s">
        <v>1082</v>
      </c>
      <c r="M792" t="s">
        <v>1083</v>
      </c>
      <c r="N792" t="s">
        <v>1083</v>
      </c>
      <c r="O792">
        <v>21000</v>
      </c>
      <c r="P792" t="s">
        <v>46</v>
      </c>
      <c r="Q792" t="s">
        <v>47</v>
      </c>
      <c r="R792" t="s">
        <v>48</v>
      </c>
      <c r="T792" t="s">
        <v>36</v>
      </c>
      <c r="U792" t="s">
        <v>36</v>
      </c>
      <c r="V792" t="s">
        <v>36</v>
      </c>
      <c r="W792">
        <v>4000</v>
      </c>
      <c r="X792" t="s">
        <v>49</v>
      </c>
      <c r="Y792" t="s">
        <v>50</v>
      </c>
      <c r="Z792" t="s">
        <v>51</v>
      </c>
      <c r="AA792" t="s">
        <v>37</v>
      </c>
      <c r="AB792" t="s">
        <v>52</v>
      </c>
      <c r="AC792" t="s">
        <v>53</v>
      </c>
      <c r="AD792" t="s">
        <v>54</v>
      </c>
      <c r="AE792">
        <v>8.5843871196899997</v>
      </c>
      <c r="AF792">
        <v>1260</v>
      </c>
      <c r="AG792">
        <v>1259.85625289</v>
      </c>
      <c r="AH792">
        <v>85845.264895600005</v>
      </c>
      <c r="AI792">
        <v>49</v>
      </c>
      <c r="AJ792">
        <v>46299.194021848503</v>
      </c>
      <c r="AK792" s="1">
        <f>intersection_ss_Lden___surface[[#This Row],[surf m2 bout ss]]/intersection_ss_Lden___surface[[#This Row],[Shape_Area]]</f>
        <v>0.53933311380837223</v>
      </c>
      <c r="AL792">
        <v>1779</v>
      </c>
      <c r="AM792">
        <f>intersection_ss_Lden___surface[[#This Row],[Population totale 2024 ss]]*intersection_ss_Lden___surface[[#This Row],[Part de la surface du qs dans le noise contour]]</f>
        <v>959.47360946509423</v>
      </c>
    </row>
    <row r="793" spans="1:39" x14ac:dyDescent="0.3">
      <c r="A793">
        <v>823</v>
      </c>
      <c r="B793" t="s">
        <v>1199</v>
      </c>
      <c r="C793" t="s">
        <v>1200</v>
      </c>
      <c r="D793" t="s">
        <v>1201</v>
      </c>
      <c r="E793" t="s">
        <v>1201</v>
      </c>
      <c r="F793" t="s">
        <v>1196</v>
      </c>
      <c r="G793" t="s">
        <v>1079</v>
      </c>
      <c r="H793" t="s">
        <v>1080</v>
      </c>
      <c r="I793" t="s">
        <v>1081</v>
      </c>
      <c r="J793" t="s">
        <v>36</v>
      </c>
      <c r="K793">
        <v>21015</v>
      </c>
      <c r="L793" t="s">
        <v>1082</v>
      </c>
      <c r="M793" t="s">
        <v>1083</v>
      </c>
      <c r="N793" t="s">
        <v>1083</v>
      </c>
      <c r="O793">
        <v>21000</v>
      </c>
      <c r="P793" t="s">
        <v>46</v>
      </c>
      <c r="Q793" t="s">
        <v>47</v>
      </c>
      <c r="R793" t="s">
        <v>48</v>
      </c>
      <c r="T793" t="s">
        <v>36</v>
      </c>
      <c r="U793" t="s">
        <v>36</v>
      </c>
      <c r="V793" t="s">
        <v>36</v>
      </c>
      <c r="W793">
        <v>4000</v>
      </c>
      <c r="X793" t="s">
        <v>49</v>
      </c>
      <c r="Y793" t="s">
        <v>50</v>
      </c>
      <c r="Z793" t="s">
        <v>51</v>
      </c>
      <c r="AA793" t="s">
        <v>37</v>
      </c>
      <c r="AB793" t="s">
        <v>52</v>
      </c>
      <c r="AC793" t="s">
        <v>53</v>
      </c>
      <c r="AD793" t="s">
        <v>54</v>
      </c>
      <c r="AE793">
        <v>8.5843871196899997</v>
      </c>
      <c r="AF793">
        <v>1260</v>
      </c>
      <c r="AG793">
        <v>1259.85625289</v>
      </c>
      <c r="AH793">
        <v>85845.264895600005</v>
      </c>
      <c r="AI793">
        <v>50</v>
      </c>
      <c r="AJ793">
        <v>3895.2339150589</v>
      </c>
      <c r="AK793" s="1">
        <f>intersection_ss_Lden___surface[[#This Row],[surf m2 bout ss]]/intersection_ss_Lden___surface[[#This Row],[Shape_Area]]</f>
        <v>4.53750584822128E-2</v>
      </c>
      <c r="AL793">
        <v>1779</v>
      </c>
      <c r="AM793">
        <f>intersection_ss_Lden___surface[[#This Row],[Population totale 2024 ss]]*intersection_ss_Lden___surface[[#This Row],[Part de la surface du qs dans le noise contour]]</f>
        <v>80.722229039856572</v>
      </c>
    </row>
    <row r="794" spans="1:39" x14ac:dyDescent="0.3">
      <c r="A794">
        <v>824</v>
      </c>
      <c r="B794" t="s">
        <v>1202</v>
      </c>
      <c r="C794" t="s">
        <v>1203</v>
      </c>
      <c r="D794" t="s">
        <v>1203</v>
      </c>
      <c r="E794" t="s">
        <v>1203</v>
      </c>
      <c r="F794" t="s">
        <v>1196</v>
      </c>
      <c r="G794" t="s">
        <v>1079</v>
      </c>
      <c r="H794" t="s">
        <v>1080</v>
      </c>
      <c r="I794" t="s">
        <v>1081</v>
      </c>
      <c r="J794" t="s">
        <v>36</v>
      </c>
      <c r="K794">
        <v>21015</v>
      </c>
      <c r="L794" t="s">
        <v>1082</v>
      </c>
      <c r="M794" t="s">
        <v>1083</v>
      </c>
      <c r="N794" t="s">
        <v>1083</v>
      </c>
      <c r="O794">
        <v>21000</v>
      </c>
      <c r="P794" t="s">
        <v>46</v>
      </c>
      <c r="Q794" t="s">
        <v>47</v>
      </c>
      <c r="R794" t="s">
        <v>48</v>
      </c>
      <c r="T794" t="s">
        <v>36</v>
      </c>
      <c r="U794" t="s">
        <v>36</v>
      </c>
      <c r="V794" t="s">
        <v>36</v>
      </c>
      <c r="W794">
        <v>4000</v>
      </c>
      <c r="X794" t="s">
        <v>49</v>
      </c>
      <c r="Y794" t="s">
        <v>50</v>
      </c>
      <c r="Z794" t="s">
        <v>51</v>
      </c>
      <c r="AA794" t="s">
        <v>37</v>
      </c>
      <c r="AB794" t="s">
        <v>52</v>
      </c>
      <c r="AC794" t="s">
        <v>53</v>
      </c>
      <c r="AD794" t="s">
        <v>54</v>
      </c>
      <c r="AE794">
        <v>12.2686701484</v>
      </c>
      <c r="AF794">
        <v>1570</v>
      </c>
      <c r="AG794">
        <v>1569.8383781099999</v>
      </c>
      <c r="AH794">
        <v>122688.66933</v>
      </c>
      <c r="AI794">
        <v>46</v>
      </c>
      <c r="AJ794">
        <v>7687.8270315548298</v>
      </c>
      <c r="AK794" s="1">
        <f>intersection_ss_Lden___surface[[#This Row],[surf m2 bout ss]]/intersection_ss_Lden___surface[[#This Row],[Shape_Area]]</f>
        <v>6.2661263452753024E-2</v>
      </c>
      <c r="AL794">
        <v>2904</v>
      </c>
      <c r="AM794">
        <f>intersection_ss_Lden___surface[[#This Row],[Population totale 2024 ss]]*intersection_ss_Lden___surface[[#This Row],[Part de la surface du qs dans le noise contour]]</f>
        <v>181.96830906679477</v>
      </c>
    </row>
    <row r="795" spans="1:39" x14ac:dyDescent="0.3">
      <c r="A795">
        <v>825</v>
      </c>
      <c r="B795" t="s">
        <v>1202</v>
      </c>
      <c r="C795" t="s">
        <v>1203</v>
      </c>
      <c r="D795" t="s">
        <v>1203</v>
      </c>
      <c r="E795" t="s">
        <v>1203</v>
      </c>
      <c r="F795" t="s">
        <v>1196</v>
      </c>
      <c r="G795" t="s">
        <v>1079</v>
      </c>
      <c r="H795" t="s">
        <v>1080</v>
      </c>
      <c r="I795" t="s">
        <v>1081</v>
      </c>
      <c r="J795" t="s">
        <v>36</v>
      </c>
      <c r="K795">
        <v>21015</v>
      </c>
      <c r="L795" t="s">
        <v>1082</v>
      </c>
      <c r="M795" t="s">
        <v>1083</v>
      </c>
      <c r="N795" t="s">
        <v>1083</v>
      </c>
      <c r="O795">
        <v>21000</v>
      </c>
      <c r="P795" t="s">
        <v>46</v>
      </c>
      <c r="Q795" t="s">
        <v>47</v>
      </c>
      <c r="R795" t="s">
        <v>48</v>
      </c>
      <c r="T795" t="s">
        <v>36</v>
      </c>
      <c r="U795" t="s">
        <v>36</v>
      </c>
      <c r="V795" t="s">
        <v>36</v>
      </c>
      <c r="W795">
        <v>4000</v>
      </c>
      <c r="X795" t="s">
        <v>49</v>
      </c>
      <c r="Y795" t="s">
        <v>50</v>
      </c>
      <c r="Z795" t="s">
        <v>51</v>
      </c>
      <c r="AA795" t="s">
        <v>37</v>
      </c>
      <c r="AB795" t="s">
        <v>52</v>
      </c>
      <c r="AC795" t="s">
        <v>53</v>
      </c>
      <c r="AD795" t="s">
        <v>54</v>
      </c>
      <c r="AE795">
        <v>12.2686701484</v>
      </c>
      <c r="AF795">
        <v>1570</v>
      </c>
      <c r="AG795">
        <v>1569.8383781099999</v>
      </c>
      <c r="AH795">
        <v>122688.66933</v>
      </c>
      <c r="AI795">
        <v>47</v>
      </c>
      <c r="AJ795">
        <v>81986.457513304398</v>
      </c>
      <c r="AK795" s="1">
        <f>intersection_ss_Lden___surface[[#This Row],[surf m2 bout ss]]/intersection_ss_Lden___surface[[#This Row],[Shape_Area]]</f>
        <v>0.66824799682831804</v>
      </c>
      <c r="AL795">
        <v>2904</v>
      </c>
      <c r="AM795">
        <f>intersection_ss_Lden___surface[[#This Row],[Population totale 2024 ss]]*intersection_ss_Lden___surface[[#This Row],[Part de la surface du qs dans le noise contour]]</f>
        <v>1940.5921827894356</v>
      </c>
    </row>
    <row r="796" spans="1:39" x14ac:dyDescent="0.3">
      <c r="A796">
        <v>826</v>
      </c>
      <c r="B796" t="s">
        <v>1202</v>
      </c>
      <c r="C796" t="s">
        <v>1203</v>
      </c>
      <c r="D796" t="s">
        <v>1203</v>
      </c>
      <c r="E796" t="s">
        <v>1203</v>
      </c>
      <c r="F796" t="s">
        <v>1196</v>
      </c>
      <c r="G796" t="s">
        <v>1079</v>
      </c>
      <c r="H796" t="s">
        <v>1080</v>
      </c>
      <c r="I796" t="s">
        <v>1081</v>
      </c>
      <c r="J796" t="s">
        <v>36</v>
      </c>
      <c r="K796">
        <v>21015</v>
      </c>
      <c r="L796" t="s">
        <v>1082</v>
      </c>
      <c r="M796" t="s">
        <v>1083</v>
      </c>
      <c r="N796" t="s">
        <v>1083</v>
      </c>
      <c r="O796">
        <v>21000</v>
      </c>
      <c r="P796" t="s">
        <v>46</v>
      </c>
      <c r="Q796" t="s">
        <v>47</v>
      </c>
      <c r="R796" t="s">
        <v>48</v>
      </c>
      <c r="T796" t="s">
        <v>36</v>
      </c>
      <c r="U796" t="s">
        <v>36</v>
      </c>
      <c r="V796" t="s">
        <v>36</v>
      </c>
      <c r="W796">
        <v>4000</v>
      </c>
      <c r="X796" t="s">
        <v>49</v>
      </c>
      <c r="Y796" t="s">
        <v>50</v>
      </c>
      <c r="Z796" t="s">
        <v>51</v>
      </c>
      <c r="AA796" t="s">
        <v>37</v>
      </c>
      <c r="AB796" t="s">
        <v>52</v>
      </c>
      <c r="AC796" t="s">
        <v>53</v>
      </c>
      <c r="AD796" t="s">
        <v>54</v>
      </c>
      <c r="AE796">
        <v>12.2686701484</v>
      </c>
      <c r="AF796">
        <v>1570</v>
      </c>
      <c r="AG796">
        <v>1569.8383781099999</v>
      </c>
      <c r="AH796">
        <v>122688.66933</v>
      </c>
      <c r="AI796">
        <v>48</v>
      </c>
      <c r="AJ796">
        <v>33026.217451131</v>
      </c>
      <c r="AK796" s="1">
        <f>intersection_ss_Lden___surface[[#This Row],[surf m2 bout ss]]/intersection_ss_Lden___surface[[#This Row],[Shape_Area]]</f>
        <v>0.2691871843707036</v>
      </c>
      <c r="AL796">
        <v>2904</v>
      </c>
      <c r="AM796">
        <f>intersection_ss_Lden___surface[[#This Row],[Population totale 2024 ss]]*intersection_ss_Lden___surface[[#This Row],[Part de la surface du qs dans le noise contour]]</f>
        <v>781.71958341252321</v>
      </c>
    </row>
    <row r="797" spans="1:39" x14ac:dyDescent="0.3">
      <c r="A797">
        <v>827</v>
      </c>
      <c r="B797" t="s">
        <v>1204</v>
      </c>
      <c r="C797" t="s">
        <v>1205</v>
      </c>
      <c r="D797" t="s">
        <v>1206</v>
      </c>
      <c r="E797" t="s">
        <v>1206</v>
      </c>
      <c r="F797" t="s">
        <v>1207</v>
      </c>
      <c r="G797" t="s">
        <v>1079</v>
      </c>
      <c r="H797" t="s">
        <v>1080</v>
      </c>
      <c r="I797" t="s">
        <v>1081</v>
      </c>
      <c r="J797" t="s">
        <v>36</v>
      </c>
      <c r="K797">
        <v>21015</v>
      </c>
      <c r="L797" t="s">
        <v>1082</v>
      </c>
      <c r="M797" t="s">
        <v>1083</v>
      </c>
      <c r="N797" t="s">
        <v>1083</v>
      </c>
      <c r="O797">
        <v>21000</v>
      </c>
      <c r="P797" t="s">
        <v>46</v>
      </c>
      <c r="Q797" t="s">
        <v>47</v>
      </c>
      <c r="R797" t="s">
        <v>48</v>
      </c>
      <c r="T797" t="s">
        <v>36</v>
      </c>
      <c r="U797" t="s">
        <v>36</v>
      </c>
      <c r="V797" t="s">
        <v>36</v>
      </c>
      <c r="W797">
        <v>4000</v>
      </c>
      <c r="X797" t="s">
        <v>49</v>
      </c>
      <c r="Y797" t="s">
        <v>50</v>
      </c>
      <c r="Z797" t="s">
        <v>51</v>
      </c>
      <c r="AA797" t="s">
        <v>37</v>
      </c>
      <c r="AB797" t="s">
        <v>52</v>
      </c>
      <c r="AC797" t="s">
        <v>53</v>
      </c>
      <c r="AD797" t="s">
        <v>54</v>
      </c>
      <c r="AE797">
        <v>8.5325561067399995</v>
      </c>
      <c r="AF797">
        <v>1361</v>
      </c>
      <c r="AG797">
        <v>1361.1957489199999</v>
      </c>
      <c r="AH797">
        <v>85326.936488299994</v>
      </c>
      <c r="AI797">
        <v>50</v>
      </c>
      <c r="AJ797">
        <v>68174.827667023099</v>
      </c>
      <c r="AK797" s="1">
        <f>intersection_ss_Lden___surface[[#This Row],[surf m2 bout ss]]/intersection_ss_Lden___surface[[#This Row],[Shape_Area]]</f>
        <v>0.79898365595688781</v>
      </c>
      <c r="AL797">
        <v>1878</v>
      </c>
      <c r="AM797">
        <f>intersection_ss_Lden___surface[[#This Row],[Population totale 2024 ss]]*intersection_ss_Lden___surface[[#This Row],[Part de la surface du qs dans le noise contour]]</f>
        <v>1500.4913058870352</v>
      </c>
    </row>
    <row r="798" spans="1:39" x14ac:dyDescent="0.3">
      <c r="A798">
        <v>828</v>
      </c>
      <c r="B798" t="s">
        <v>1204</v>
      </c>
      <c r="C798" t="s">
        <v>1205</v>
      </c>
      <c r="D798" t="s">
        <v>1206</v>
      </c>
      <c r="E798" t="s">
        <v>1206</v>
      </c>
      <c r="F798" t="s">
        <v>1207</v>
      </c>
      <c r="G798" t="s">
        <v>1079</v>
      </c>
      <c r="H798" t="s">
        <v>1080</v>
      </c>
      <c r="I798" t="s">
        <v>1081</v>
      </c>
      <c r="J798" t="s">
        <v>36</v>
      </c>
      <c r="K798">
        <v>21015</v>
      </c>
      <c r="L798" t="s">
        <v>1082</v>
      </c>
      <c r="M798" t="s">
        <v>1083</v>
      </c>
      <c r="N798" t="s">
        <v>1083</v>
      </c>
      <c r="O798">
        <v>21000</v>
      </c>
      <c r="P798" t="s">
        <v>46</v>
      </c>
      <c r="Q798" t="s">
        <v>47</v>
      </c>
      <c r="R798" t="s">
        <v>48</v>
      </c>
      <c r="T798" t="s">
        <v>36</v>
      </c>
      <c r="U798" t="s">
        <v>36</v>
      </c>
      <c r="V798" t="s">
        <v>36</v>
      </c>
      <c r="W798">
        <v>4000</v>
      </c>
      <c r="X798" t="s">
        <v>49</v>
      </c>
      <c r="Y798" t="s">
        <v>50</v>
      </c>
      <c r="Z798" t="s">
        <v>51</v>
      </c>
      <c r="AA798" t="s">
        <v>37</v>
      </c>
      <c r="AB798" t="s">
        <v>52</v>
      </c>
      <c r="AC798" t="s">
        <v>53</v>
      </c>
      <c r="AD798" t="s">
        <v>54</v>
      </c>
      <c r="AE798">
        <v>8.5325561067399995</v>
      </c>
      <c r="AF798">
        <v>1361</v>
      </c>
      <c r="AG798">
        <v>1361.1957489199999</v>
      </c>
      <c r="AH798">
        <v>85326.936488299994</v>
      </c>
      <c r="AI798">
        <v>51</v>
      </c>
      <c r="AJ798">
        <v>17160.335110053398</v>
      </c>
      <c r="AK798" s="1">
        <f>intersection_ss_Lden___surface[[#This Row],[surf m2 bout ss]]/intersection_ss_Lden___surface[[#This Row],[Shape_Area]]</f>
        <v>0.20111275309182602</v>
      </c>
      <c r="AL798">
        <v>1878</v>
      </c>
      <c r="AM798">
        <f>intersection_ss_Lden___surface[[#This Row],[Population totale 2024 ss]]*intersection_ss_Lden___surface[[#This Row],[Part de la surface du qs dans le noise contour]]</f>
        <v>377.6897503064493</v>
      </c>
    </row>
    <row r="799" spans="1:39" x14ac:dyDescent="0.3">
      <c r="A799">
        <v>829</v>
      </c>
      <c r="B799" t="s">
        <v>1208</v>
      </c>
      <c r="C799" t="s">
        <v>1209</v>
      </c>
      <c r="D799" t="s">
        <v>1210</v>
      </c>
      <c r="E799" t="s">
        <v>1210</v>
      </c>
      <c r="F799" t="s">
        <v>1207</v>
      </c>
      <c r="G799" t="s">
        <v>1079</v>
      </c>
      <c r="H799" t="s">
        <v>1080</v>
      </c>
      <c r="I799" t="s">
        <v>1081</v>
      </c>
      <c r="J799" t="s">
        <v>36</v>
      </c>
      <c r="K799">
        <v>21015</v>
      </c>
      <c r="L799" t="s">
        <v>1082</v>
      </c>
      <c r="M799" t="s">
        <v>1083</v>
      </c>
      <c r="N799" t="s">
        <v>1083</v>
      </c>
      <c r="O799">
        <v>21000</v>
      </c>
      <c r="P799" t="s">
        <v>46</v>
      </c>
      <c r="Q799" t="s">
        <v>47</v>
      </c>
      <c r="R799" t="s">
        <v>48</v>
      </c>
      <c r="T799" t="s">
        <v>36</v>
      </c>
      <c r="U799" t="s">
        <v>36</v>
      </c>
      <c r="V799" t="s">
        <v>36</v>
      </c>
      <c r="W799">
        <v>4000</v>
      </c>
      <c r="X799" t="s">
        <v>49</v>
      </c>
      <c r="Y799" t="s">
        <v>50</v>
      </c>
      <c r="Z799" t="s">
        <v>51</v>
      </c>
      <c r="AA799" t="s">
        <v>37</v>
      </c>
      <c r="AB799" t="s">
        <v>52</v>
      </c>
      <c r="AC799" t="s">
        <v>53</v>
      </c>
      <c r="AD799" t="s">
        <v>54</v>
      </c>
      <c r="AE799">
        <v>12.3867071365</v>
      </c>
      <c r="AF799">
        <v>2377</v>
      </c>
      <c r="AG799">
        <v>2376.7617924000001</v>
      </c>
      <c r="AH799">
        <v>123869.053451</v>
      </c>
      <c r="AI799">
        <v>50</v>
      </c>
      <c r="AJ799">
        <v>51484.450929634702</v>
      </c>
      <c r="AK799" s="1">
        <f>intersection_ss_Lden___surface[[#This Row],[surf m2 bout ss]]/intersection_ss_Lden___surface[[#This Row],[Shape_Area]]</f>
        <v>0.41563610518749039</v>
      </c>
      <c r="AL799">
        <v>1637</v>
      </c>
      <c r="AM799">
        <f>intersection_ss_Lden___surface[[#This Row],[Population totale 2024 ss]]*intersection_ss_Lden___surface[[#This Row],[Part de la surface du qs dans le noise contour]]</f>
        <v>680.39630419192179</v>
      </c>
    </row>
    <row r="800" spans="1:39" x14ac:dyDescent="0.3">
      <c r="A800">
        <v>830</v>
      </c>
      <c r="B800" t="s">
        <v>1208</v>
      </c>
      <c r="C800" t="s">
        <v>1209</v>
      </c>
      <c r="D800" t="s">
        <v>1210</v>
      </c>
      <c r="E800" t="s">
        <v>1210</v>
      </c>
      <c r="F800" t="s">
        <v>1207</v>
      </c>
      <c r="G800" t="s">
        <v>1079</v>
      </c>
      <c r="H800" t="s">
        <v>1080</v>
      </c>
      <c r="I800" t="s">
        <v>1081</v>
      </c>
      <c r="J800" t="s">
        <v>36</v>
      </c>
      <c r="K800">
        <v>21015</v>
      </c>
      <c r="L800" t="s">
        <v>1082</v>
      </c>
      <c r="M800" t="s">
        <v>1083</v>
      </c>
      <c r="N800" t="s">
        <v>1083</v>
      </c>
      <c r="O800">
        <v>21000</v>
      </c>
      <c r="P800" t="s">
        <v>46</v>
      </c>
      <c r="Q800" t="s">
        <v>47</v>
      </c>
      <c r="R800" t="s">
        <v>48</v>
      </c>
      <c r="T800" t="s">
        <v>36</v>
      </c>
      <c r="U800" t="s">
        <v>36</v>
      </c>
      <c r="V800" t="s">
        <v>36</v>
      </c>
      <c r="W800">
        <v>4000</v>
      </c>
      <c r="X800" t="s">
        <v>49</v>
      </c>
      <c r="Y800" t="s">
        <v>50</v>
      </c>
      <c r="Z800" t="s">
        <v>51</v>
      </c>
      <c r="AA800" t="s">
        <v>37</v>
      </c>
      <c r="AB800" t="s">
        <v>52</v>
      </c>
      <c r="AC800" t="s">
        <v>53</v>
      </c>
      <c r="AD800" t="s">
        <v>54</v>
      </c>
      <c r="AE800">
        <v>12.3867071365</v>
      </c>
      <c r="AF800">
        <v>2377</v>
      </c>
      <c r="AG800">
        <v>2376.7617924000001</v>
      </c>
      <c r="AH800">
        <v>123869.053451</v>
      </c>
      <c r="AI800">
        <v>51</v>
      </c>
      <c r="AJ800">
        <v>51678.056198901999</v>
      </c>
      <c r="AK800" s="1">
        <f>intersection_ss_Lden___surface[[#This Row],[surf m2 bout ss]]/intersection_ss_Lden___surface[[#This Row],[Shape_Area]]</f>
        <v>0.41719908854671883</v>
      </c>
      <c r="AL800">
        <v>1637</v>
      </c>
      <c r="AM800">
        <f>intersection_ss_Lden___surface[[#This Row],[Population totale 2024 ss]]*intersection_ss_Lden___surface[[#This Row],[Part de la surface du qs dans le noise contour]]</f>
        <v>682.95490795097874</v>
      </c>
    </row>
    <row r="801" spans="1:39" x14ac:dyDescent="0.3">
      <c r="A801">
        <v>831</v>
      </c>
      <c r="B801" t="s">
        <v>1208</v>
      </c>
      <c r="C801" t="s">
        <v>1209</v>
      </c>
      <c r="D801" t="s">
        <v>1210</v>
      </c>
      <c r="E801" t="s">
        <v>1210</v>
      </c>
      <c r="F801" t="s">
        <v>1207</v>
      </c>
      <c r="G801" t="s">
        <v>1079</v>
      </c>
      <c r="H801" t="s">
        <v>1080</v>
      </c>
      <c r="I801" t="s">
        <v>1081</v>
      </c>
      <c r="J801" t="s">
        <v>36</v>
      </c>
      <c r="K801">
        <v>21015</v>
      </c>
      <c r="L801" t="s">
        <v>1082</v>
      </c>
      <c r="M801" t="s">
        <v>1083</v>
      </c>
      <c r="N801" t="s">
        <v>1083</v>
      </c>
      <c r="O801">
        <v>21000</v>
      </c>
      <c r="P801" t="s">
        <v>46</v>
      </c>
      <c r="Q801" t="s">
        <v>47</v>
      </c>
      <c r="R801" t="s">
        <v>48</v>
      </c>
      <c r="T801" t="s">
        <v>36</v>
      </c>
      <c r="U801" t="s">
        <v>36</v>
      </c>
      <c r="V801" t="s">
        <v>36</v>
      </c>
      <c r="W801">
        <v>4000</v>
      </c>
      <c r="X801" t="s">
        <v>49</v>
      </c>
      <c r="Y801" t="s">
        <v>50</v>
      </c>
      <c r="Z801" t="s">
        <v>51</v>
      </c>
      <c r="AA801" t="s">
        <v>37</v>
      </c>
      <c r="AB801" t="s">
        <v>52</v>
      </c>
      <c r="AC801" t="s">
        <v>53</v>
      </c>
      <c r="AD801" t="s">
        <v>54</v>
      </c>
      <c r="AE801">
        <v>12.3867071365</v>
      </c>
      <c r="AF801">
        <v>2377</v>
      </c>
      <c r="AG801">
        <v>2376.7617924000001</v>
      </c>
      <c r="AH801">
        <v>123869.053451</v>
      </c>
      <c r="AI801">
        <v>52</v>
      </c>
      <c r="AJ801">
        <v>20718.406534769601</v>
      </c>
      <c r="AK801" s="1">
        <f>intersection_ss_Lden___surface[[#This Row],[surf m2 bout ss]]/intersection_ss_Lden___surface[[#This Row],[Shape_Area]]</f>
        <v>0.16726055425106939</v>
      </c>
      <c r="AL801">
        <v>1637</v>
      </c>
      <c r="AM801">
        <f>intersection_ss_Lden___surface[[#This Row],[Population totale 2024 ss]]*intersection_ss_Lden___surface[[#This Row],[Part de la surface du qs dans le noise contour]]</f>
        <v>273.80552730900058</v>
      </c>
    </row>
    <row r="802" spans="1:39" x14ac:dyDescent="0.3">
      <c r="A802">
        <v>832</v>
      </c>
      <c r="B802" t="s">
        <v>1211</v>
      </c>
      <c r="C802" t="s">
        <v>1212</v>
      </c>
      <c r="D802" t="s">
        <v>1213</v>
      </c>
      <c r="E802" t="s">
        <v>1213</v>
      </c>
      <c r="F802" t="s">
        <v>1207</v>
      </c>
      <c r="G802" t="s">
        <v>1079</v>
      </c>
      <c r="H802" t="s">
        <v>1080</v>
      </c>
      <c r="I802" t="s">
        <v>1081</v>
      </c>
      <c r="J802" t="s">
        <v>36</v>
      </c>
      <c r="K802">
        <v>21015</v>
      </c>
      <c r="L802" t="s">
        <v>1082</v>
      </c>
      <c r="M802" t="s">
        <v>1083</v>
      </c>
      <c r="N802" t="s">
        <v>1083</v>
      </c>
      <c r="O802">
        <v>21000</v>
      </c>
      <c r="P802" t="s">
        <v>46</v>
      </c>
      <c r="Q802" t="s">
        <v>47</v>
      </c>
      <c r="R802" t="s">
        <v>48</v>
      </c>
      <c r="T802" t="s">
        <v>36</v>
      </c>
      <c r="U802" t="s">
        <v>36</v>
      </c>
      <c r="V802" t="s">
        <v>36</v>
      </c>
      <c r="W802">
        <v>4000</v>
      </c>
      <c r="X802" t="s">
        <v>49</v>
      </c>
      <c r="Y802" t="s">
        <v>50</v>
      </c>
      <c r="Z802" t="s">
        <v>51</v>
      </c>
      <c r="AA802" t="s">
        <v>37</v>
      </c>
      <c r="AB802" t="s">
        <v>52</v>
      </c>
      <c r="AC802" t="s">
        <v>53</v>
      </c>
      <c r="AD802" t="s">
        <v>54</v>
      </c>
      <c r="AE802">
        <v>9.0087096822900001</v>
      </c>
      <c r="AF802">
        <v>1507</v>
      </c>
      <c r="AG802">
        <v>1506.67676822</v>
      </c>
      <c r="AH802">
        <v>90088.557340900006</v>
      </c>
      <c r="AI802">
        <v>50</v>
      </c>
      <c r="AJ802">
        <v>1.33773372363066E-3</v>
      </c>
      <c r="AK802" s="1">
        <f>intersection_ss_Lden___surface[[#This Row],[surf m2 bout ss]]/intersection_ss_Lden___surface[[#This Row],[Shape_Area]]</f>
        <v>1.4849096967649318E-8</v>
      </c>
      <c r="AL802">
        <v>989</v>
      </c>
      <c r="AM802">
        <f>intersection_ss_Lden___surface[[#This Row],[Population totale 2024 ss]]*intersection_ss_Lden___surface[[#This Row],[Part de la surface du qs dans le noise contour]]</f>
        <v>1.4685756901005176E-5</v>
      </c>
    </row>
    <row r="803" spans="1:39" x14ac:dyDescent="0.3">
      <c r="A803">
        <v>833</v>
      </c>
      <c r="B803" t="s">
        <v>1211</v>
      </c>
      <c r="C803" t="s">
        <v>1212</v>
      </c>
      <c r="D803" t="s">
        <v>1213</v>
      </c>
      <c r="E803" t="s">
        <v>1213</v>
      </c>
      <c r="F803" t="s">
        <v>1207</v>
      </c>
      <c r="G803" t="s">
        <v>1079</v>
      </c>
      <c r="H803" t="s">
        <v>1080</v>
      </c>
      <c r="I803" t="s">
        <v>1081</v>
      </c>
      <c r="J803" t="s">
        <v>36</v>
      </c>
      <c r="K803">
        <v>21015</v>
      </c>
      <c r="L803" t="s">
        <v>1082</v>
      </c>
      <c r="M803" t="s">
        <v>1083</v>
      </c>
      <c r="N803" t="s">
        <v>1083</v>
      </c>
      <c r="O803">
        <v>21000</v>
      </c>
      <c r="P803" t="s">
        <v>46</v>
      </c>
      <c r="Q803" t="s">
        <v>47</v>
      </c>
      <c r="R803" t="s">
        <v>48</v>
      </c>
      <c r="T803" t="s">
        <v>36</v>
      </c>
      <c r="U803" t="s">
        <v>36</v>
      </c>
      <c r="V803" t="s">
        <v>36</v>
      </c>
      <c r="W803">
        <v>4000</v>
      </c>
      <c r="X803" t="s">
        <v>49</v>
      </c>
      <c r="Y803" t="s">
        <v>50</v>
      </c>
      <c r="Z803" t="s">
        <v>51</v>
      </c>
      <c r="AA803" t="s">
        <v>37</v>
      </c>
      <c r="AB803" t="s">
        <v>52</v>
      </c>
      <c r="AC803" t="s">
        <v>53</v>
      </c>
      <c r="AD803" t="s">
        <v>54</v>
      </c>
      <c r="AE803">
        <v>9.0087096822900001</v>
      </c>
      <c r="AF803">
        <v>1507</v>
      </c>
      <c r="AG803">
        <v>1506.67676822</v>
      </c>
      <c r="AH803">
        <v>90088.557340900006</v>
      </c>
      <c r="AI803">
        <v>51</v>
      </c>
      <c r="AJ803">
        <v>48495.437395616696</v>
      </c>
      <c r="AK803" s="1">
        <f>intersection_ss_Lden___surface[[#This Row],[surf m2 bout ss]]/intersection_ss_Lden___surface[[#This Row],[Shape_Area]]</f>
        <v>0.53830851361185994</v>
      </c>
      <c r="AL803">
        <v>989</v>
      </c>
      <c r="AM803">
        <f>intersection_ss_Lden___surface[[#This Row],[Population totale 2024 ss]]*intersection_ss_Lden___surface[[#This Row],[Part de la surface du qs dans le noise contour]]</f>
        <v>532.38711996212953</v>
      </c>
    </row>
    <row r="804" spans="1:39" x14ac:dyDescent="0.3">
      <c r="A804">
        <v>834</v>
      </c>
      <c r="B804" t="s">
        <v>1211</v>
      </c>
      <c r="C804" t="s">
        <v>1212</v>
      </c>
      <c r="D804" t="s">
        <v>1213</v>
      </c>
      <c r="E804" t="s">
        <v>1213</v>
      </c>
      <c r="F804" t="s">
        <v>1207</v>
      </c>
      <c r="G804" t="s">
        <v>1079</v>
      </c>
      <c r="H804" t="s">
        <v>1080</v>
      </c>
      <c r="I804" t="s">
        <v>1081</v>
      </c>
      <c r="J804" t="s">
        <v>36</v>
      </c>
      <c r="K804">
        <v>21015</v>
      </c>
      <c r="L804" t="s">
        <v>1082</v>
      </c>
      <c r="M804" t="s">
        <v>1083</v>
      </c>
      <c r="N804" t="s">
        <v>1083</v>
      </c>
      <c r="O804">
        <v>21000</v>
      </c>
      <c r="P804" t="s">
        <v>46</v>
      </c>
      <c r="Q804" t="s">
        <v>47</v>
      </c>
      <c r="R804" t="s">
        <v>48</v>
      </c>
      <c r="T804" t="s">
        <v>36</v>
      </c>
      <c r="U804" t="s">
        <v>36</v>
      </c>
      <c r="V804" t="s">
        <v>36</v>
      </c>
      <c r="W804">
        <v>4000</v>
      </c>
      <c r="X804" t="s">
        <v>49</v>
      </c>
      <c r="Y804" t="s">
        <v>50</v>
      </c>
      <c r="Z804" t="s">
        <v>51</v>
      </c>
      <c r="AA804" t="s">
        <v>37</v>
      </c>
      <c r="AB804" t="s">
        <v>52</v>
      </c>
      <c r="AC804" t="s">
        <v>53</v>
      </c>
      <c r="AD804" t="s">
        <v>54</v>
      </c>
      <c r="AE804">
        <v>9.0087096822900001</v>
      </c>
      <c r="AF804">
        <v>1507</v>
      </c>
      <c r="AG804">
        <v>1506.67676822</v>
      </c>
      <c r="AH804">
        <v>90088.557340900006</v>
      </c>
      <c r="AI804">
        <v>52</v>
      </c>
      <c r="AJ804">
        <v>41601.758728125598</v>
      </c>
      <c r="AK804" s="1">
        <f>intersection_ss_Lden___surface[[#This Row],[surf m2 bout ss]]/intersection_ss_Lden___surface[[#This Row],[Shape_Area]]</f>
        <v>0.46178737850915158</v>
      </c>
      <c r="AL804">
        <v>989</v>
      </c>
      <c r="AM804">
        <f>intersection_ss_Lden___surface[[#This Row],[Population totale 2024 ss]]*intersection_ss_Lden___surface[[#This Row],[Part de la surface du qs dans le noise contour]]</f>
        <v>456.70771734555092</v>
      </c>
    </row>
    <row r="805" spans="1:39" x14ac:dyDescent="0.3">
      <c r="A805">
        <v>835</v>
      </c>
      <c r="B805" t="s">
        <v>1214</v>
      </c>
      <c r="C805" t="s">
        <v>1215</v>
      </c>
      <c r="D805" t="s">
        <v>1216</v>
      </c>
      <c r="E805" t="s">
        <v>1216</v>
      </c>
      <c r="F805" t="s">
        <v>1207</v>
      </c>
      <c r="G805" t="s">
        <v>1079</v>
      </c>
      <c r="H805" t="s">
        <v>1080</v>
      </c>
      <c r="I805" t="s">
        <v>1081</v>
      </c>
      <c r="J805" t="s">
        <v>36</v>
      </c>
      <c r="K805">
        <v>21015</v>
      </c>
      <c r="L805" t="s">
        <v>1082</v>
      </c>
      <c r="M805" t="s">
        <v>1083</v>
      </c>
      <c r="N805" t="s">
        <v>1083</v>
      </c>
      <c r="O805">
        <v>21000</v>
      </c>
      <c r="P805" t="s">
        <v>46</v>
      </c>
      <c r="Q805" t="s">
        <v>47</v>
      </c>
      <c r="R805" t="s">
        <v>48</v>
      </c>
      <c r="T805" t="s">
        <v>36</v>
      </c>
      <c r="U805" t="s">
        <v>36</v>
      </c>
      <c r="V805" t="s">
        <v>36</v>
      </c>
      <c r="W805">
        <v>4000</v>
      </c>
      <c r="X805" t="s">
        <v>49</v>
      </c>
      <c r="Y805" t="s">
        <v>50</v>
      </c>
      <c r="Z805" t="s">
        <v>51</v>
      </c>
      <c r="AA805" t="s">
        <v>37</v>
      </c>
      <c r="AB805" t="s">
        <v>52</v>
      </c>
      <c r="AC805" t="s">
        <v>53</v>
      </c>
      <c r="AD805" t="s">
        <v>54</v>
      </c>
      <c r="AE805">
        <v>11.048045786099999</v>
      </c>
      <c r="AF805">
        <v>1716</v>
      </c>
      <c r="AG805">
        <v>1716.3664403800001</v>
      </c>
      <c r="AH805">
        <v>110482.237807</v>
      </c>
      <c r="AI805">
        <v>49</v>
      </c>
      <c r="AJ805">
        <v>2971.2757888138299</v>
      </c>
      <c r="AK805" s="1">
        <f>intersection_ss_Lden___surface[[#This Row],[surf m2 bout ss]]/intersection_ss_Lden___surface[[#This Row],[Shape_Area]]</f>
        <v>2.6893696650173882E-2</v>
      </c>
      <c r="AL805">
        <v>1461</v>
      </c>
      <c r="AM805">
        <f>intersection_ss_Lden___surface[[#This Row],[Population totale 2024 ss]]*intersection_ss_Lden___surface[[#This Row],[Part de la surface du qs dans le noise contour]]</f>
        <v>39.29169080590404</v>
      </c>
    </row>
    <row r="806" spans="1:39" x14ac:dyDescent="0.3">
      <c r="A806">
        <v>836</v>
      </c>
      <c r="B806" t="s">
        <v>1214</v>
      </c>
      <c r="C806" t="s">
        <v>1215</v>
      </c>
      <c r="D806" t="s">
        <v>1216</v>
      </c>
      <c r="E806" t="s">
        <v>1216</v>
      </c>
      <c r="F806" t="s">
        <v>1207</v>
      </c>
      <c r="G806" t="s">
        <v>1079</v>
      </c>
      <c r="H806" t="s">
        <v>1080</v>
      </c>
      <c r="I806" t="s">
        <v>1081</v>
      </c>
      <c r="J806" t="s">
        <v>36</v>
      </c>
      <c r="K806">
        <v>21015</v>
      </c>
      <c r="L806" t="s">
        <v>1082</v>
      </c>
      <c r="M806" t="s">
        <v>1083</v>
      </c>
      <c r="N806" t="s">
        <v>1083</v>
      </c>
      <c r="O806">
        <v>21000</v>
      </c>
      <c r="P806" t="s">
        <v>46</v>
      </c>
      <c r="Q806" t="s">
        <v>47</v>
      </c>
      <c r="R806" t="s">
        <v>48</v>
      </c>
      <c r="T806" t="s">
        <v>36</v>
      </c>
      <c r="U806" t="s">
        <v>36</v>
      </c>
      <c r="V806" t="s">
        <v>36</v>
      </c>
      <c r="W806">
        <v>4000</v>
      </c>
      <c r="X806" t="s">
        <v>49</v>
      </c>
      <c r="Y806" t="s">
        <v>50</v>
      </c>
      <c r="Z806" t="s">
        <v>51</v>
      </c>
      <c r="AA806" t="s">
        <v>37</v>
      </c>
      <c r="AB806" t="s">
        <v>52</v>
      </c>
      <c r="AC806" t="s">
        <v>53</v>
      </c>
      <c r="AD806" t="s">
        <v>54</v>
      </c>
      <c r="AE806">
        <v>11.048045786099999</v>
      </c>
      <c r="AF806">
        <v>1716</v>
      </c>
      <c r="AG806">
        <v>1716.3664403800001</v>
      </c>
      <c r="AH806">
        <v>110482.237807</v>
      </c>
      <c r="AI806">
        <v>50</v>
      </c>
      <c r="AJ806">
        <v>55171.273756665199</v>
      </c>
      <c r="AK806" s="1">
        <f>intersection_ss_Lden___surface[[#This Row],[surf m2 bout ss]]/intersection_ss_Lden___surface[[#This Row],[Shape_Area]]</f>
        <v>0.49936781560347454</v>
      </c>
      <c r="AL806">
        <v>1461</v>
      </c>
      <c r="AM806">
        <f>intersection_ss_Lden___surface[[#This Row],[Population totale 2024 ss]]*intersection_ss_Lden___surface[[#This Row],[Part de la surface du qs dans le noise contour]]</f>
        <v>729.57637859667625</v>
      </c>
    </row>
    <row r="807" spans="1:39" x14ac:dyDescent="0.3">
      <c r="A807">
        <v>837</v>
      </c>
      <c r="B807" t="s">
        <v>1214</v>
      </c>
      <c r="C807" t="s">
        <v>1215</v>
      </c>
      <c r="D807" t="s">
        <v>1216</v>
      </c>
      <c r="E807" t="s">
        <v>1216</v>
      </c>
      <c r="F807" t="s">
        <v>1207</v>
      </c>
      <c r="G807" t="s">
        <v>1079</v>
      </c>
      <c r="H807" t="s">
        <v>1080</v>
      </c>
      <c r="I807" t="s">
        <v>1081</v>
      </c>
      <c r="J807" t="s">
        <v>36</v>
      </c>
      <c r="K807">
        <v>21015</v>
      </c>
      <c r="L807" t="s">
        <v>1082</v>
      </c>
      <c r="M807" t="s">
        <v>1083</v>
      </c>
      <c r="N807" t="s">
        <v>1083</v>
      </c>
      <c r="O807">
        <v>21000</v>
      </c>
      <c r="P807" t="s">
        <v>46</v>
      </c>
      <c r="Q807" t="s">
        <v>47</v>
      </c>
      <c r="R807" t="s">
        <v>48</v>
      </c>
      <c r="T807" t="s">
        <v>36</v>
      </c>
      <c r="U807" t="s">
        <v>36</v>
      </c>
      <c r="V807" t="s">
        <v>36</v>
      </c>
      <c r="W807">
        <v>4000</v>
      </c>
      <c r="X807" t="s">
        <v>49</v>
      </c>
      <c r="Y807" t="s">
        <v>50</v>
      </c>
      <c r="Z807" t="s">
        <v>51</v>
      </c>
      <c r="AA807" t="s">
        <v>37</v>
      </c>
      <c r="AB807" t="s">
        <v>52</v>
      </c>
      <c r="AC807" t="s">
        <v>53</v>
      </c>
      <c r="AD807" t="s">
        <v>54</v>
      </c>
      <c r="AE807">
        <v>11.048045786099999</v>
      </c>
      <c r="AF807">
        <v>1716</v>
      </c>
      <c r="AG807">
        <v>1716.3664403800001</v>
      </c>
      <c r="AH807">
        <v>110482.237807</v>
      </c>
      <c r="AI807">
        <v>51</v>
      </c>
      <c r="AJ807">
        <v>44263.493230790802</v>
      </c>
      <c r="AK807" s="1">
        <f>intersection_ss_Lden___surface[[#This Row],[surf m2 bout ss]]/intersection_ss_Lden___surface[[#This Row],[Shape_Area]]</f>
        <v>0.40063899962013921</v>
      </c>
      <c r="AL807">
        <v>1461</v>
      </c>
      <c r="AM807">
        <f>intersection_ss_Lden___surface[[#This Row],[Population totale 2024 ss]]*intersection_ss_Lden___surface[[#This Row],[Part de la surface du qs dans le noise contour]]</f>
        <v>585.33357844502336</v>
      </c>
    </row>
    <row r="808" spans="1:39" x14ac:dyDescent="0.3">
      <c r="A808">
        <v>838</v>
      </c>
      <c r="B808" t="s">
        <v>1214</v>
      </c>
      <c r="C808" t="s">
        <v>1215</v>
      </c>
      <c r="D808" t="s">
        <v>1216</v>
      </c>
      <c r="E808" t="s">
        <v>1216</v>
      </c>
      <c r="F808" t="s">
        <v>1207</v>
      </c>
      <c r="G808" t="s">
        <v>1079</v>
      </c>
      <c r="H808" t="s">
        <v>1080</v>
      </c>
      <c r="I808" t="s">
        <v>1081</v>
      </c>
      <c r="J808" t="s">
        <v>36</v>
      </c>
      <c r="K808">
        <v>21015</v>
      </c>
      <c r="L808" t="s">
        <v>1082</v>
      </c>
      <c r="M808" t="s">
        <v>1083</v>
      </c>
      <c r="N808" t="s">
        <v>1083</v>
      </c>
      <c r="O808">
        <v>21000</v>
      </c>
      <c r="P808" t="s">
        <v>46</v>
      </c>
      <c r="Q808" t="s">
        <v>47</v>
      </c>
      <c r="R808" t="s">
        <v>48</v>
      </c>
      <c r="T808" t="s">
        <v>36</v>
      </c>
      <c r="U808" t="s">
        <v>36</v>
      </c>
      <c r="V808" t="s">
        <v>36</v>
      </c>
      <c r="W808">
        <v>4000</v>
      </c>
      <c r="X808" t="s">
        <v>49</v>
      </c>
      <c r="Y808" t="s">
        <v>50</v>
      </c>
      <c r="Z808" t="s">
        <v>51</v>
      </c>
      <c r="AA808" t="s">
        <v>37</v>
      </c>
      <c r="AB808" t="s">
        <v>52</v>
      </c>
      <c r="AC808" t="s">
        <v>53</v>
      </c>
      <c r="AD808" t="s">
        <v>54</v>
      </c>
      <c r="AE808">
        <v>11.048045786099999</v>
      </c>
      <c r="AF808">
        <v>1716</v>
      </c>
      <c r="AG808">
        <v>1716.3664403800001</v>
      </c>
      <c r="AH808">
        <v>110482.237807</v>
      </c>
      <c r="AI808">
        <v>52</v>
      </c>
      <c r="AJ808">
        <v>8086.88578514243</v>
      </c>
      <c r="AK808" s="1">
        <f>intersection_ss_Lden___surface[[#This Row],[surf m2 bout ss]]/intersection_ss_Lden___surface[[#This Row],[Shape_Area]]</f>
        <v>7.3196252589210822E-2</v>
      </c>
      <c r="AL808">
        <v>1461</v>
      </c>
      <c r="AM808">
        <f>intersection_ss_Lden___surface[[#This Row],[Population totale 2024 ss]]*intersection_ss_Lden___surface[[#This Row],[Part de la surface du qs dans le noise contour]]</f>
        <v>106.93972503283702</v>
      </c>
    </row>
    <row r="809" spans="1:39" x14ac:dyDescent="0.3">
      <c r="A809">
        <v>839</v>
      </c>
      <c r="B809" t="s">
        <v>1217</v>
      </c>
      <c r="C809" t="s">
        <v>1218</v>
      </c>
      <c r="D809" t="s">
        <v>1219</v>
      </c>
      <c r="E809" t="s">
        <v>1219</v>
      </c>
      <c r="F809" t="s">
        <v>1207</v>
      </c>
      <c r="G809" t="s">
        <v>1079</v>
      </c>
      <c r="H809" t="s">
        <v>1080</v>
      </c>
      <c r="I809" t="s">
        <v>1081</v>
      </c>
      <c r="J809" t="s">
        <v>36</v>
      </c>
      <c r="K809">
        <v>21015</v>
      </c>
      <c r="L809" t="s">
        <v>1082</v>
      </c>
      <c r="M809" t="s">
        <v>1083</v>
      </c>
      <c r="N809" t="s">
        <v>1083</v>
      </c>
      <c r="O809">
        <v>21000</v>
      </c>
      <c r="P809" t="s">
        <v>46</v>
      </c>
      <c r="Q809" t="s">
        <v>47</v>
      </c>
      <c r="R809" t="s">
        <v>48</v>
      </c>
      <c r="T809" t="s">
        <v>36</v>
      </c>
      <c r="U809" t="s">
        <v>36</v>
      </c>
      <c r="V809" t="s">
        <v>36</v>
      </c>
      <c r="W809">
        <v>4000</v>
      </c>
      <c r="X809" t="s">
        <v>49</v>
      </c>
      <c r="Y809" t="s">
        <v>50</v>
      </c>
      <c r="Z809" t="s">
        <v>51</v>
      </c>
      <c r="AA809" t="s">
        <v>37</v>
      </c>
      <c r="AB809" t="s">
        <v>52</v>
      </c>
      <c r="AC809" t="s">
        <v>53</v>
      </c>
      <c r="AD809" t="s">
        <v>54</v>
      </c>
      <c r="AE809">
        <v>48.606326647099998</v>
      </c>
      <c r="AF809">
        <v>3144</v>
      </c>
      <c r="AG809">
        <v>3143.9912109000002</v>
      </c>
      <c r="AH809">
        <v>486071.11758899997</v>
      </c>
      <c r="AI809">
        <v>48</v>
      </c>
      <c r="AJ809">
        <v>82.699114784598393</v>
      </c>
      <c r="AK809" s="1">
        <f>intersection_ss_Lden___surface[[#This Row],[surf m2 bout ss]]/intersection_ss_Lden___surface[[#This Row],[Shape_Area]]</f>
        <v>1.701378909218076E-4</v>
      </c>
      <c r="AL809">
        <v>2270</v>
      </c>
      <c r="AM809">
        <f>intersection_ss_Lden___surface[[#This Row],[Population totale 2024 ss]]*intersection_ss_Lden___surface[[#This Row],[Part de la surface du qs dans le noise contour]]</f>
        <v>0.38621301239250327</v>
      </c>
    </row>
    <row r="810" spans="1:39" x14ac:dyDescent="0.3">
      <c r="A810">
        <v>840</v>
      </c>
      <c r="B810" t="s">
        <v>1217</v>
      </c>
      <c r="C810" t="s">
        <v>1218</v>
      </c>
      <c r="D810" t="s">
        <v>1219</v>
      </c>
      <c r="E810" t="s">
        <v>1219</v>
      </c>
      <c r="F810" t="s">
        <v>1207</v>
      </c>
      <c r="G810" t="s">
        <v>1079</v>
      </c>
      <c r="H810" t="s">
        <v>1080</v>
      </c>
      <c r="I810" t="s">
        <v>1081</v>
      </c>
      <c r="J810" t="s">
        <v>36</v>
      </c>
      <c r="K810">
        <v>21015</v>
      </c>
      <c r="L810" t="s">
        <v>1082</v>
      </c>
      <c r="M810" t="s">
        <v>1083</v>
      </c>
      <c r="N810" t="s">
        <v>1083</v>
      </c>
      <c r="O810">
        <v>21000</v>
      </c>
      <c r="P810" t="s">
        <v>46</v>
      </c>
      <c r="Q810" t="s">
        <v>47</v>
      </c>
      <c r="R810" t="s">
        <v>48</v>
      </c>
      <c r="T810" t="s">
        <v>36</v>
      </c>
      <c r="U810" t="s">
        <v>36</v>
      </c>
      <c r="V810" t="s">
        <v>36</v>
      </c>
      <c r="W810">
        <v>4000</v>
      </c>
      <c r="X810" t="s">
        <v>49</v>
      </c>
      <c r="Y810" t="s">
        <v>50</v>
      </c>
      <c r="Z810" t="s">
        <v>51</v>
      </c>
      <c r="AA810" t="s">
        <v>37</v>
      </c>
      <c r="AB810" t="s">
        <v>52</v>
      </c>
      <c r="AC810" t="s">
        <v>53</v>
      </c>
      <c r="AD810" t="s">
        <v>54</v>
      </c>
      <c r="AE810">
        <v>48.606326647099998</v>
      </c>
      <c r="AF810">
        <v>3144</v>
      </c>
      <c r="AG810">
        <v>3143.9912109000002</v>
      </c>
      <c r="AH810">
        <v>486071.11758899997</v>
      </c>
      <c r="AI810">
        <v>49</v>
      </c>
      <c r="AJ810">
        <v>108348.220887952</v>
      </c>
      <c r="AK810" s="1">
        <f>intersection_ss_Lden___surface[[#This Row],[surf m2 bout ss]]/intersection_ss_Lden___surface[[#This Row],[Shape_Area]]</f>
        <v>0.22290610770164382</v>
      </c>
      <c r="AL810">
        <v>2270</v>
      </c>
      <c r="AM810">
        <f>intersection_ss_Lden___surface[[#This Row],[Population totale 2024 ss]]*intersection_ss_Lden___surface[[#This Row],[Part de la surface du qs dans le noise contour]]</f>
        <v>505.9968644827315</v>
      </c>
    </row>
    <row r="811" spans="1:39" x14ac:dyDescent="0.3">
      <c r="A811">
        <v>841</v>
      </c>
      <c r="B811" t="s">
        <v>1217</v>
      </c>
      <c r="C811" t="s">
        <v>1218</v>
      </c>
      <c r="D811" t="s">
        <v>1219</v>
      </c>
      <c r="E811" t="s">
        <v>1219</v>
      </c>
      <c r="F811" t="s">
        <v>1207</v>
      </c>
      <c r="G811" t="s">
        <v>1079</v>
      </c>
      <c r="H811" t="s">
        <v>1080</v>
      </c>
      <c r="I811" t="s">
        <v>1081</v>
      </c>
      <c r="J811" t="s">
        <v>36</v>
      </c>
      <c r="K811">
        <v>21015</v>
      </c>
      <c r="L811" t="s">
        <v>1082</v>
      </c>
      <c r="M811" t="s">
        <v>1083</v>
      </c>
      <c r="N811" t="s">
        <v>1083</v>
      </c>
      <c r="O811">
        <v>21000</v>
      </c>
      <c r="P811" t="s">
        <v>46</v>
      </c>
      <c r="Q811" t="s">
        <v>47</v>
      </c>
      <c r="R811" t="s">
        <v>48</v>
      </c>
      <c r="T811" t="s">
        <v>36</v>
      </c>
      <c r="U811" t="s">
        <v>36</v>
      </c>
      <c r="V811" t="s">
        <v>36</v>
      </c>
      <c r="W811">
        <v>4000</v>
      </c>
      <c r="X811" t="s">
        <v>49</v>
      </c>
      <c r="Y811" t="s">
        <v>50</v>
      </c>
      <c r="Z811" t="s">
        <v>51</v>
      </c>
      <c r="AA811" t="s">
        <v>37</v>
      </c>
      <c r="AB811" t="s">
        <v>52</v>
      </c>
      <c r="AC811" t="s">
        <v>53</v>
      </c>
      <c r="AD811" t="s">
        <v>54</v>
      </c>
      <c r="AE811">
        <v>48.606326647099998</v>
      </c>
      <c r="AF811">
        <v>3144</v>
      </c>
      <c r="AG811">
        <v>3143.9912109000002</v>
      </c>
      <c r="AH811">
        <v>486071.11758899997</v>
      </c>
      <c r="AI811">
        <v>50</v>
      </c>
      <c r="AJ811">
        <v>180961.120555742</v>
      </c>
      <c r="AK811" s="1">
        <f>intersection_ss_Lden___surface[[#This Row],[surf m2 bout ss]]/intersection_ss_Lden___surface[[#This Row],[Shape_Area]]</f>
        <v>0.37229350604771921</v>
      </c>
      <c r="AL811">
        <v>2270</v>
      </c>
      <c r="AM811">
        <f>intersection_ss_Lden___surface[[#This Row],[Population totale 2024 ss]]*intersection_ss_Lden___surface[[#This Row],[Part de la surface du qs dans le noise contour]]</f>
        <v>845.10625872832259</v>
      </c>
    </row>
    <row r="812" spans="1:39" x14ac:dyDescent="0.3">
      <c r="A812">
        <v>842</v>
      </c>
      <c r="B812" t="s">
        <v>1217</v>
      </c>
      <c r="C812" t="s">
        <v>1218</v>
      </c>
      <c r="D812" t="s">
        <v>1219</v>
      </c>
      <c r="E812" t="s">
        <v>1219</v>
      </c>
      <c r="F812" t="s">
        <v>1207</v>
      </c>
      <c r="G812" t="s">
        <v>1079</v>
      </c>
      <c r="H812" t="s">
        <v>1080</v>
      </c>
      <c r="I812" t="s">
        <v>1081</v>
      </c>
      <c r="J812" t="s">
        <v>36</v>
      </c>
      <c r="K812">
        <v>21015</v>
      </c>
      <c r="L812" t="s">
        <v>1082</v>
      </c>
      <c r="M812" t="s">
        <v>1083</v>
      </c>
      <c r="N812" t="s">
        <v>1083</v>
      </c>
      <c r="O812">
        <v>21000</v>
      </c>
      <c r="P812" t="s">
        <v>46</v>
      </c>
      <c r="Q812" t="s">
        <v>47</v>
      </c>
      <c r="R812" t="s">
        <v>48</v>
      </c>
      <c r="T812" t="s">
        <v>36</v>
      </c>
      <c r="U812" t="s">
        <v>36</v>
      </c>
      <c r="V812" t="s">
        <v>36</v>
      </c>
      <c r="W812">
        <v>4000</v>
      </c>
      <c r="X812" t="s">
        <v>49</v>
      </c>
      <c r="Y812" t="s">
        <v>50</v>
      </c>
      <c r="Z812" t="s">
        <v>51</v>
      </c>
      <c r="AA812" t="s">
        <v>37</v>
      </c>
      <c r="AB812" t="s">
        <v>52</v>
      </c>
      <c r="AC812" t="s">
        <v>53</v>
      </c>
      <c r="AD812" t="s">
        <v>54</v>
      </c>
      <c r="AE812">
        <v>48.606326647099998</v>
      </c>
      <c r="AF812">
        <v>3144</v>
      </c>
      <c r="AG812">
        <v>3143.9912109000002</v>
      </c>
      <c r="AH812">
        <v>486071.11758899997</v>
      </c>
      <c r="AI812">
        <v>51</v>
      </c>
      <c r="AJ812">
        <v>154070.477016619</v>
      </c>
      <c r="AK812" s="1">
        <f>intersection_ss_Lden___surface[[#This Row],[surf m2 bout ss]]/intersection_ss_Lden___surface[[#This Row],[Shape_Area]]</f>
        <v>0.3169710592574112</v>
      </c>
      <c r="AL812">
        <v>2270</v>
      </c>
      <c r="AM812">
        <f>intersection_ss_Lden___surface[[#This Row],[Population totale 2024 ss]]*intersection_ss_Lden___surface[[#This Row],[Part de la surface du qs dans le noise contour]]</f>
        <v>719.52430451432338</v>
      </c>
    </row>
    <row r="813" spans="1:39" x14ac:dyDescent="0.3">
      <c r="A813">
        <v>843</v>
      </c>
      <c r="B813" t="s">
        <v>1217</v>
      </c>
      <c r="C813" t="s">
        <v>1218</v>
      </c>
      <c r="D813" t="s">
        <v>1219</v>
      </c>
      <c r="E813" t="s">
        <v>1219</v>
      </c>
      <c r="F813" t="s">
        <v>1207</v>
      </c>
      <c r="G813" t="s">
        <v>1079</v>
      </c>
      <c r="H813" t="s">
        <v>1080</v>
      </c>
      <c r="I813" t="s">
        <v>1081</v>
      </c>
      <c r="J813" t="s">
        <v>36</v>
      </c>
      <c r="K813">
        <v>21015</v>
      </c>
      <c r="L813" t="s">
        <v>1082</v>
      </c>
      <c r="M813" t="s">
        <v>1083</v>
      </c>
      <c r="N813" t="s">
        <v>1083</v>
      </c>
      <c r="O813">
        <v>21000</v>
      </c>
      <c r="P813" t="s">
        <v>46</v>
      </c>
      <c r="Q813" t="s">
        <v>47</v>
      </c>
      <c r="R813" t="s">
        <v>48</v>
      </c>
      <c r="T813" t="s">
        <v>36</v>
      </c>
      <c r="U813" t="s">
        <v>36</v>
      </c>
      <c r="V813" t="s">
        <v>36</v>
      </c>
      <c r="W813">
        <v>4000</v>
      </c>
      <c r="X813" t="s">
        <v>49</v>
      </c>
      <c r="Y813" t="s">
        <v>50</v>
      </c>
      <c r="Z813" t="s">
        <v>51</v>
      </c>
      <c r="AA813" t="s">
        <v>37</v>
      </c>
      <c r="AB813" t="s">
        <v>52</v>
      </c>
      <c r="AC813" t="s">
        <v>53</v>
      </c>
      <c r="AD813" t="s">
        <v>54</v>
      </c>
      <c r="AE813">
        <v>48.606326647099998</v>
      </c>
      <c r="AF813">
        <v>3144</v>
      </c>
      <c r="AG813">
        <v>3143.9912109000002</v>
      </c>
      <c r="AH813">
        <v>486071.11758899997</v>
      </c>
      <c r="AI813">
        <v>52</v>
      </c>
      <c r="AJ813">
        <v>42655.905594925403</v>
      </c>
      <c r="AK813" s="1">
        <f>intersection_ss_Lden___surface[[#This Row],[surf m2 bout ss]]/intersection_ss_Lden___surface[[#This Row],[Shape_Area]]</f>
        <v>8.7756511447350249E-2</v>
      </c>
      <c r="AL813">
        <v>2270</v>
      </c>
      <c r="AM813">
        <f>intersection_ss_Lden___surface[[#This Row],[Population totale 2024 ss]]*intersection_ss_Lden___surface[[#This Row],[Part de la surface du qs dans le noise contour]]</f>
        <v>199.20728098548506</v>
      </c>
    </row>
    <row r="814" spans="1:39" x14ac:dyDescent="0.3">
      <c r="A814">
        <v>844</v>
      </c>
      <c r="B814" t="s">
        <v>1220</v>
      </c>
      <c r="C814" t="s">
        <v>1221</v>
      </c>
      <c r="D814" t="s">
        <v>1222</v>
      </c>
      <c r="E814" t="s">
        <v>1222</v>
      </c>
      <c r="F814" t="s">
        <v>1207</v>
      </c>
      <c r="G814" t="s">
        <v>1079</v>
      </c>
      <c r="H814" t="s">
        <v>1080</v>
      </c>
      <c r="I814" t="s">
        <v>1081</v>
      </c>
      <c r="J814" t="s">
        <v>36</v>
      </c>
      <c r="K814">
        <v>21015</v>
      </c>
      <c r="L814" t="s">
        <v>1082</v>
      </c>
      <c r="M814" t="s">
        <v>1083</v>
      </c>
      <c r="N814" t="s">
        <v>1083</v>
      </c>
      <c r="O814">
        <v>21000</v>
      </c>
      <c r="P814" t="s">
        <v>46</v>
      </c>
      <c r="Q814" t="s">
        <v>47</v>
      </c>
      <c r="R814" t="s">
        <v>48</v>
      </c>
      <c r="T814" t="s">
        <v>36</v>
      </c>
      <c r="U814" t="s">
        <v>36</v>
      </c>
      <c r="V814" t="s">
        <v>36</v>
      </c>
      <c r="W814">
        <v>4000</v>
      </c>
      <c r="X814" t="s">
        <v>49</v>
      </c>
      <c r="Y814" t="s">
        <v>50</v>
      </c>
      <c r="Z814" t="s">
        <v>51</v>
      </c>
      <c r="AA814" t="s">
        <v>37</v>
      </c>
      <c r="AB814" t="s">
        <v>52</v>
      </c>
      <c r="AC814" t="s">
        <v>53</v>
      </c>
      <c r="AD814" t="s">
        <v>54</v>
      </c>
      <c r="AE814">
        <v>7.2718296046399997</v>
      </c>
      <c r="AF814">
        <v>1240</v>
      </c>
      <c r="AG814">
        <v>1240.1432742300001</v>
      </c>
      <c r="AH814">
        <v>72719.4563165</v>
      </c>
      <c r="AI814">
        <v>51</v>
      </c>
      <c r="AJ814">
        <v>58313.076058968902</v>
      </c>
      <c r="AK814" s="1">
        <f>intersection_ss_Lden___surface[[#This Row],[surf m2 bout ss]]/intersection_ss_Lden___surface[[#This Row],[Shape_Area]]</f>
        <v>0.80189097956357658</v>
      </c>
      <c r="AL814">
        <v>338</v>
      </c>
      <c r="AM814">
        <f>intersection_ss_Lden___surface[[#This Row],[Population totale 2024 ss]]*intersection_ss_Lden___surface[[#This Row],[Part de la surface du qs dans le noise contour]]</f>
        <v>271.03915109248891</v>
      </c>
    </row>
    <row r="815" spans="1:39" x14ac:dyDescent="0.3">
      <c r="A815">
        <v>845</v>
      </c>
      <c r="B815" t="s">
        <v>1220</v>
      </c>
      <c r="C815" t="s">
        <v>1221</v>
      </c>
      <c r="D815" t="s">
        <v>1222</v>
      </c>
      <c r="E815" t="s">
        <v>1222</v>
      </c>
      <c r="F815" t="s">
        <v>1207</v>
      </c>
      <c r="G815" t="s">
        <v>1079</v>
      </c>
      <c r="H815" t="s">
        <v>1080</v>
      </c>
      <c r="I815" t="s">
        <v>1081</v>
      </c>
      <c r="J815" t="s">
        <v>36</v>
      </c>
      <c r="K815">
        <v>21015</v>
      </c>
      <c r="L815" t="s">
        <v>1082</v>
      </c>
      <c r="M815" t="s">
        <v>1083</v>
      </c>
      <c r="N815" t="s">
        <v>1083</v>
      </c>
      <c r="O815">
        <v>21000</v>
      </c>
      <c r="P815" t="s">
        <v>46</v>
      </c>
      <c r="Q815" t="s">
        <v>47</v>
      </c>
      <c r="R815" t="s">
        <v>48</v>
      </c>
      <c r="T815" t="s">
        <v>36</v>
      </c>
      <c r="U815" t="s">
        <v>36</v>
      </c>
      <c r="V815" t="s">
        <v>36</v>
      </c>
      <c r="W815">
        <v>4000</v>
      </c>
      <c r="X815" t="s">
        <v>49</v>
      </c>
      <c r="Y815" t="s">
        <v>50</v>
      </c>
      <c r="Z815" t="s">
        <v>51</v>
      </c>
      <c r="AA815" t="s">
        <v>37</v>
      </c>
      <c r="AB815" t="s">
        <v>52</v>
      </c>
      <c r="AC815" t="s">
        <v>53</v>
      </c>
      <c r="AD815" t="s">
        <v>54</v>
      </c>
      <c r="AE815">
        <v>7.2718296046399997</v>
      </c>
      <c r="AF815">
        <v>1240</v>
      </c>
      <c r="AG815">
        <v>1240.1432742300001</v>
      </c>
      <c r="AH815">
        <v>72719.4563165</v>
      </c>
      <c r="AI815">
        <v>52</v>
      </c>
      <c r="AJ815">
        <v>14413.3846436888</v>
      </c>
      <c r="AK815" s="1">
        <f>intersection_ss_Lden___surface[[#This Row],[surf m2 bout ss]]/intersection_ss_Lden___surface[[#This Row],[Shape_Area]]</f>
        <v>0.19820534109821736</v>
      </c>
      <c r="AL815">
        <v>338</v>
      </c>
      <c r="AM815">
        <f>intersection_ss_Lden___surface[[#This Row],[Population totale 2024 ss]]*intersection_ss_Lden___surface[[#This Row],[Part de la surface du qs dans le noise contour]]</f>
        <v>66.993405291197462</v>
      </c>
    </row>
    <row r="816" spans="1:39" x14ac:dyDescent="0.3">
      <c r="A816">
        <v>846</v>
      </c>
      <c r="B816" t="s">
        <v>1223</v>
      </c>
      <c r="C816" t="s">
        <v>1224</v>
      </c>
      <c r="D816" t="s">
        <v>1225</v>
      </c>
      <c r="E816" t="s">
        <v>1225</v>
      </c>
      <c r="F816" t="s">
        <v>1207</v>
      </c>
      <c r="G816" t="s">
        <v>1079</v>
      </c>
      <c r="H816" t="s">
        <v>1080</v>
      </c>
      <c r="I816" t="s">
        <v>1081</v>
      </c>
      <c r="J816" t="s">
        <v>36</v>
      </c>
      <c r="K816">
        <v>21015</v>
      </c>
      <c r="L816" t="s">
        <v>1082</v>
      </c>
      <c r="M816" t="s">
        <v>1083</v>
      </c>
      <c r="N816" t="s">
        <v>1083</v>
      </c>
      <c r="O816">
        <v>21000</v>
      </c>
      <c r="P816" t="s">
        <v>46</v>
      </c>
      <c r="Q816" t="s">
        <v>47</v>
      </c>
      <c r="R816" t="s">
        <v>48</v>
      </c>
      <c r="T816" t="s">
        <v>36</v>
      </c>
      <c r="U816" t="s">
        <v>36</v>
      </c>
      <c r="V816" t="s">
        <v>36</v>
      </c>
      <c r="W816">
        <v>4000</v>
      </c>
      <c r="X816" t="s">
        <v>49</v>
      </c>
      <c r="Y816" t="s">
        <v>50</v>
      </c>
      <c r="Z816" t="s">
        <v>51</v>
      </c>
      <c r="AA816" t="s">
        <v>37</v>
      </c>
      <c r="AB816" t="s">
        <v>52</v>
      </c>
      <c r="AC816" t="s">
        <v>53</v>
      </c>
      <c r="AD816" t="s">
        <v>54</v>
      </c>
      <c r="AE816">
        <v>23.3174403479</v>
      </c>
      <c r="AF816">
        <v>2079</v>
      </c>
      <c r="AG816">
        <v>2079.1086226000002</v>
      </c>
      <c r="AH816">
        <v>233178.16910500001</v>
      </c>
      <c r="AI816">
        <v>50</v>
      </c>
      <c r="AJ816">
        <v>28107.1724339295</v>
      </c>
      <c r="AK816" s="1">
        <f>intersection_ss_Lden___surface[[#This Row],[surf m2 bout ss]]/intersection_ss_Lden___surface[[#This Row],[Shape_Area]]</f>
        <v>0.12053946791765423</v>
      </c>
      <c r="AL816">
        <v>4</v>
      </c>
      <c r="AM816">
        <f>intersection_ss_Lden___surface[[#This Row],[Population totale 2024 ss]]*intersection_ss_Lden___surface[[#This Row],[Part de la surface du qs dans le noise contour]]</f>
        <v>0.48215787167061691</v>
      </c>
    </row>
    <row r="817" spans="1:39" x14ac:dyDescent="0.3">
      <c r="A817">
        <v>847</v>
      </c>
      <c r="B817" t="s">
        <v>1223</v>
      </c>
      <c r="C817" t="s">
        <v>1224</v>
      </c>
      <c r="D817" t="s">
        <v>1225</v>
      </c>
      <c r="E817" t="s">
        <v>1225</v>
      </c>
      <c r="F817" t="s">
        <v>1207</v>
      </c>
      <c r="G817" t="s">
        <v>1079</v>
      </c>
      <c r="H817" t="s">
        <v>1080</v>
      </c>
      <c r="I817" t="s">
        <v>1081</v>
      </c>
      <c r="J817" t="s">
        <v>36</v>
      </c>
      <c r="K817">
        <v>21015</v>
      </c>
      <c r="L817" t="s">
        <v>1082</v>
      </c>
      <c r="M817" t="s">
        <v>1083</v>
      </c>
      <c r="N817" t="s">
        <v>1083</v>
      </c>
      <c r="O817">
        <v>21000</v>
      </c>
      <c r="P817" t="s">
        <v>46</v>
      </c>
      <c r="Q817" t="s">
        <v>47</v>
      </c>
      <c r="R817" t="s">
        <v>48</v>
      </c>
      <c r="T817" t="s">
        <v>36</v>
      </c>
      <c r="U817" t="s">
        <v>36</v>
      </c>
      <c r="V817" t="s">
        <v>36</v>
      </c>
      <c r="W817">
        <v>4000</v>
      </c>
      <c r="X817" t="s">
        <v>49</v>
      </c>
      <c r="Y817" t="s">
        <v>50</v>
      </c>
      <c r="Z817" t="s">
        <v>51</v>
      </c>
      <c r="AA817" t="s">
        <v>37</v>
      </c>
      <c r="AB817" t="s">
        <v>52</v>
      </c>
      <c r="AC817" t="s">
        <v>53</v>
      </c>
      <c r="AD817" t="s">
        <v>54</v>
      </c>
      <c r="AE817">
        <v>23.3174403479</v>
      </c>
      <c r="AF817">
        <v>2079</v>
      </c>
      <c r="AG817">
        <v>2079.1086226000002</v>
      </c>
      <c r="AH817">
        <v>233178.16910500001</v>
      </c>
      <c r="AI817">
        <v>51</v>
      </c>
      <c r="AJ817">
        <v>126187.96807567999</v>
      </c>
      <c r="AK817" s="1">
        <f>intersection_ss_Lden___surface[[#This Row],[surf m2 bout ss]]/intersection_ss_Lden___surface[[#This Row],[Shape_Area]]</f>
        <v>0.54116544683416579</v>
      </c>
      <c r="AL817">
        <v>4</v>
      </c>
      <c r="AM817">
        <f>intersection_ss_Lden___surface[[#This Row],[Population totale 2024 ss]]*intersection_ss_Lden___surface[[#This Row],[Part de la surface du qs dans le noise contour]]</f>
        <v>2.1646617873366631</v>
      </c>
    </row>
    <row r="818" spans="1:39" x14ac:dyDescent="0.3">
      <c r="A818">
        <v>848</v>
      </c>
      <c r="B818" t="s">
        <v>1223</v>
      </c>
      <c r="C818" t="s">
        <v>1224</v>
      </c>
      <c r="D818" t="s">
        <v>1225</v>
      </c>
      <c r="E818" t="s">
        <v>1225</v>
      </c>
      <c r="F818" t="s">
        <v>1207</v>
      </c>
      <c r="G818" t="s">
        <v>1079</v>
      </c>
      <c r="H818" t="s">
        <v>1080</v>
      </c>
      <c r="I818" t="s">
        <v>1081</v>
      </c>
      <c r="J818" t="s">
        <v>36</v>
      </c>
      <c r="K818">
        <v>21015</v>
      </c>
      <c r="L818" t="s">
        <v>1082</v>
      </c>
      <c r="M818" t="s">
        <v>1083</v>
      </c>
      <c r="N818" t="s">
        <v>1083</v>
      </c>
      <c r="O818">
        <v>21000</v>
      </c>
      <c r="P818" t="s">
        <v>46</v>
      </c>
      <c r="Q818" t="s">
        <v>47</v>
      </c>
      <c r="R818" t="s">
        <v>48</v>
      </c>
      <c r="T818" t="s">
        <v>36</v>
      </c>
      <c r="U818" t="s">
        <v>36</v>
      </c>
      <c r="V818" t="s">
        <v>36</v>
      </c>
      <c r="W818">
        <v>4000</v>
      </c>
      <c r="X818" t="s">
        <v>49</v>
      </c>
      <c r="Y818" t="s">
        <v>50</v>
      </c>
      <c r="Z818" t="s">
        <v>51</v>
      </c>
      <c r="AA818" t="s">
        <v>37</v>
      </c>
      <c r="AB818" t="s">
        <v>52</v>
      </c>
      <c r="AC818" t="s">
        <v>53</v>
      </c>
      <c r="AD818" t="s">
        <v>54</v>
      </c>
      <c r="AE818">
        <v>23.3174403479</v>
      </c>
      <c r="AF818">
        <v>2079</v>
      </c>
      <c r="AG818">
        <v>2079.1086226000002</v>
      </c>
      <c r="AH818">
        <v>233178.16910500001</v>
      </c>
      <c r="AI818">
        <v>52</v>
      </c>
      <c r="AJ818">
        <v>78608.816678959905</v>
      </c>
      <c r="AK818" s="1">
        <f>intersection_ss_Lden___surface[[#This Row],[surf m2 bout ss]]/intersection_ss_Lden___surface[[#This Row],[Shape_Area]]</f>
        <v>0.33711910930890959</v>
      </c>
      <c r="AL818">
        <v>4</v>
      </c>
      <c r="AM818">
        <f>intersection_ss_Lden___surface[[#This Row],[Population totale 2024 ss]]*intersection_ss_Lden___surface[[#This Row],[Part de la surface du qs dans le noise contour]]</f>
        <v>1.3484764372356384</v>
      </c>
    </row>
    <row r="819" spans="1:39" x14ac:dyDescent="0.3">
      <c r="A819">
        <v>849</v>
      </c>
      <c r="B819" t="s">
        <v>1223</v>
      </c>
      <c r="C819" t="s">
        <v>1224</v>
      </c>
      <c r="D819" t="s">
        <v>1225</v>
      </c>
      <c r="E819" t="s">
        <v>1225</v>
      </c>
      <c r="F819" t="s">
        <v>1207</v>
      </c>
      <c r="G819" t="s">
        <v>1079</v>
      </c>
      <c r="H819" t="s">
        <v>1080</v>
      </c>
      <c r="I819" t="s">
        <v>1081</v>
      </c>
      <c r="J819" t="s">
        <v>36</v>
      </c>
      <c r="K819">
        <v>21015</v>
      </c>
      <c r="L819" t="s">
        <v>1082</v>
      </c>
      <c r="M819" t="s">
        <v>1083</v>
      </c>
      <c r="N819" t="s">
        <v>1083</v>
      </c>
      <c r="O819">
        <v>21000</v>
      </c>
      <c r="P819" t="s">
        <v>46</v>
      </c>
      <c r="Q819" t="s">
        <v>47</v>
      </c>
      <c r="R819" t="s">
        <v>48</v>
      </c>
      <c r="T819" t="s">
        <v>36</v>
      </c>
      <c r="U819" t="s">
        <v>36</v>
      </c>
      <c r="V819" t="s">
        <v>36</v>
      </c>
      <c r="W819">
        <v>4000</v>
      </c>
      <c r="X819" t="s">
        <v>49</v>
      </c>
      <c r="Y819" t="s">
        <v>50</v>
      </c>
      <c r="Z819" t="s">
        <v>51</v>
      </c>
      <c r="AA819" t="s">
        <v>37</v>
      </c>
      <c r="AB819" t="s">
        <v>52</v>
      </c>
      <c r="AC819" t="s">
        <v>53</v>
      </c>
      <c r="AD819" t="s">
        <v>54</v>
      </c>
      <c r="AE819">
        <v>23.3174403479</v>
      </c>
      <c r="AF819">
        <v>2079</v>
      </c>
      <c r="AG819">
        <v>2079.1086226000002</v>
      </c>
      <c r="AH819">
        <v>233178.16910500001</v>
      </c>
      <c r="AI819">
        <v>53</v>
      </c>
      <c r="AJ819">
        <v>296.41817658208299</v>
      </c>
      <c r="AK819" s="1">
        <f>intersection_ss_Lden___surface[[#This Row],[surf m2 bout ss]]/intersection_ss_Lden___surface[[#This Row],[Shape_Area]]</f>
        <v>1.2712089545938842E-3</v>
      </c>
      <c r="AL819">
        <v>4</v>
      </c>
      <c r="AM819">
        <f>intersection_ss_Lden___surface[[#This Row],[Population totale 2024 ss]]*intersection_ss_Lden___surface[[#This Row],[Part de la surface du qs dans le noise contour]]</f>
        <v>5.0848358183755368E-3</v>
      </c>
    </row>
    <row r="820" spans="1:39" x14ac:dyDescent="0.3">
      <c r="A820">
        <v>850</v>
      </c>
      <c r="B820" t="s">
        <v>1226</v>
      </c>
      <c r="C820" t="s">
        <v>1227</v>
      </c>
      <c r="D820" t="s">
        <v>1227</v>
      </c>
      <c r="E820" t="s">
        <v>1227</v>
      </c>
      <c r="F820" t="s">
        <v>1228</v>
      </c>
      <c r="G820" t="s">
        <v>1079</v>
      </c>
      <c r="H820" t="s">
        <v>1080</v>
      </c>
      <c r="I820" t="s">
        <v>1081</v>
      </c>
      <c r="J820" t="s">
        <v>36</v>
      </c>
      <c r="K820">
        <v>21015</v>
      </c>
      <c r="L820" t="s">
        <v>1082</v>
      </c>
      <c r="M820" t="s">
        <v>1083</v>
      </c>
      <c r="N820" t="s">
        <v>1083</v>
      </c>
      <c r="O820">
        <v>21000</v>
      </c>
      <c r="P820" t="s">
        <v>46</v>
      </c>
      <c r="Q820" t="s">
        <v>47</v>
      </c>
      <c r="R820" t="s">
        <v>48</v>
      </c>
      <c r="T820" t="s">
        <v>36</v>
      </c>
      <c r="U820" t="s">
        <v>36</v>
      </c>
      <c r="V820" t="s">
        <v>36</v>
      </c>
      <c r="W820">
        <v>4000</v>
      </c>
      <c r="X820" t="s">
        <v>49</v>
      </c>
      <c r="Y820" t="s">
        <v>50</v>
      </c>
      <c r="Z820" t="s">
        <v>51</v>
      </c>
      <c r="AA820" t="s">
        <v>37</v>
      </c>
      <c r="AB820" t="s">
        <v>52</v>
      </c>
      <c r="AC820" t="s">
        <v>53</v>
      </c>
      <c r="AD820" t="s">
        <v>54</v>
      </c>
      <c r="AE820">
        <v>11.089882665499999</v>
      </c>
      <c r="AF820">
        <v>1340</v>
      </c>
      <c r="AG820">
        <v>1339.9068800699999</v>
      </c>
      <c r="AH820">
        <v>110900.607928</v>
      </c>
      <c r="AI820">
        <v>51</v>
      </c>
      <c r="AJ820">
        <v>79.998107612132998</v>
      </c>
      <c r="AK820" s="1">
        <f>intersection_ss_Lden___surface[[#This Row],[surf m2 bout ss]]/intersection_ss_Lden___surface[[#This Row],[Shape_Area]]</f>
        <v>7.2134958596503066E-4</v>
      </c>
      <c r="AL820">
        <v>1134</v>
      </c>
      <c r="AM820">
        <f>intersection_ss_Lden___surface[[#This Row],[Population totale 2024 ss]]*intersection_ss_Lden___surface[[#This Row],[Part de la surface du qs dans le noise contour]]</f>
        <v>0.81801043048434474</v>
      </c>
    </row>
    <row r="821" spans="1:39" x14ac:dyDescent="0.3">
      <c r="A821">
        <v>851</v>
      </c>
      <c r="B821" t="s">
        <v>1226</v>
      </c>
      <c r="C821" t="s">
        <v>1227</v>
      </c>
      <c r="D821" t="s">
        <v>1227</v>
      </c>
      <c r="E821" t="s">
        <v>1227</v>
      </c>
      <c r="F821" t="s">
        <v>1228</v>
      </c>
      <c r="G821" t="s">
        <v>1079</v>
      </c>
      <c r="H821" t="s">
        <v>1080</v>
      </c>
      <c r="I821" t="s">
        <v>1081</v>
      </c>
      <c r="J821" t="s">
        <v>36</v>
      </c>
      <c r="K821">
        <v>21015</v>
      </c>
      <c r="L821" t="s">
        <v>1082</v>
      </c>
      <c r="M821" t="s">
        <v>1083</v>
      </c>
      <c r="N821" t="s">
        <v>1083</v>
      </c>
      <c r="O821">
        <v>21000</v>
      </c>
      <c r="P821" t="s">
        <v>46</v>
      </c>
      <c r="Q821" t="s">
        <v>47</v>
      </c>
      <c r="R821" t="s">
        <v>48</v>
      </c>
      <c r="T821" t="s">
        <v>36</v>
      </c>
      <c r="U821" t="s">
        <v>36</v>
      </c>
      <c r="V821" t="s">
        <v>36</v>
      </c>
      <c r="W821">
        <v>4000</v>
      </c>
      <c r="X821" t="s">
        <v>49</v>
      </c>
      <c r="Y821" t="s">
        <v>50</v>
      </c>
      <c r="Z821" t="s">
        <v>51</v>
      </c>
      <c r="AA821" t="s">
        <v>37</v>
      </c>
      <c r="AB821" t="s">
        <v>52</v>
      </c>
      <c r="AC821" t="s">
        <v>53</v>
      </c>
      <c r="AD821" t="s">
        <v>54</v>
      </c>
      <c r="AE821">
        <v>11.089882665499999</v>
      </c>
      <c r="AF821">
        <v>1340</v>
      </c>
      <c r="AG821">
        <v>1339.9068800699999</v>
      </c>
      <c r="AH821">
        <v>110900.607928</v>
      </c>
      <c r="AI821">
        <v>52</v>
      </c>
      <c r="AJ821">
        <v>59969.618495123897</v>
      </c>
      <c r="AK821" s="1">
        <f>intersection_ss_Lden___surface[[#This Row],[surf m2 bout ss]]/intersection_ss_Lden___surface[[#This Row],[Shape_Area]]</f>
        <v>0.54075103478294706</v>
      </c>
      <c r="AL821">
        <v>1134</v>
      </c>
      <c r="AM821">
        <f>intersection_ss_Lden___surface[[#This Row],[Population totale 2024 ss]]*intersection_ss_Lden___surface[[#This Row],[Part de la surface du qs dans le noise contour]]</f>
        <v>613.21167344386197</v>
      </c>
    </row>
    <row r="822" spans="1:39" x14ac:dyDescent="0.3">
      <c r="A822">
        <v>852</v>
      </c>
      <c r="B822" t="s">
        <v>1226</v>
      </c>
      <c r="C822" t="s">
        <v>1227</v>
      </c>
      <c r="D822" t="s">
        <v>1227</v>
      </c>
      <c r="E822" t="s">
        <v>1227</v>
      </c>
      <c r="F822" t="s">
        <v>1228</v>
      </c>
      <c r="G822" t="s">
        <v>1079</v>
      </c>
      <c r="H822" t="s">
        <v>1080</v>
      </c>
      <c r="I822" t="s">
        <v>1081</v>
      </c>
      <c r="J822" t="s">
        <v>36</v>
      </c>
      <c r="K822">
        <v>21015</v>
      </c>
      <c r="L822" t="s">
        <v>1082</v>
      </c>
      <c r="M822" t="s">
        <v>1083</v>
      </c>
      <c r="N822" t="s">
        <v>1083</v>
      </c>
      <c r="O822">
        <v>21000</v>
      </c>
      <c r="P822" t="s">
        <v>46</v>
      </c>
      <c r="Q822" t="s">
        <v>47</v>
      </c>
      <c r="R822" t="s">
        <v>48</v>
      </c>
      <c r="T822" t="s">
        <v>36</v>
      </c>
      <c r="U822" t="s">
        <v>36</v>
      </c>
      <c r="V822" t="s">
        <v>36</v>
      </c>
      <c r="W822">
        <v>4000</v>
      </c>
      <c r="X822" t="s">
        <v>49</v>
      </c>
      <c r="Y822" t="s">
        <v>50</v>
      </c>
      <c r="Z822" t="s">
        <v>51</v>
      </c>
      <c r="AA822" t="s">
        <v>37</v>
      </c>
      <c r="AB822" t="s">
        <v>52</v>
      </c>
      <c r="AC822" t="s">
        <v>53</v>
      </c>
      <c r="AD822" t="s">
        <v>54</v>
      </c>
      <c r="AE822">
        <v>11.089882665499999</v>
      </c>
      <c r="AF822">
        <v>1340</v>
      </c>
      <c r="AG822">
        <v>1339.9068800699999</v>
      </c>
      <c r="AH822">
        <v>110900.607928</v>
      </c>
      <c r="AI822">
        <v>53</v>
      </c>
      <c r="AJ822">
        <v>50861.443645475098</v>
      </c>
      <c r="AK822" s="1">
        <f>intersection_ss_Lden___surface[[#This Row],[surf m2 bout ss]]/intersection_ss_Lden___surface[[#This Row],[Shape_Area]]</f>
        <v>0.45862186507125258</v>
      </c>
      <c r="AL822">
        <v>1134</v>
      </c>
      <c r="AM822">
        <f>intersection_ss_Lden___surface[[#This Row],[Population totale 2024 ss]]*intersection_ss_Lden___surface[[#This Row],[Part de la surface du qs dans le noise contour]]</f>
        <v>520.07719499080042</v>
      </c>
    </row>
    <row r="823" spans="1:39" x14ac:dyDescent="0.3">
      <c r="A823">
        <v>853</v>
      </c>
      <c r="B823" t="s">
        <v>1229</v>
      </c>
      <c r="C823" t="s">
        <v>1230</v>
      </c>
      <c r="D823" t="s">
        <v>1231</v>
      </c>
      <c r="E823" t="s">
        <v>1231</v>
      </c>
      <c r="F823" t="s">
        <v>1228</v>
      </c>
      <c r="G823" t="s">
        <v>1079</v>
      </c>
      <c r="H823" t="s">
        <v>1080</v>
      </c>
      <c r="I823" t="s">
        <v>1081</v>
      </c>
      <c r="J823" t="s">
        <v>36</v>
      </c>
      <c r="K823">
        <v>21015</v>
      </c>
      <c r="L823" t="s">
        <v>1082</v>
      </c>
      <c r="M823" t="s">
        <v>1083</v>
      </c>
      <c r="N823" t="s">
        <v>1083</v>
      </c>
      <c r="O823">
        <v>21000</v>
      </c>
      <c r="P823" t="s">
        <v>46</v>
      </c>
      <c r="Q823" t="s">
        <v>47</v>
      </c>
      <c r="R823" t="s">
        <v>48</v>
      </c>
      <c r="T823" t="s">
        <v>36</v>
      </c>
      <c r="U823" t="s">
        <v>36</v>
      </c>
      <c r="V823" t="s">
        <v>36</v>
      </c>
      <c r="W823">
        <v>4000</v>
      </c>
      <c r="X823" t="s">
        <v>49</v>
      </c>
      <c r="Y823" t="s">
        <v>50</v>
      </c>
      <c r="Z823" t="s">
        <v>51</v>
      </c>
      <c r="AA823" t="s">
        <v>37</v>
      </c>
      <c r="AB823" t="s">
        <v>52</v>
      </c>
      <c r="AC823" t="s">
        <v>53</v>
      </c>
      <c r="AD823" t="s">
        <v>54</v>
      </c>
      <c r="AE823">
        <v>2.7867567014299999</v>
      </c>
      <c r="AF823">
        <v>1360</v>
      </c>
      <c r="AG823">
        <v>1359.8532379400001</v>
      </c>
      <c r="AH823">
        <v>27868.009884700001</v>
      </c>
      <c r="AI823">
        <v>50</v>
      </c>
      <c r="AJ823">
        <v>1634.31236661971</v>
      </c>
      <c r="AK823" s="1">
        <f>intersection_ss_Lden___surface[[#This Row],[surf m2 bout ss]]/intersection_ss_Lden___surface[[#This Row],[Shape_Area]]</f>
        <v>5.8644746193985478E-2</v>
      </c>
      <c r="AL823">
        <v>412</v>
      </c>
      <c r="AM823">
        <f>intersection_ss_Lden___surface[[#This Row],[Population totale 2024 ss]]*intersection_ss_Lden___surface[[#This Row],[Part de la surface du qs dans le noise contour]]</f>
        <v>24.161635431922019</v>
      </c>
    </row>
    <row r="824" spans="1:39" x14ac:dyDescent="0.3">
      <c r="A824">
        <v>854</v>
      </c>
      <c r="B824" t="s">
        <v>1229</v>
      </c>
      <c r="C824" t="s">
        <v>1230</v>
      </c>
      <c r="D824" t="s">
        <v>1231</v>
      </c>
      <c r="E824" t="s">
        <v>1231</v>
      </c>
      <c r="F824" t="s">
        <v>1228</v>
      </c>
      <c r="G824" t="s">
        <v>1079</v>
      </c>
      <c r="H824" t="s">
        <v>1080</v>
      </c>
      <c r="I824" t="s">
        <v>1081</v>
      </c>
      <c r="J824" t="s">
        <v>36</v>
      </c>
      <c r="K824">
        <v>21015</v>
      </c>
      <c r="L824" t="s">
        <v>1082</v>
      </c>
      <c r="M824" t="s">
        <v>1083</v>
      </c>
      <c r="N824" t="s">
        <v>1083</v>
      </c>
      <c r="O824">
        <v>21000</v>
      </c>
      <c r="P824" t="s">
        <v>46</v>
      </c>
      <c r="Q824" t="s">
        <v>47</v>
      </c>
      <c r="R824" t="s">
        <v>48</v>
      </c>
      <c r="T824" t="s">
        <v>36</v>
      </c>
      <c r="U824" t="s">
        <v>36</v>
      </c>
      <c r="V824" t="s">
        <v>36</v>
      </c>
      <c r="W824">
        <v>4000</v>
      </c>
      <c r="X824" t="s">
        <v>49</v>
      </c>
      <c r="Y824" t="s">
        <v>50</v>
      </c>
      <c r="Z824" t="s">
        <v>51</v>
      </c>
      <c r="AA824" t="s">
        <v>37</v>
      </c>
      <c r="AB824" t="s">
        <v>52</v>
      </c>
      <c r="AC824" t="s">
        <v>53</v>
      </c>
      <c r="AD824" t="s">
        <v>54</v>
      </c>
      <c r="AE824">
        <v>2.7867567014299999</v>
      </c>
      <c r="AF824">
        <v>1360</v>
      </c>
      <c r="AG824">
        <v>1359.8532379400001</v>
      </c>
      <c r="AH824">
        <v>27868.009884700001</v>
      </c>
      <c r="AI824">
        <v>51</v>
      </c>
      <c r="AJ824">
        <v>12397.621727510401</v>
      </c>
      <c r="AK824" s="1">
        <f>intersection_ss_Lden___surface[[#This Row],[surf m2 bout ss]]/intersection_ss_Lden___surface[[#This Row],[Shape_Area]]</f>
        <v>0.44486928843515666</v>
      </c>
      <c r="AL824">
        <v>412</v>
      </c>
      <c r="AM824">
        <f>intersection_ss_Lden___surface[[#This Row],[Population totale 2024 ss]]*intersection_ss_Lden___surface[[#This Row],[Part de la surface du qs dans le noise contour]]</f>
        <v>183.28614683528454</v>
      </c>
    </row>
    <row r="825" spans="1:39" x14ac:dyDescent="0.3">
      <c r="A825">
        <v>855</v>
      </c>
      <c r="B825" t="s">
        <v>1229</v>
      </c>
      <c r="C825" t="s">
        <v>1230</v>
      </c>
      <c r="D825" t="s">
        <v>1231</v>
      </c>
      <c r="E825" t="s">
        <v>1231</v>
      </c>
      <c r="F825" t="s">
        <v>1228</v>
      </c>
      <c r="G825" t="s">
        <v>1079</v>
      </c>
      <c r="H825" t="s">
        <v>1080</v>
      </c>
      <c r="I825" t="s">
        <v>1081</v>
      </c>
      <c r="J825" t="s">
        <v>36</v>
      </c>
      <c r="K825">
        <v>21015</v>
      </c>
      <c r="L825" t="s">
        <v>1082</v>
      </c>
      <c r="M825" t="s">
        <v>1083</v>
      </c>
      <c r="N825" t="s">
        <v>1083</v>
      </c>
      <c r="O825">
        <v>21000</v>
      </c>
      <c r="P825" t="s">
        <v>46</v>
      </c>
      <c r="Q825" t="s">
        <v>47</v>
      </c>
      <c r="R825" t="s">
        <v>48</v>
      </c>
      <c r="T825" t="s">
        <v>36</v>
      </c>
      <c r="U825" t="s">
        <v>36</v>
      </c>
      <c r="V825" t="s">
        <v>36</v>
      </c>
      <c r="W825">
        <v>4000</v>
      </c>
      <c r="X825" t="s">
        <v>49</v>
      </c>
      <c r="Y825" t="s">
        <v>50</v>
      </c>
      <c r="Z825" t="s">
        <v>51</v>
      </c>
      <c r="AA825" t="s">
        <v>37</v>
      </c>
      <c r="AB825" t="s">
        <v>52</v>
      </c>
      <c r="AC825" t="s">
        <v>53</v>
      </c>
      <c r="AD825" t="s">
        <v>54</v>
      </c>
      <c r="AE825">
        <v>2.7867567014299999</v>
      </c>
      <c r="AF825">
        <v>1360</v>
      </c>
      <c r="AG825">
        <v>1359.8532379400001</v>
      </c>
      <c r="AH825">
        <v>27868.009884700001</v>
      </c>
      <c r="AI825">
        <v>52</v>
      </c>
      <c r="AJ825">
        <v>13116.460896247099</v>
      </c>
      <c r="AK825" s="1">
        <f>intersection_ss_Lden___surface[[#This Row],[surf m2 bout ss]]/intersection_ss_Lden___surface[[#This Row],[Shape_Area]]</f>
        <v>0.47066370905258842</v>
      </c>
      <c r="AL825">
        <v>412</v>
      </c>
      <c r="AM825">
        <f>intersection_ss_Lden___surface[[#This Row],[Population totale 2024 ss]]*intersection_ss_Lden___surface[[#This Row],[Part de la surface du qs dans le noise contour]]</f>
        <v>193.91344812966642</v>
      </c>
    </row>
    <row r="826" spans="1:39" x14ac:dyDescent="0.3">
      <c r="A826">
        <v>856</v>
      </c>
      <c r="B826" t="s">
        <v>1229</v>
      </c>
      <c r="C826" t="s">
        <v>1230</v>
      </c>
      <c r="D826" t="s">
        <v>1231</v>
      </c>
      <c r="E826" t="s">
        <v>1231</v>
      </c>
      <c r="F826" t="s">
        <v>1228</v>
      </c>
      <c r="G826" t="s">
        <v>1079</v>
      </c>
      <c r="H826" t="s">
        <v>1080</v>
      </c>
      <c r="I826" t="s">
        <v>1081</v>
      </c>
      <c r="J826" t="s">
        <v>36</v>
      </c>
      <c r="K826">
        <v>21015</v>
      </c>
      <c r="L826" t="s">
        <v>1082</v>
      </c>
      <c r="M826" t="s">
        <v>1083</v>
      </c>
      <c r="N826" t="s">
        <v>1083</v>
      </c>
      <c r="O826">
        <v>21000</v>
      </c>
      <c r="P826" t="s">
        <v>46</v>
      </c>
      <c r="Q826" t="s">
        <v>47</v>
      </c>
      <c r="R826" t="s">
        <v>48</v>
      </c>
      <c r="T826" t="s">
        <v>36</v>
      </c>
      <c r="U826" t="s">
        <v>36</v>
      </c>
      <c r="V826" t="s">
        <v>36</v>
      </c>
      <c r="W826">
        <v>4000</v>
      </c>
      <c r="X826" t="s">
        <v>49</v>
      </c>
      <c r="Y826" t="s">
        <v>50</v>
      </c>
      <c r="Z826" t="s">
        <v>51</v>
      </c>
      <c r="AA826" t="s">
        <v>37</v>
      </c>
      <c r="AB826" t="s">
        <v>52</v>
      </c>
      <c r="AC826" t="s">
        <v>53</v>
      </c>
      <c r="AD826" t="s">
        <v>54</v>
      </c>
      <c r="AE826">
        <v>2.7867567014299999</v>
      </c>
      <c r="AF826">
        <v>1360</v>
      </c>
      <c r="AG826">
        <v>1359.8532379400001</v>
      </c>
      <c r="AH826">
        <v>27868.009884700001</v>
      </c>
      <c r="AI826">
        <v>53</v>
      </c>
      <c r="AJ826">
        <v>722.25776597391803</v>
      </c>
      <c r="AK826" s="1">
        <f>intersection_ss_Lden___surface[[#This Row],[surf m2 bout ss]]/intersection_ss_Lden___surface[[#This Row],[Shape_Area]]</f>
        <v>2.5917091638841764E-2</v>
      </c>
      <c r="AL826">
        <v>412</v>
      </c>
      <c r="AM826">
        <f>intersection_ss_Lden___surface[[#This Row],[Population totale 2024 ss]]*intersection_ss_Lden___surface[[#This Row],[Part de la surface du qs dans le noise contour]]</f>
        <v>10.677841755202806</v>
      </c>
    </row>
    <row r="827" spans="1:39" x14ac:dyDescent="0.3">
      <c r="A827">
        <v>857</v>
      </c>
      <c r="B827" t="s">
        <v>1232</v>
      </c>
      <c r="C827" t="s">
        <v>1233</v>
      </c>
      <c r="D827" t="s">
        <v>1234</v>
      </c>
      <c r="E827" t="s">
        <v>1234</v>
      </c>
      <c r="F827" t="s">
        <v>1228</v>
      </c>
      <c r="G827" t="s">
        <v>1079</v>
      </c>
      <c r="H827" t="s">
        <v>1080</v>
      </c>
      <c r="I827" t="s">
        <v>1081</v>
      </c>
      <c r="J827" t="s">
        <v>36</v>
      </c>
      <c r="K827">
        <v>21015</v>
      </c>
      <c r="L827" t="s">
        <v>1082</v>
      </c>
      <c r="M827" t="s">
        <v>1083</v>
      </c>
      <c r="N827" t="s">
        <v>1083</v>
      </c>
      <c r="O827">
        <v>21000</v>
      </c>
      <c r="P827" t="s">
        <v>46</v>
      </c>
      <c r="Q827" t="s">
        <v>47</v>
      </c>
      <c r="R827" t="s">
        <v>48</v>
      </c>
      <c r="T827" t="s">
        <v>36</v>
      </c>
      <c r="U827" t="s">
        <v>36</v>
      </c>
      <c r="V827" t="s">
        <v>36</v>
      </c>
      <c r="W827">
        <v>4000</v>
      </c>
      <c r="X827" t="s">
        <v>49</v>
      </c>
      <c r="Y827" t="s">
        <v>50</v>
      </c>
      <c r="Z827" t="s">
        <v>51</v>
      </c>
      <c r="AA827" t="s">
        <v>37</v>
      </c>
      <c r="AB827" t="s">
        <v>52</v>
      </c>
      <c r="AC827" t="s">
        <v>53</v>
      </c>
      <c r="AD827" t="s">
        <v>54</v>
      </c>
      <c r="AE827">
        <v>32.026157222599998</v>
      </c>
      <c r="AF827">
        <v>2701</v>
      </c>
      <c r="AG827">
        <v>2700.6757002999998</v>
      </c>
      <c r="AH827">
        <v>320266.74087600003</v>
      </c>
      <c r="AI827">
        <v>50</v>
      </c>
      <c r="AJ827">
        <v>89181.963394357197</v>
      </c>
      <c r="AK827" s="1">
        <f>intersection_ss_Lden___surface[[#This Row],[surf m2 bout ss]]/intersection_ss_Lden___surface[[#This Row],[Shape_Area]]</f>
        <v>0.27846151976450911</v>
      </c>
      <c r="AL827">
        <v>3796</v>
      </c>
      <c r="AM827">
        <f>intersection_ss_Lden___surface[[#This Row],[Population totale 2024 ss]]*intersection_ss_Lden___surface[[#This Row],[Part de la surface du qs dans le noise contour]]</f>
        <v>1057.0399290260766</v>
      </c>
    </row>
    <row r="828" spans="1:39" x14ac:dyDescent="0.3">
      <c r="A828">
        <v>858</v>
      </c>
      <c r="B828" t="s">
        <v>1232</v>
      </c>
      <c r="C828" t="s">
        <v>1233</v>
      </c>
      <c r="D828" t="s">
        <v>1234</v>
      </c>
      <c r="E828" t="s">
        <v>1234</v>
      </c>
      <c r="F828" t="s">
        <v>1228</v>
      </c>
      <c r="G828" t="s">
        <v>1079</v>
      </c>
      <c r="H828" t="s">
        <v>1080</v>
      </c>
      <c r="I828" t="s">
        <v>1081</v>
      </c>
      <c r="J828" t="s">
        <v>36</v>
      </c>
      <c r="K828">
        <v>21015</v>
      </c>
      <c r="L828" t="s">
        <v>1082</v>
      </c>
      <c r="M828" t="s">
        <v>1083</v>
      </c>
      <c r="N828" t="s">
        <v>1083</v>
      </c>
      <c r="O828">
        <v>21000</v>
      </c>
      <c r="P828" t="s">
        <v>46</v>
      </c>
      <c r="Q828" t="s">
        <v>47</v>
      </c>
      <c r="R828" t="s">
        <v>48</v>
      </c>
      <c r="T828" t="s">
        <v>36</v>
      </c>
      <c r="U828" t="s">
        <v>36</v>
      </c>
      <c r="V828" t="s">
        <v>36</v>
      </c>
      <c r="W828">
        <v>4000</v>
      </c>
      <c r="X828" t="s">
        <v>49</v>
      </c>
      <c r="Y828" t="s">
        <v>50</v>
      </c>
      <c r="Z828" t="s">
        <v>51</v>
      </c>
      <c r="AA828" t="s">
        <v>37</v>
      </c>
      <c r="AB828" t="s">
        <v>52</v>
      </c>
      <c r="AC828" t="s">
        <v>53</v>
      </c>
      <c r="AD828" t="s">
        <v>54</v>
      </c>
      <c r="AE828">
        <v>32.026157222599998</v>
      </c>
      <c r="AF828">
        <v>2701</v>
      </c>
      <c r="AG828">
        <v>2700.6757002999998</v>
      </c>
      <c r="AH828">
        <v>320266.74087600003</v>
      </c>
      <c r="AI828">
        <v>51</v>
      </c>
      <c r="AJ828">
        <v>164284.65843839999</v>
      </c>
      <c r="AK828" s="1">
        <f>intersection_ss_Lden___surface[[#This Row],[surf m2 bout ss]]/intersection_ss_Lden___surface[[#This Row],[Shape_Area]]</f>
        <v>0.51296197035335389</v>
      </c>
      <c r="AL828">
        <v>3796</v>
      </c>
      <c r="AM828">
        <f>intersection_ss_Lden___surface[[#This Row],[Population totale 2024 ss]]*intersection_ss_Lden___surface[[#This Row],[Part de la surface du qs dans le noise contour]]</f>
        <v>1947.2036394613315</v>
      </c>
    </row>
    <row r="829" spans="1:39" x14ac:dyDescent="0.3">
      <c r="A829">
        <v>859</v>
      </c>
      <c r="B829" t="s">
        <v>1232</v>
      </c>
      <c r="C829" t="s">
        <v>1233</v>
      </c>
      <c r="D829" t="s">
        <v>1234</v>
      </c>
      <c r="E829" t="s">
        <v>1234</v>
      </c>
      <c r="F829" t="s">
        <v>1228</v>
      </c>
      <c r="G829" t="s">
        <v>1079</v>
      </c>
      <c r="H829" t="s">
        <v>1080</v>
      </c>
      <c r="I829" t="s">
        <v>1081</v>
      </c>
      <c r="J829" t="s">
        <v>36</v>
      </c>
      <c r="K829">
        <v>21015</v>
      </c>
      <c r="L829" t="s">
        <v>1082</v>
      </c>
      <c r="M829" t="s">
        <v>1083</v>
      </c>
      <c r="N829" t="s">
        <v>1083</v>
      </c>
      <c r="O829">
        <v>21000</v>
      </c>
      <c r="P829" t="s">
        <v>46</v>
      </c>
      <c r="Q829" t="s">
        <v>47</v>
      </c>
      <c r="R829" t="s">
        <v>48</v>
      </c>
      <c r="T829" t="s">
        <v>36</v>
      </c>
      <c r="U829" t="s">
        <v>36</v>
      </c>
      <c r="V829" t="s">
        <v>36</v>
      </c>
      <c r="W829">
        <v>4000</v>
      </c>
      <c r="X829" t="s">
        <v>49</v>
      </c>
      <c r="Y829" t="s">
        <v>50</v>
      </c>
      <c r="Z829" t="s">
        <v>51</v>
      </c>
      <c r="AA829" t="s">
        <v>37</v>
      </c>
      <c r="AB829" t="s">
        <v>52</v>
      </c>
      <c r="AC829" t="s">
        <v>53</v>
      </c>
      <c r="AD829" t="s">
        <v>54</v>
      </c>
      <c r="AE829">
        <v>32.026157222599998</v>
      </c>
      <c r="AF829">
        <v>2701</v>
      </c>
      <c r="AG829">
        <v>2700.6757002999998</v>
      </c>
      <c r="AH829">
        <v>320266.74087600003</v>
      </c>
      <c r="AI829">
        <v>52</v>
      </c>
      <c r="AJ829">
        <v>66830.457388672206</v>
      </c>
      <c r="AK829" s="1">
        <f>intersection_ss_Lden___surface[[#This Row],[surf m2 bout ss]]/intersection_ss_Lden___surface[[#This Row],[Shape_Area]]</f>
        <v>0.2086712382493299</v>
      </c>
      <c r="AL829">
        <v>3796</v>
      </c>
      <c r="AM829">
        <f>intersection_ss_Lden___surface[[#This Row],[Population totale 2024 ss]]*intersection_ss_Lden___surface[[#This Row],[Part de la surface du qs dans le noise contour]]</f>
        <v>792.11602039445631</v>
      </c>
    </row>
    <row r="830" spans="1:39" x14ac:dyDescent="0.3">
      <c r="A830">
        <v>860</v>
      </c>
      <c r="B830" t="s">
        <v>1235</v>
      </c>
      <c r="C830" t="s">
        <v>1236</v>
      </c>
      <c r="D830" t="s">
        <v>1237</v>
      </c>
      <c r="E830" t="s">
        <v>1237</v>
      </c>
      <c r="F830" t="s">
        <v>1228</v>
      </c>
      <c r="G830" t="s">
        <v>1079</v>
      </c>
      <c r="H830" t="s">
        <v>1080</v>
      </c>
      <c r="I830" t="s">
        <v>1081</v>
      </c>
      <c r="J830" t="s">
        <v>36</v>
      </c>
      <c r="K830">
        <v>21015</v>
      </c>
      <c r="L830" t="s">
        <v>1082</v>
      </c>
      <c r="M830" t="s">
        <v>1083</v>
      </c>
      <c r="N830" t="s">
        <v>1083</v>
      </c>
      <c r="O830">
        <v>21000</v>
      </c>
      <c r="P830" t="s">
        <v>46</v>
      </c>
      <c r="Q830" t="s">
        <v>47</v>
      </c>
      <c r="R830" t="s">
        <v>48</v>
      </c>
      <c r="T830" t="s">
        <v>36</v>
      </c>
      <c r="U830" t="s">
        <v>36</v>
      </c>
      <c r="V830" t="s">
        <v>36</v>
      </c>
      <c r="W830">
        <v>4000</v>
      </c>
      <c r="X830" t="s">
        <v>49</v>
      </c>
      <c r="Y830" t="s">
        <v>50</v>
      </c>
      <c r="Z830" t="s">
        <v>51</v>
      </c>
      <c r="AA830" t="s">
        <v>37</v>
      </c>
      <c r="AB830" t="s">
        <v>52</v>
      </c>
      <c r="AC830" t="s">
        <v>53</v>
      </c>
      <c r="AD830" t="s">
        <v>54</v>
      </c>
      <c r="AE830">
        <v>6.7473571786999997</v>
      </c>
      <c r="AF830">
        <v>1225</v>
      </c>
      <c r="AG830">
        <v>1224.9041797699999</v>
      </c>
      <c r="AH830">
        <v>67474.649081099997</v>
      </c>
      <c r="AI830">
        <v>51</v>
      </c>
      <c r="AJ830">
        <v>3900.8415917307102</v>
      </c>
      <c r="AK830" s="1">
        <f>intersection_ss_Lden___surface[[#This Row],[surf m2 bout ss]]/intersection_ss_Lden___surface[[#This Row],[Shape_Area]]</f>
        <v>5.7811958192508131E-2</v>
      </c>
      <c r="AL830">
        <v>589</v>
      </c>
      <c r="AM830">
        <f>intersection_ss_Lden___surface[[#This Row],[Population totale 2024 ss]]*intersection_ss_Lden___surface[[#This Row],[Part de la surface du qs dans le noise contour]]</f>
        <v>34.051243375387287</v>
      </c>
    </row>
    <row r="831" spans="1:39" x14ac:dyDescent="0.3">
      <c r="A831">
        <v>861</v>
      </c>
      <c r="B831" t="s">
        <v>1235</v>
      </c>
      <c r="C831" t="s">
        <v>1236</v>
      </c>
      <c r="D831" t="s">
        <v>1237</v>
      </c>
      <c r="E831" t="s">
        <v>1237</v>
      </c>
      <c r="F831" t="s">
        <v>1228</v>
      </c>
      <c r="G831" t="s">
        <v>1079</v>
      </c>
      <c r="H831" t="s">
        <v>1080</v>
      </c>
      <c r="I831" t="s">
        <v>1081</v>
      </c>
      <c r="J831" t="s">
        <v>36</v>
      </c>
      <c r="K831">
        <v>21015</v>
      </c>
      <c r="L831" t="s">
        <v>1082</v>
      </c>
      <c r="M831" t="s">
        <v>1083</v>
      </c>
      <c r="N831" t="s">
        <v>1083</v>
      </c>
      <c r="O831">
        <v>21000</v>
      </c>
      <c r="P831" t="s">
        <v>46</v>
      </c>
      <c r="Q831" t="s">
        <v>47</v>
      </c>
      <c r="R831" t="s">
        <v>48</v>
      </c>
      <c r="T831" t="s">
        <v>36</v>
      </c>
      <c r="U831" t="s">
        <v>36</v>
      </c>
      <c r="V831" t="s">
        <v>36</v>
      </c>
      <c r="W831">
        <v>4000</v>
      </c>
      <c r="X831" t="s">
        <v>49</v>
      </c>
      <c r="Y831" t="s">
        <v>50</v>
      </c>
      <c r="Z831" t="s">
        <v>51</v>
      </c>
      <c r="AA831" t="s">
        <v>37</v>
      </c>
      <c r="AB831" t="s">
        <v>52</v>
      </c>
      <c r="AC831" t="s">
        <v>53</v>
      </c>
      <c r="AD831" t="s">
        <v>54</v>
      </c>
      <c r="AE831">
        <v>6.7473571786999997</v>
      </c>
      <c r="AF831">
        <v>1225</v>
      </c>
      <c r="AG831">
        <v>1224.9041797699999</v>
      </c>
      <c r="AH831">
        <v>67474.649081099997</v>
      </c>
      <c r="AI831">
        <v>52</v>
      </c>
      <c r="AJ831">
        <v>57731.420494694299</v>
      </c>
      <c r="AK831" s="1">
        <f>intersection_ss_Lden___surface[[#This Row],[surf m2 bout ss]]/intersection_ss_Lden___surface[[#This Row],[Shape_Area]]</f>
        <v>0.85560164122239468</v>
      </c>
      <c r="AL831">
        <v>589</v>
      </c>
      <c r="AM831">
        <f>intersection_ss_Lden___surface[[#This Row],[Population totale 2024 ss]]*intersection_ss_Lden___surface[[#This Row],[Part de la surface du qs dans le noise contour]]</f>
        <v>503.94936667999048</v>
      </c>
    </row>
    <row r="832" spans="1:39" x14ac:dyDescent="0.3">
      <c r="A832">
        <v>862</v>
      </c>
      <c r="B832" t="s">
        <v>1235</v>
      </c>
      <c r="C832" t="s">
        <v>1236</v>
      </c>
      <c r="D832" t="s">
        <v>1237</v>
      </c>
      <c r="E832" t="s">
        <v>1237</v>
      </c>
      <c r="F832" t="s">
        <v>1228</v>
      </c>
      <c r="G832" t="s">
        <v>1079</v>
      </c>
      <c r="H832" t="s">
        <v>1080</v>
      </c>
      <c r="I832" t="s">
        <v>1081</v>
      </c>
      <c r="J832" t="s">
        <v>36</v>
      </c>
      <c r="K832">
        <v>21015</v>
      </c>
      <c r="L832" t="s">
        <v>1082</v>
      </c>
      <c r="M832" t="s">
        <v>1083</v>
      </c>
      <c r="N832" t="s">
        <v>1083</v>
      </c>
      <c r="O832">
        <v>21000</v>
      </c>
      <c r="P832" t="s">
        <v>46</v>
      </c>
      <c r="Q832" t="s">
        <v>47</v>
      </c>
      <c r="R832" t="s">
        <v>48</v>
      </c>
      <c r="T832" t="s">
        <v>36</v>
      </c>
      <c r="U832" t="s">
        <v>36</v>
      </c>
      <c r="V832" t="s">
        <v>36</v>
      </c>
      <c r="W832">
        <v>4000</v>
      </c>
      <c r="X832" t="s">
        <v>49</v>
      </c>
      <c r="Y832" t="s">
        <v>50</v>
      </c>
      <c r="Z832" t="s">
        <v>51</v>
      </c>
      <c r="AA832" t="s">
        <v>37</v>
      </c>
      <c r="AB832" t="s">
        <v>52</v>
      </c>
      <c r="AC832" t="s">
        <v>53</v>
      </c>
      <c r="AD832" t="s">
        <v>54</v>
      </c>
      <c r="AE832">
        <v>6.7473571786999997</v>
      </c>
      <c r="AF832">
        <v>1225</v>
      </c>
      <c r="AG832">
        <v>1224.9041797699999</v>
      </c>
      <c r="AH832">
        <v>67474.649081099997</v>
      </c>
      <c r="AI832">
        <v>53</v>
      </c>
      <c r="AJ832">
        <v>5848.7432400452699</v>
      </c>
      <c r="AK832" s="1">
        <f>intersection_ss_Lden___surface[[#This Row],[surf m2 bout ss]]/intersection_ss_Lden___surface[[#This Row],[Shape_Area]]</f>
        <v>8.6680602562533862E-2</v>
      </c>
      <c r="AL832">
        <v>589</v>
      </c>
      <c r="AM832">
        <f>intersection_ss_Lden___surface[[#This Row],[Population totale 2024 ss]]*intersection_ss_Lden___surface[[#This Row],[Part de la surface du qs dans le noise contour]]</f>
        <v>51.054874909332447</v>
      </c>
    </row>
    <row r="833" spans="1:39" x14ac:dyDescent="0.3">
      <c r="A833">
        <v>863</v>
      </c>
      <c r="B833" t="s">
        <v>1238</v>
      </c>
      <c r="C833" t="s">
        <v>228</v>
      </c>
      <c r="D833" t="s">
        <v>229</v>
      </c>
      <c r="E833" t="s">
        <v>229</v>
      </c>
      <c r="F833" t="s">
        <v>1239</v>
      </c>
      <c r="G833" t="s">
        <v>1240</v>
      </c>
      <c r="H833" t="s">
        <v>1241</v>
      </c>
      <c r="I833" t="s">
        <v>1242</v>
      </c>
      <c r="J833" t="s">
        <v>36</v>
      </c>
      <c r="K833">
        <v>21017</v>
      </c>
      <c r="L833" t="s">
        <v>1243</v>
      </c>
      <c r="M833" t="s">
        <v>1244</v>
      </c>
      <c r="N833" t="s">
        <v>1244</v>
      </c>
      <c r="O833">
        <v>21000</v>
      </c>
      <c r="P833" t="s">
        <v>46</v>
      </c>
      <c r="Q833" t="s">
        <v>47</v>
      </c>
      <c r="R833" t="s">
        <v>48</v>
      </c>
      <c r="T833" t="s">
        <v>36</v>
      </c>
      <c r="U833" t="s">
        <v>36</v>
      </c>
      <c r="V833" t="s">
        <v>36</v>
      </c>
      <c r="W833">
        <v>4000</v>
      </c>
      <c r="X833" t="s">
        <v>49</v>
      </c>
      <c r="Y833" t="s">
        <v>50</v>
      </c>
      <c r="Z833" t="s">
        <v>51</v>
      </c>
      <c r="AA833" t="s">
        <v>37</v>
      </c>
      <c r="AB833" t="s">
        <v>52</v>
      </c>
      <c r="AC833" t="s">
        <v>53</v>
      </c>
      <c r="AD833" t="s">
        <v>54</v>
      </c>
      <c r="AE833">
        <v>752.56164635200003</v>
      </c>
      <c r="AF833">
        <v>15889</v>
      </c>
      <c r="AG833">
        <v>15888.918578700001</v>
      </c>
      <c r="AH833">
        <v>7525737.7864699997</v>
      </c>
      <c r="AI833">
        <v>45</v>
      </c>
      <c r="AJ833">
        <v>421357.46913430898</v>
      </c>
      <c r="AK833" s="1">
        <f>intersection_ss_Lden___surface[[#This Row],[surf m2 bout ss]]/intersection_ss_Lden___surface[[#This Row],[Shape_Area]]</f>
        <v>5.5988858646103541E-2</v>
      </c>
      <c r="AL833">
        <v>4</v>
      </c>
      <c r="AM833">
        <f>intersection_ss_Lden___surface[[#This Row],[Population totale 2024 ss]]*intersection_ss_Lden___surface[[#This Row],[Part de la surface du qs dans le noise contour]]</f>
        <v>0.22395543458441416</v>
      </c>
    </row>
    <row r="834" spans="1:39" x14ac:dyDescent="0.3">
      <c r="A834">
        <v>864</v>
      </c>
      <c r="B834" t="s">
        <v>1238</v>
      </c>
      <c r="C834" t="s">
        <v>228</v>
      </c>
      <c r="D834" t="s">
        <v>229</v>
      </c>
      <c r="E834" t="s">
        <v>229</v>
      </c>
      <c r="F834" t="s">
        <v>1239</v>
      </c>
      <c r="G834" t="s">
        <v>1240</v>
      </c>
      <c r="H834" t="s">
        <v>1241</v>
      </c>
      <c r="I834" t="s">
        <v>1242</v>
      </c>
      <c r="J834" t="s">
        <v>36</v>
      </c>
      <c r="K834">
        <v>21017</v>
      </c>
      <c r="L834" t="s">
        <v>1243</v>
      </c>
      <c r="M834" t="s">
        <v>1244</v>
      </c>
      <c r="N834" t="s">
        <v>1244</v>
      </c>
      <c r="O834">
        <v>21000</v>
      </c>
      <c r="P834" t="s">
        <v>46</v>
      </c>
      <c r="Q834" t="s">
        <v>47</v>
      </c>
      <c r="R834" t="s">
        <v>48</v>
      </c>
      <c r="T834" t="s">
        <v>36</v>
      </c>
      <c r="U834" t="s">
        <v>36</v>
      </c>
      <c r="V834" t="s">
        <v>36</v>
      </c>
      <c r="W834">
        <v>4000</v>
      </c>
      <c r="X834" t="s">
        <v>49</v>
      </c>
      <c r="Y834" t="s">
        <v>50</v>
      </c>
      <c r="Z834" t="s">
        <v>51</v>
      </c>
      <c r="AA834" t="s">
        <v>37</v>
      </c>
      <c r="AB834" t="s">
        <v>52</v>
      </c>
      <c r="AC834" t="s">
        <v>53</v>
      </c>
      <c r="AD834" t="s">
        <v>54</v>
      </c>
      <c r="AE834">
        <v>752.56164635200003</v>
      </c>
      <c r="AF834">
        <v>15889</v>
      </c>
      <c r="AG834">
        <v>15888.918578700001</v>
      </c>
      <c r="AH834">
        <v>7525737.7864699997</v>
      </c>
      <c r="AI834">
        <v>46</v>
      </c>
      <c r="AJ834">
        <v>390412.19246103201</v>
      </c>
      <c r="AK834" s="1">
        <f>intersection_ss_Lden___surface[[#This Row],[surf m2 bout ss]]/intersection_ss_Lden___surface[[#This Row],[Shape_Area]]</f>
        <v>5.1876932672691167E-2</v>
      </c>
      <c r="AL834">
        <v>4</v>
      </c>
      <c r="AM834">
        <f>intersection_ss_Lden___surface[[#This Row],[Population totale 2024 ss]]*intersection_ss_Lden___surface[[#This Row],[Part de la surface du qs dans le noise contour]]</f>
        <v>0.20750773069076467</v>
      </c>
    </row>
    <row r="835" spans="1:39" x14ac:dyDescent="0.3">
      <c r="A835">
        <v>865</v>
      </c>
      <c r="B835" t="s">
        <v>1238</v>
      </c>
      <c r="C835" t="s">
        <v>228</v>
      </c>
      <c r="D835" t="s">
        <v>229</v>
      </c>
      <c r="E835" t="s">
        <v>229</v>
      </c>
      <c r="F835" t="s">
        <v>1239</v>
      </c>
      <c r="G835" t="s">
        <v>1240</v>
      </c>
      <c r="H835" t="s">
        <v>1241</v>
      </c>
      <c r="I835" t="s">
        <v>1242</v>
      </c>
      <c r="J835" t="s">
        <v>36</v>
      </c>
      <c r="K835">
        <v>21017</v>
      </c>
      <c r="L835" t="s">
        <v>1243</v>
      </c>
      <c r="M835" t="s">
        <v>1244</v>
      </c>
      <c r="N835" t="s">
        <v>1244</v>
      </c>
      <c r="O835">
        <v>21000</v>
      </c>
      <c r="P835" t="s">
        <v>46</v>
      </c>
      <c r="Q835" t="s">
        <v>47</v>
      </c>
      <c r="R835" t="s">
        <v>48</v>
      </c>
      <c r="T835" t="s">
        <v>36</v>
      </c>
      <c r="U835" t="s">
        <v>36</v>
      </c>
      <c r="V835" t="s">
        <v>36</v>
      </c>
      <c r="W835">
        <v>4000</v>
      </c>
      <c r="X835" t="s">
        <v>49</v>
      </c>
      <c r="Y835" t="s">
        <v>50</v>
      </c>
      <c r="Z835" t="s">
        <v>51</v>
      </c>
      <c r="AA835" t="s">
        <v>37</v>
      </c>
      <c r="AB835" t="s">
        <v>52</v>
      </c>
      <c r="AC835" t="s">
        <v>53</v>
      </c>
      <c r="AD835" t="s">
        <v>54</v>
      </c>
      <c r="AE835">
        <v>752.56164635200003</v>
      </c>
      <c r="AF835">
        <v>15889</v>
      </c>
      <c r="AG835">
        <v>15888.918578700001</v>
      </c>
      <c r="AH835">
        <v>7525737.7864699997</v>
      </c>
      <c r="AI835">
        <v>47</v>
      </c>
      <c r="AJ835">
        <v>413490.63983291399</v>
      </c>
      <c r="AK835" s="1">
        <f>intersection_ss_Lden___surface[[#This Row],[surf m2 bout ss]]/intersection_ss_Lden___surface[[#This Row],[Shape_Area]]</f>
        <v>5.4943535313746919E-2</v>
      </c>
      <c r="AL835">
        <v>4</v>
      </c>
      <c r="AM835">
        <f>intersection_ss_Lden___surface[[#This Row],[Population totale 2024 ss]]*intersection_ss_Lden___surface[[#This Row],[Part de la surface du qs dans le noise contour]]</f>
        <v>0.21977414125498768</v>
      </c>
    </row>
    <row r="836" spans="1:39" x14ac:dyDescent="0.3">
      <c r="A836">
        <v>866</v>
      </c>
      <c r="B836" t="s">
        <v>1238</v>
      </c>
      <c r="C836" t="s">
        <v>228</v>
      </c>
      <c r="D836" t="s">
        <v>229</v>
      </c>
      <c r="E836" t="s">
        <v>229</v>
      </c>
      <c r="F836" t="s">
        <v>1239</v>
      </c>
      <c r="G836" t="s">
        <v>1240</v>
      </c>
      <c r="H836" t="s">
        <v>1241</v>
      </c>
      <c r="I836" t="s">
        <v>1242</v>
      </c>
      <c r="J836" t="s">
        <v>36</v>
      </c>
      <c r="K836">
        <v>21017</v>
      </c>
      <c r="L836" t="s">
        <v>1243</v>
      </c>
      <c r="M836" t="s">
        <v>1244</v>
      </c>
      <c r="N836" t="s">
        <v>1244</v>
      </c>
      <c r="O836">
        <v>21000</v>
      </c>
      <c r="P836" t="s">
        <v>46</v>
      </c>
      <c r="Q836" t="s">
        <v>47</v>
      </c>
      <c r="R836" t="s">
        <v>48</v>
      </c>
      <c r="T836" t="s">
        <v>36</v>
      </c>
      <c r="U836" t="s">
        <v>36</v>
      </c>
      <c r="V836" t="s">
        <v>36</v>
      </c>
      <c r="W836">
        <v>4000</v>
      </c>
      <c r="X836" t="s">
        <v>49</v>
      </c>
      <c r="Y836" t="s">
        <v>50</v>
      </c>
      <c r="Z836" t="s">
        <v>51</v>
      </c>
      <c r="AA836" t="s">
        <v>37</v>
      </c>
      <c r="AB836" t="s">
        <v>52</v>
      </c>
      <c r="AC836" t="s">
        <v>53</v>
      </c>
      <c r="AD836" t="s">
        <v>54</v>
      </c>
      <c r="AE836">
        <v>752.56164635200003</v>
      </c>
      <c r="AF836">
        <v>15889</v>
      </c>
      <c r="AG836">
        <v>15888.918578700001</v>
      </c>
      <c r="AH836">
        <v>7525737.7864699997</v>
      </c>
      <c r="AI836">
        <v>48</v>
      </c>
      <c r="AJ836">
        <v>582821.84320366499</v>
      </c>
      <c r="AK836" s="1">
        <f>intersection_ss_Lden___surface[[#This Row],[surf m2 bout ss]]/intersection_ss_Lden___surface[[#This Row],[Shape_Area]]</f>
        <v>7.7443814778064654E-2</v>
      </c>
      <c r="AL836">
        <v>4</v>
      </c>
      <c r="AM836">
        <f>intersection_ss_Lden___surface[[#This Row],[Population totale 2024 ss]]*intersection_ss_Lden___surface[[#This Row],[Part de la surface du qs dans le noise contour]]</f>
        <v>0.30977525911225862</v>
      </c>
    </row>
    <row r="837" spans="1:39" x14ac:dyDescent="0.3">
      <c r="A837">
        <v>867</v>
      </c>
      <c r="B837" t="s">
        <v>1238</v>
      </c>
      <c r="C837" t="s">
        <v>228</v>
      </c>
      <c r="D837" t="s">
        <v>229</v>
      </c>
      <c r="E837" t="s">
        <v>229</v>
      </c>
      <c r="F837" t="s">
        <v>1239</v>
      </c>
      <c r="G837" t="s">
        <v>1240</v>
      </c>
      <c r="H837" t="s">
        <v>1241</v>
      </c>
      <c r="I837" t="s">
        <v>1242</v>
      </c>
      <c r="J837" t="s">
        <v>36</v>
      </c>
      <c r="K837">
        <v>21017</v>
      </c>
      <c r="L837" t="s">
        <v>1243</v>
      </c>
      <c r="M837" t="s">
        <v>1244</v>
      </c>
      <c r="N837" t="s">
        <v>1244</v>
      </c>
      <c r="O837">
        <v>21000</v>
      </c>
      <c r="P837" t="s">
        <v>46</v>
      </c>
      <c r="Q837" t="s">
        <v>47</v>
      </c>
      <c r="R837" t="s">
        <v>48</v>
      </c>
      <c r="T837" t="s">
        <v>36</v>
      </c>
      <c r="U837" t="s">
        <v>36</v>
      </c>
      <c r="V837" t="s">
        <v>36</v>
      </c>
      <c r="W837">
        <v>4000</v>
      </c>
      <c r="X837" t="s">
        <v>49</v>
      </c>
      <c r="Y837" t="s">
        <v>50</v>
      </c>
      <c r="Z837" t="s">
        <v>51</v>
      </c>
      <c r="AA837" t="s">
        <v>37</v>
      </c>
      <c r="AB837" t="s">
        <v>52</v>
      </c>
      <c r="AC837" t="s">
        <v>53</v>
      </c>
      <c r="AD837" t="s">
        <v>54</v>
      </c>
      <c r="AE837">
        <v>752.56164635200003</v>
      </c>
      <c r="AF837">
        <v>15889</v>
      </c>
      <c r="AG837">
        <v>15888.918578700001</v>
      </c>
      <c r="AH837">
        <v>7525737.7864699997</v>
      </c>
      <c r="AI837">
        <v>49</v>
      </c>
      <c r="AJ837">
        <v>783614.67128505697</v>
      </c>
      <c r="AK837" s="1">
        <f>intersection_ss_Lden___surface[[#This Row],[surf m2 bout ss]]/intersection_ss_Lden___surface[[#This Row],[Shape_Area]]</f>
        <v>0.10412463116823752</v>
      </c>
      <c r="AL837">
        <v>4</v>
      </c>
      <c r="AM837">
        <f>intersection_ss_Lden___surface[[#This Row],[Population totale 2024 ss]]*intersection_ss_Lden___surface[[#This Row],[Part de la surface du qs dans le noise contour]]</f>
        <v>0.41649852467295007</v>
      </c>
    </row>
    <row r="838" spans="1:39" x14ac:dyDescent="0.3">
      <c r="A838">
        <v>868</v>
      </c>
      <c r="B838" t="s">
        <v>1238</v>
      </c>
      <c r="C838" t="s">
        <v>228</v>
      </c>
      <c r="D838" t="s">
        <v>229</v>
      </c>
      <c r="E838" t="s">
        <v>229</v>
      </c>
      <c r="F838" t="s">
        <v>1239</v>
      </c>
      <c r="G838" t="s">
        <v>1240</v>
      </c>
      <c r="H838" t="s">
        <v>1241</v>
      </c>
      <c r="I838" t="s">
        <v>1242</v>
      </c>
      <c r="J838" t="s">
        <v>36</v>
      </c>
      <c r="K838">
        <v>21017</v>
      </c>
      <c r="L838" t="s">
        <v>1243</v>
      </c>
      <c r="M838" t="s">
        <v>1244</v>
      </c>
      <c r="N838" t="s">
        <v>1244</v>
      </c>
      <c r="O838">
        <v>21000</v>
      </c>
      <c r="P838" t="s">
        <v>46</v>
      </c>
      <c r="Q838" t="s">
        <v>47</v>
      </c>
      <c r="R838" t="s">
        <v>48</v>
      </c>
      <c r="T838" t="s">
        <v>36</v>
      </c>
      <c r="U838" t="s">
        <v>36</v>
      </c>
      <c r="V838" t="s">
        <v>36</v>
      </c>
      <c r="W838">
        <v>4000</v>
      </c>
      <c r="X838" t="s">
        <v>49</v>
      </c>
      <c r="Y838" t="s">
        <v>50</v>
      </c>
      <c r="Z838" t="s">
        <v>51</v>
      </c>
      <c r="AA838" t="s">
        <v>37</v>
      </c>
      <c r="AB838" t="s">
        <v>52</v>
      </c>
      <c r="AC838" t="s">
        <v>53</v>
      </c>
      <c r="AD838" t="s">
        <v>54</v>
      </c>
      <c r="AE838">
        <v>752.56164635200003</v>
      </c>
      <c r="AF838">
        <v>15889</v>
      </c>
      <c r="AG838">
        <v>15888.918578700001</v>
      </c>
      <c r="AH838">
        <v>7525737.7864699997</v>
      </c>
      <c r="AI838">
        <v>50</v>
      </c>
      <c r="AJ838">
        <v>131165.576169943</v>
      </c>
      <c r="AK838" s="1">
        <f>intersection_ss_Lden___surface[[#This Row],[surf m2 bout ss]]/intersection_ss_Lden___surface[[#This Row],[Shape_Area]]</f>
        <v>1.742893253678815E-2</v>
      </c>
      <c r="AL838">
        <v>4</v>
      </c>
      <c r="AM838">
        <f>intersection_ss_Lden___surface[[#This Row],[Population totale 2024 ss]]*intersection_ss_Lden___surface[[#This Row],[Part de la surface du qs dans le noise contour]]</f>
        <v>6.9715730147152599E-2</v>
      </c>
    </row>
    <row r="839" spans="1:39" x14ac:dyDescent="0.3">
      <c r="A839">
        <v>869</v>
      </c>
      <c r="B839" t="s">
        <v>1245</v>
      </c>
      <c r="C839" t="s">
        <v>1246</v>
      </c>
      <c r="D839" t="s">
        <v>1246</v>
      </c>
      <c r="E839" t="s">
        <v>1246</v>
      </c>
      <c r="F839" t="s">
        <v>1247</v>
      </c>
      <c r="G839" t="s">
        <v>1248</v>
      </c>
      <c r="H839" t="s">
        <v>1249</v>
      </c>
      <c r="I839" t="s">
        <v>1250</v>
      </c>
      <c r="J839" t="s">
        <v>36</v>
      </c>
      <c r="K839">
        <v>21018</v>
      </c>
      <c r="L839" t="s">
        <v>1251</v>
      </c>
      <c r="M839" t="s">
        <v>1252</v>
      </c>
      <c r="N839" t="s">
        <v>1252</v>
      </c>
      <c r="O839">
        <v>21000</v>
      </c>
      <c r="P839" t="s">
        <v>46</v>
      </c>
      <c r="Q839" t="s">
        <v>47</v>
      </c>
      <c r="R839" t="s">
        <v>48</v>
      </c>
      <c r="T839" t="s">
        <v>36</v>
      </c>
      <c r="U839" t="s">
        <v>36</v>
      </c>
      <c r="V839" t="s">
        <v>36</v>
      </c>
      <c r="W839">
        <v>4000</v>
      </c>
      <c r="X839" t="s">
        <v>49</v>
      </c>
      <c r="Y839" t="s">
        <v>50</v>
      </c>
      <c r="Z839" t="s">
        <v>51</v>
      </c>
      <c r="AA839" t="s">
        <v>37</v>
      </c>
      <c r="AB839" t="s">
        <v>52</v>
      </c>
      <c r="AC839" t="s">
        <v>53</v>
      </c>
      <c r="AD839" t="s">
        <v>54</v>
      </c>
      <c r="AE839">
        <v>15.8631941024</v>
      </c>
      <c r="AF839">
        <v>1645</v>
      </c>
      <c r="AG839">
        <v>1645.0311745700001</v>
      </c>
      <c r="AH839">
        <v>158634.508482</v>
      </c>
      <c r="AI839">
        <v>50</v>
      </c>
      <c r="AJ839">
        <v>70844.808787086295</v>
      </c>
      <c r="AK839" s="1">
        <f>intersection_ss_Lden___surface[[#This Row],[surf m2 bout ss]]/intersection_ss_Lden___surface[[#This Row],[Shape_Area]]</f>
        <v>0.44659140980743756</v>
      </c>
      <c r="AL839">
        <v>1708</v>
      </c>
      <c r="AM839">
        <f>intersection_ss_Lden___surface[[#This Row],[Population totale 2024 ss]]*intersection_ss_Lden___surface[[#This Row],[Part de la surface du qs dans le noise contour]]</f>
        <v>762.77812795110333</v>
      </c>
    </row>
    <row r="840" spans="1:39" x14ac:dyDescent="0.3">
      <c r="A840">
        <v>870</v>
      </c>
      <c r="B840" t="s">
        <v>1245</v>
      </c>
      <c r="C840" t="s">
        <v>1246</v>
      </c>
      <c r="D840" t="s">
        <v>1246</v>
      </c>
      <c r="E840" t="s">
        <v>1246</v>
      </c>
      <c r="F840" t="s">
        <v>1247</v>
      </c>
      <c r="G840" t="s">
        <v>1248</v>
      </c>
      <c r="H840" t="s">
        <v>1249</v>
      </c>
      <c r="I840" t="s">
        <v>1250</v>
      </c>
      <c r="J840" t="s">
        <v>36</v>
      </c>
      <c r="K840">
        <v>21018</v>
      </c>
      <c r="L840" t="s">
        <v>1251</v>
      </c>
      <c r="M840" t="s">
        <v>1252</v>
      </c>
      <c r="N840" t="s">
        <v>1252</v>
      </c>
      <c r="O840">
        <v>21000</v>
      </c>
      <c r="P840" t="s">
        <v>46</v>
      </c>
      <c r="Q840" t="s">
        <v>47</v>
      </c>
      <c r="R840" t="s">
        <v>48</v>
      </c>
      <c r="T840" t="s">
        <v>36</v>
      </c>
      <c r="U840" t="s">
        <v>36</v>
      </c>
      <c r="V840" t="s">
        <v>36</v>
      </c>
      <c r="W840">
        <v>4000</v>
      </c>
      <c r="X840" t="s">
        <v>49</v>
      </c>
      <c r="Y840" t="s">
        <v>50</v>
      </c>
      <c r="Z840" t="s">
        <v>51</v>
      </c>
      <c r="AA840" t="s">
        <v>37</v>
      </c>
      <c r="AB840" t="s">
        <v>52</v>
      </c>
      <c r="AC840" t="s">
        <v>53</v>
      </c>
      <c r="AD840" t="s">
        <v>54</v>
      </c>
      <c r="AE840">
        <v>15.8631941024</v>
      </c>
      <c r="AF840">
        <v>1645</v>
      </c>
      <c r="AG840">
        <v>1645.0311745700001</v>
      </c>
      <c r="AH840">
        <v>158634.508482</v>
      </c>
      <c r="AI840">
        <v>51</v>
      </c>
      <c r="AJ840">
        <v>87805.458340415003</v>
      </c>
      <c r="AK840" s="1">
        <f>intersection_ss_Lden___surface[[#This Row],[surf m2 bout ss]]/intersection_ss_Lden___surface[[#This Row],[Shape_Area]]</f>
        <v>0.55350792952075833</v>
      </c>
      <c r="AL840">
        <v>1708</v>
      </c>
      <c r="AM840">
        <f>intersection_ss_Lden___surface[[#This Row],[Population totale 2024 ss]]*intersection_ss_Lden___surface[[#This Row],[Part de la surface du qs dans le noise contour]]</f>
        <v>945.39154362145518</v>
      </c>
    </row>
    <row r="841" spans="1:39" x14ac:dyDescent="0.3">
      <c r="A841">
        <v>871</v>
      </c>
      <c r="B841" t="s">
        <v>1253</v>
      </c>
      <c r="C841" t="s">
        <v>1254</v>
      </c>
      <c r="D841" t="s">
        <v>1255</v>
      </c>
      <c r="E841" t="s">
        <v>1255</v>
      </c>
      <c r="F841" t="s">
        <v>1247</v>
      </c>
      <c r="G841" t="s">
        <v>1248</v>
      </c>
      <c r="H841" t="s">
        <v>1249</v>
      </c>
      <c r="I841" t="s">
        <v>1250</v>
      </c>
      <c r="J841" t="s">
        <v>36</v>
      </c>
      <c r="K841">
        <v>21018</v>
      </c>
      <c r="L841" t="s">
        <v>1251</v>
      </c>
      <c r="M841" t="s">
        <v>1252</v>
      </c>
      <c r="N841" t="s">
        <v>1252</v>
      </c>
      <c r="O841">
        <v>21000</v>
      </c>
      <c r="P841" t="s">
        <v>46</v>
      </c>
      <c r="Q841" t="s">
        <v>47</v>
      </c>
      <c r="R841" t="s">
        <v>48</v>
      </c>
      <c r="T841" t="s">
        <v>36</v>
      </c>
      <c r="U841" t="s">
        <v>36</v>
      </c>
      <c r="V841" t="s">
        <v>36</v>
      </c>
      <c r="W841">
        <v>4000</v>
      </c>
      <c r="X841" t="s">
        <v>49</v>
      </c>
      <c r="Y841" t="s">
        <v>50</v>
      </c>
      <c r="Z841" t="s">
        <v>51</v>
      </c>
      <c r="AA841" t="s">
        <v>37</v>
      </c>
      <c r="AB841" t="s">
        <v>52</v>
      </c>
      <c r="AC841" t="s">
        <v>53</v>
      </c>
      <c r="AD841" t="s">
        <v>54</v>
      </c>
      <c r="AE841">
        <v>23.9693393869</v>
      </c>
      <c r="AF841">
        <v>2435</v>
      </c>
      <c r="AG841">
        <v>2435.1157795499998</v>
      </c>
      <c r="AH841">
        <v>239697.24205199999</v>
      </c>
      <c r="AI841">
        <v>50</v>
      </c>
      <c r="AJ841">
        <v>64468.715026708502</v>
      </c>
      <c r="AK841" s="1">
        <f>intersection_ss_Lden___surface[[#This Row],[surf m2 bout ss]]/intersection_ss_Lden___surface[[#This Row],[Shape_Area]]</f>
        <v>0.26895893534195375</v>
      </c>
      <c r="AL841">
        <v>1204</v>
      </c>
      <c r="AM841">
        <f>intersection_ss_Lden___surface[[#This Row],[Population totale 2024 ss]]*intersection_ss_Lden___surface[[#This Row],[Part de la surface du qs dans le noise contour]]</f>
        <v>323.82655815171233</v>
      </c>
    </row>
    <row r="842" spans="1:39" x14ac:dyDescent="0.3">
      <c r="A842">
        <v>872</v>
      </c>
      <c r="B842" t="s">
        <v>1253</v>
      </c>
      <c r="C842" t="s">
        <v>1254</v>
      </c>
      <c r="D842" t="s">
        <v>1255</v>
      </c>
      <c r="E842" t="s">
        <v>1255</v>
      </c>
      <c r="F842" t="s">
        <v>1247</v>
      </c>
      <c r="G842" t="s">
        <v>1248</v>
      </c>
      <c r="H842" t="s">
        <v>1249</v>
      </c>
      <c r="I842" t="s">
        <v>1250</v>
      </c>
      <c r="J842" t="s">
        <v>36</v>
      </c>
      <c r="K842">
        <v>21018</v>
      </c>
      <c r="L842" t="s">
        <v>1251</v>
      </c>
      <c r="M842" t="s">
        <v>1252</v>
      </c>
      <c r="N842" t="s">
        <v>1252</v>
      </c>
      <c r="O842">
        <v>21000</v>
      </c>
      <c r="P842" t="s">
        <v>46</v>
      </c>
      <c r="Q842" t="s">
        <v>47</v>
      </c>
      <c r="R842" t="s">
        <v>48</v>
      </c>
      <c r="T842" t="s">
        <v>36</v>
      </c>
      <c r="U842" t="s">
        <v>36</v>
      </c>
      <c r="V842" t="s">
        <v>36</v>
      </c>
      <c r="W842">
        <v>4000</v>
      </c>
      <c r="X842" t="s">
        <v>49</v>
      </c>
      <c r="Y842" t="s">
        <v>50</v>
      </c>
      <c r="Z842" t="s">
        <v>51</v>
      </c>
      <c r="AA842" t="s">
        <v>37</v>
      </c>
      <c r="AB842" t="s">
        <v>52</v>
      </c>
      <c r="AC842" t="s">
        <v>53</v>
      </c>
      <c r="AD842" t="s">
        <v>54</v>
      </c>
      <c r="AE842">
        <v>23.9693393869</v>
      </c>
      <c r="AF842">
        <v>2435</v>
      </c>
      <c r="AG842">
        <v>2435.1157795499998</v>
      </c>
      <c r="AH842">
        <v>239697.24205199999</v>
      </c>
      <c r="AI842">
        <v>51</v>
      </c>
      <c r="AJ842">
        <v>173701.12041578899</v>
      </c>
      <c r="AK842" s="1">
        <f>intersection_ss_Lden___surface[[#This Row],[surf m2 bout ss]]/intersection_ss_Lden___surface[[#This Row],[Shape_Area]]</f>
        <v>0.7246688319346879</v>
      </c>
      <c r="AL842">
        <v>1204</v>
      </c>
      <c r="AM842">
        <f>intersection_ss_Lden___surface[[#This Row],[Population totale 2024 ss]]*intersection_ss_Lden___surface[[#This Row],[Part de la surface du qs dans le noise contour]]</f>
        <v>872.50127364936418</v>
      </c>
    </row>
    <row r="843" spans="1:39" x14ac:dyDescent="0.3">
      <c r="A843">
        <v>873</v>
      </c>
      <c r="B843" t="s">
        <v>1253</v>
      </c>
      <c r="C843" t="s">
        <v>1254</v>
      </c>
      <c r="D843" t="s">
        <v>1255</v>
      </c>
      <c r="E843" t="s">
        <v>1255</v>
      </c>
      <c r="F843" t="s">
        <v>1247</v>
      </c>
      <c r="G843" t="s">
        <v>1248</v>
      </c>
      <c r="H843" t="s">
        <v>1249</v>
      </c>
      <c r="I843" t="s">
        <v>1250</v>
      </c>
      <c r="J843" t="s">
        <v>36</v>
      </c>
      <c r="K843">
        <v>21018</v>
      </c>
      <c r="L843" t="s">
        <v>1251</v>
      </c>
      <c r="M843" t="s">
        <v>1252</v>
      </c>
      <c r="N843" t="s">
        <v>1252</v>
      </c>
      <c r="O843">
        <v>21000</v>
      </c>
      <c r="P843" t="s">
        <v>46</v>
      </c>
      <c r="Q843" t="s">
        <v>47</v>
      </c>
      <c r="R843" t="s">
        <v>48</v>
      </c>
      <c r="T843" t="s">
        <v>36</v>
      </c>
      <c r="U843" t="s">
        <v>36</v>
      </c>
      <c r="V843" t="s">
        <v>36</v>
      </c>
      <c r="W843">
        <v>4000</v>
      </c>
      <c r="X843" t="s">
        <v>49</v>
      </c>
      <c r="Y843" t="s">
        <v>50</v>
      </c>
      <c r="Z843" t="s">
        <v>51</v>
      </c>
      <c r="AA843" t="s">
        <v>37</v>
      </c>
      <c r="AB843" t="s">
        <v>52</v>
      </c>
      <c r="AC843" t="s">
        <v>53</v>
      </c>
      <c r="AD843" t="s">
        <v>54</v>
      </c>
      <c r="AE843">
        <v>23.9693393869</v>
      </c>
      <c r="AF843">
        <v>2435</v>
      </c>
      <c r="AG843">
        <v>2435.1157795499998</v>
      </c>
      <c r="AH843">
        <v>239697.24205199999</v>
      </c>
      <c r="AI843">
        <v>52</v>
      </c>
      <c r="AJ843">
        <v>1551.2768626075699</v>
      </c>
      <c r="AK843" s="1">
        <f>intersection_ss_Lden___surface[[#This Row],[surf m2 bout ss]]/intersection_ss_Lden___surface[[#This Row],[Shape_Area]]</f>
        <v>6.4718177369393155E-3</v>
      </c>
      <c r="AL843">
        <v>1204</v>
      </c>
      <c r="AM843">
        <f>intersection_ss_Lden___surface[[#This Row],[Population totale 2024 ss]]*intersection_ss_Lden___surface[[#This Row],[Part de la surface du qs dans le noise contour]]</f>
        <v>7.7920685552749358</v>
      </c>
    </row>
    <row r="844" spans="1:39" x14ac:dyDescent="0.3">
      <c r="A844">
        <v>874</v>
      </c>
      <c r="B844" t="s">
        <v>1256</v>
      </c>
      <c r="C844" t="s">
        <v>1257</v>
      </c>
      <c r="D844" t="s">
        <v>1258</v>
      </c>
      <c r="E844" t="s">
        <v>1258</v>
      </c>
      <c r="F844" t="s">
        <v>1247</v>
      </c>
      <c r="G844" t="s">
        <v>1248</v>
      </c>
      <c r="H844" t="s">
        <v>1249</v>
      </c>
      <c r="I844" t="s">
        <v>1250</v>
      </c>
      <c r="J844" t="s">
        <v>36</v>
      </c>
      <c r="K844">
        <v>21018</v>
      </c>
      <c r="L844" t="s">
        <v>1251</v>
      </c>
      <c r="M844" t="s">
        <v>1252</v>
      </c>
      <c r="N844" t="s">
        <v>1252</v>
      </c>
      <c r="O844">
        <v>21000</v>
      </c>
      <c r="P844" t="s">
        <v>46</v>
      </c>
      <c r="Q844" t="s">
        <v>47</v>
      </c>
      <c r="R844" t="s">
        <v>48</v>
      </c>
      <c r="T844" t="s">
        <v>36</v>
      </c>
      <c r="U844" t="s">
        <v>36</v>
      </c>
      <c r="V844" t="s">
        <v>36</v>
      </c>
      <c r="W844">
        <v>4000</v>
      </c>
      <c r="X844" t="s">
        <v>49</v>
      </c>
      <c r="Y844" t="s">
        <v>50</v>
      </c>
      <c r="Z844" t="s">
        <v>51</v>
      </c>
      <c r="AA844" t="s">
        <v>37</v>
      </c>
      <c r="AB844" t="s">
        <v>52</v>
      </c>
      <c r="AC844" t="s">
        <v>53</v>
      </c>
      <c r="AD844" t="s">
        <v>54</v>
      </c>
      <c r="AE844">
        <v>11.2473222923</v>
      </c>
      <c r="AF844">
        <v>2122</v>
      </c>
      <c r="AG844">
        <v>2121.5312616299998</v>
      </c>
      <c r="AH844">
        <v>112475.02525999999</v>
      </c>
      <c r="AI844">
        <v>49</v>
      </c>
      <c r="AJ844">
        <v>35727.526796623599</v>
      </c>
      <c r="AK844" s="1">
        <f>intersection_ss_Lden___surface[[#This Row],[surf m2 bout ss]]/intersection_ss_Lden___surface[[#This Row],[Shape_Area]]</f>
        <v>0.31764853321023917</v>
      </c>
      <c r="AL844">
        <v>1365</v>
      </c>
      <c r="AM844">
        <f>intersection_ss_Lden___surface[[#This Row],[Population totale 2024 ss]]*intersection_ss_Lden___surface[[#This Row],[Part de la surface du qs dans le noise contour]]</f>
        <v>433.59024783197646</v>
      </c>
    </row>
    <row r="845" spans="1:39" x14ac:dyDescent="0.3">
      <c r="A845">
        <v>875</v>
      </c>
      <c r="B845" t="s">
        <v>1256</v>
      </c>
      <c r="C845" t="s">
        <v>1257</v>
      </c>
      <c r="D845" t="s">
        <v>1258</v>
      </c>
      <c r="E845" t="s">
        <v>1258</v>
      </c>
      <c r="F845" t="s">
        <v>1247</v>
      </c>
      <c r="G845" t="s">
        <v>1248</v>
      </c>
      <c r="H845" t="s">
        <v>1249</v>
      </c>
      <c r="I845" t="s">
        <v>1250</v>
      </c>
      <c r="J845" t="s">
        <v>36</v>
      </c>
      <c r="K845">
        <v>21018</v>
      </c>
      <c r="L845" t="s">
        <v>1251</v>
      </c>
      <c r="M845" t="s">
        <v>1252</v>
      </c>
      <c r="N845" t="s">
        <v>1252</v>
      </c>
      <c r="O845">
        <v>21000</v>
      </c>
      <c r="P845" t="s">
        <v>46</v>
      </c>
      <c r="Q845" t="s">
        <v>47</v>
      </c>
      <c r="R845" t="s">
        <v>48</v>
      </c>
      <c r="T845" t="s">
        <v>36</v>
      </c>
      <c r="U845" t="s">
        <v>36</v>
      </c>
      <c r="V845" t="s">
        <v>36</v>
      </c>
      <c r="W845">
        <v>4000</v>
      </c>
      <c r="X845" t="s">
        <v>49</v>
      </c>
      <c r="Y845" t="s">
        <v>50</v>
      </c>
      <c r="Z845" t="s">
        <v>51</v>
      </c>
      <c r="AA845" t="s">
        <v>37</v>
      </c>
      <c r="AB845" t="s">
        <v>52</v>
      </c>
      <c r="AC845" t="s">
        <v>53</v>
      </c>
      <c r="AD845" t="s">
        <v>54</v>
      </c>
      <c r="AE845">
        <v>11.2473222923</v>
      </c>
      <c r="AF845">
        <v>2122</v>
      </c>
      <c r="AG845">
        <v>2121.5312616299998</v>
      </c>
      <c r="AH845">
        <v>112475.02525999999</v>
      </c>
      <c r="AI845">
        <v>50</v>
      </c>
      <c r="AJ845">
        <v>76758.727950968096</v>
      </c>
      <c r="AK845" s="1">
        <f>intersection_ss_Lden___surface[[#This Row],[surf m2 bout ss]]/intersection_ss_Lden___surface[[#This Row],[Shape_Area]]</f>
        <v>0.68245130662145448</v>
      </c>
      <c r="AL845">
        <v>1365</v>
      </c>
      <c r="AM845">
        <f>intersection_ss_Lden___surface[[#This Row],[Population totale 2024 ss]]*intersection_ss_Lden___surface[[#This Row],[Part de la surface du qs dans le noise contour]]</f>
        <v>931.54603353828531</v>
      </c>
    </row>
    <row r="846" spans="1:39" x14ac:dyDescent="0.3">
      <c r="A846">
        <v>876</v>
      </c>
      <c r="B846" t="s">
        <v>1259</v>
      </c>
      <c r="C846" t="s">
        <v>1260</v>
      </c>
      <c r="D846" t="s">
        <v>1260</v>
      </c>
      <c r="E846" t="s">
        <v>1260</v>
      </c>
      <c r="F846" t="s">
        <v>1247</v>
      </c>
      <c r="G846" t="s">
        <v>1248</v>
      </c>
      <c r="H846" t="s">
        <v>1249</v>
      </c>
      <c r="I846" t="s">
        <v>1250</v>
      </c>
      <c r="J846" t="s">
        <v>36</v>
      </c>
      <c r="K846">
        <v>21018</v>
      </c>
      <c r="L846" t="s">
        <v>1251</v>
      </c>
      <c r="M846" t="s">
        <v>1252</v>
      </c>
      <c r="N846" t="s">
        <v>1252</v>
      </c>
      <c r="O846">
        <v>21000</v>
      </c>
      <c r="P846" t="s">
        <v>46</v>
      </c>
      <c r="Q846" t="s">
        <v>47</v>
      </c>
      <c r="R846" t="s">
        <v>48</v>
      </c>
      <c r="T846" t="s">
        <v>36</v>
      </c>
      <c r="U846" t="s">
        <v>36</v>
      </c>
      <c r="V846" t="s">
        <v>36</v>
      </c>
      <c r="W846">
        <v>4000</v>
      </c>
      <c r="X846" t="s">
        <v>49</v>
      </c>
      <c r="Y846" t="s">
        <v>50</v>
      </c>
      <c r="Z846" t="s">
        <v>51</v>
      </c>
      <c r="AA846" t="s">
        <v>37</v>
      </c>
      <c r="AB846" t="s">
        <v>52</v>
      </c>
      <c r="AC846" t="s">
        <v>53</v>
      </c>
      <c r="AD846" t="s">
        <v>54</v>
      </c>
      <c r="AE846">
        <v>8.5512723134099993</v>
      </c>
      <c r="AF846">
        <v>1418</v>
      </c>
      <c r="AG846">
        <v>1417.6799415200001</v>
      </c>
      <c r="AH846">
        <v>85514.101873000007</v>
      </c>
      <c r="AI846">
        <v>49</v>
      </c>
      <c r="AJ846">
        <v>65559.942206779495</v>
      </c>
      <c r="AK846" s="1">
        <f>intersection_ss_Lden___surface[[#This Row],[surf m2 bout ss]]/intersection_ss_Lden___surface[[#This Row],[Shape_Area]]</f>
        <v>0.76665650191993906</v>
      </c>
      <c r="AL846">
        <v>1635</v>
      </c>
      <c r="AM846">
        <f>intersection_ss_Lden___surface[[#This Row],[Population totale 2024 ss]]*intersection_ss_Lden___surface[[#This Row],[Part de la surface du qs dans le noise contour]]</f>
        <v>1253.4833806391005</v>
      </c>
    </row>
    <row r="847" spans="1:39" x14ac:dyDescent="0.3">
      <c r="A847">
        <v>877</v>
      </c>
      <c r="B847" t="s">
        <v>1259</v>
      </c>
      <c r="C847" t="s">
        <v>1260</v>
      </c>
      <c r="D847" t="s">
        <v>1260</v>
      </c>
      <c r="E847" t="s">
        <v>1260</v>
      </c>
      <c r="F847" t="s">
        <v>1247</v>
      </c>
      <c r="G847" t="s">
        <v>1248</v>
      </c>
      <c r="H847" t="s">
        <v>1249</v>
      </c>
      <c r="I847" t="s">
        <v>1250</v>
      </c>
      <c r="J847" t="s">
        <v>36</v>
      </c>
      <c r="K847">
        <v>21018</v>
      </c>
      <c r="L847" t="s">
        <v>1251</v>
      </c>
      <c r="M847" t="s">
        <v>1252</v>
      </c>
      <c r="N847" t="s">
        <v>1252</v>
      </c>
      <c r="O847">
        <v>21000</v>
      </c>
      <c r="P847" t="s">
        <v>46</v>
      </c>
      <c r="Q847" t="s">
        <v>47</v>
      </c>
      <c r="R847" t="s">
        <v>48</v>
      </c>
      <c r="T847" t="s">
        <v>36</v>
      </c>
      <c r="U847" t="s">
        <v>36</v>
      </c>
      <c r="V847" t="s">
        <v>36</v>
      </c>
      <c r="W847">
        <v>4000</v>
      </c>
      <c r="X847" t="s">
        <v>49</v>
      </c>
      <c r="Y847" t="s">
        <v>50</v>
      </c>
      <c r="Z847" t="s">
        <v>51</v>
      </c>
      <c r="AA847" t="s">
        <v>37</v>
      </c>
      <c r="AB847" t="s">
        <v>52</v>
      </c>
      <c r="AC847" t="s">
        <v>53</v>
      </c>
      <c r="AD847" t="s">
        <v>54</v>
      </c>
      <c r="AE847">
        <v>8.5512723134099993</v>
      </c>
      <c r="AF847">
        <v>1418</v>
      </c>
      <c r="AG847">
        <v>1417.6799415200001</v>
      </c>
      <c r="AH847">
        <v>85514.101873000007</v>
      </c>
      <c r="AI847">
        <v>50</v>
      </c>
      <c r="AJ847">
        <v>19962.679583809298</v>
      </c>
      <c r="AK847" s="1">
        <f>intersection_ss_Lden___surface[[#This Row],[surf m2 bout ss]]/intersection_ss_Lden___surface[[#This Row],[Shape_Area]]</f>
        <v>0.23344312980631632</v>
      </c>
      <c r="AL847">
        <v>1635</v>
      </c>
      <c r="AM847">
        <f>intersection_ss_Lden___surface[[#This Row],[Population totale 2024 ss]]*intersection_ss_Lden___surface[[#This Row],[Part de la surface du qs dans le noise contour]]</f>
        <v>381.6795172333272</v>
      </c>
    </row>
    <row r="848" spans="1:39" x14ac:dyDescent="0.3">
      <c r="A848">
        <v>878</v>
      </c>
      <c r="B848" t="s">
        <v>1261</v>
      </c>
      <c r="C848" t="s">
        <v>1262</v>
      </c>
      <c r="D848" t="s">
        <v>1262</v>
      </c>
      <c r="E848" t="s">
        <v>1262</v>
      </c>
      <c r="F848" t="s">
        <v>1247</v>
      </c>
      <c r="G848" t="s">
        <v>1248</v>
      </c>
      <c r="H848" t="s">
        <v>1249</v>
      </c>
      <c r="I848" t="s">
        <v>1250</v>
      </c>
      <c r="J848" t="s">
        <v>36</v>
      </c>
      <c r="K848">
        <v>21018</v>
      </c>
      <c r="L848" t="s">
        <v>1251</v>
      </c>
      <c r="M848" t="s">
        <v>1252</v>
      </c>
      <c r="N848" t="s">
        <v>1252</v>
      </c>
      <c r="O848">
        <v>21000</v>
      </c>
      <c r="P848" t="s">
        <v>46</v>
      </c>
      <c r="Q848" t="s">
        <v>47</v>
      </c>
      <c r="R848" t="s">
        <v>48</v>
      </c>
      <c r="T848" t="s">
        <v>36</v>
      </c>
      <c r="U848" t="s">
        <v>36</v>
      </c>
      <c r="V848" t="s">
        <v>36</v>
      </c>
      <c r="W848">
        <v>4000</v>
      </c>
      <c r="X848" t="s">
        <v>49</v>
      </c>
      <c r="Y848" t="s">
        <v>50</v>
      </c>
      <c r="Z848" t="s">
        <v>51</v>
      </c>
      <c r="AA848" t="s">
        <v>37</v>
      </c>
      <c r="AB848" t="s">
        <v>52</v>
      </c>
      <c r="AC848" t="s">
        <v>53</v>
      </c>
      <c r="AD848" t="s">
        <v>54</v>
      </c>
      <c r="AE848">
        <v>10.2434495092</v>
      </c>
      <c r="AF848">
        <v>1487</v>
      </c>
      <c r="AG848">
        <v>1486.73896666</v>
      </c>
      <c r="AH848">
        <v>102436.162388</v>
      </c>
      <c r="AI848">
        <v>49</v>
      </c>
      <c r="AJ848">
        <v>16749.207752484799</v>
      </c>
      <c r="AK848" s="1">
        <f>intersection_ss_Lden___surface[[#This Row],[surf m2 bout ss]]/intersection_ss_Lden___surface[[#This Row],[Shape_Area]]</f>
        <v>0.16350873912128228</v>
      </c>
      <c r="AL848">
        <v>1897</v>
      </c>
      <c r="AM848">
        <f>intersection_ss_Lden___surface[[#This Row],[Population totale 2024 ss]]*intersection_ss_Lden___surface[[#This Row],[Part de la surface du qs dans le noise contour]]</f>
        <v>310.17607811307249</v>
      </c>
    </row>
    <row r="849" spans="1:39" x14ac:dyDescent="0.3">
      <c r="A849">
        <v>879</v>
      </c>
      <c r="B849" t="s">
        <v>1261</v>
      </c>
      <c r="C849" t="s">
        <v>1262</v>
      </c>
      <c r="D849" t="s">
        <v>1262</v>
      </c>
      <c r="E849" t="s">
        <v>1262</v>
      </c>
      <c r="F849" t="s">
        <v>1247</v>
      </c>
      <c r="G849" t="s">
        <v>1248</v>
      </c>
      <c r="H849" t="s">
        <v>1249</v>
      </c>
      <c r="I849" t="s">
        <v>1250</v>
      </c>
      <c r="J849" t="s">
        <v>36</v>
      </c>
      <c r="K849">
        <v>21018</v>
      </c>
      <c r="L849" t="s">
        <v>1251</v>
      </c>
      <c r="M849" t="s">
        <v>1252</v>
      </c>
      <c r="N849" t="s">
        <v>1252</v>
      </c>
      <c r="O849">
        <v>21000</v>
      </c>
      <c r="P849" t="s">
        <v>46</v>
      </c>
      <c r="Q849" t="s">
        <v>47</v>
      </c>
      <c r="R849" t="s">
        <v>48</v>
      </c>
      <c r="T849" t="s">
        <v>36</v>
      </c>
      <c r="U849" t="s">
        <v>36</v>
      </c>
      <c r="V849" t="s">
        <v>36</v>
      </c>
      <c r="W849">
        <v>4000</v>
      </c>
      <c r="X849" t="s">
        <v>49</v>
      </c>
      <c r="Y849" t="s">
        <v>50</v>
      </c>
      <c r="Z849" t="s">
        <v>51</v>
      </c>
      <c r="AA849" t="s">
        <v>37</v>
      </c>
      <c r="AB849" t="s">
        <v>52</v>
      </c>
      <c r="AC849" t="s">
        <v>53</v>
      </c>
      <c r="AD849" t="s">
        <v>54</v>
      </c>
      <c r="AE849">
        <v>10.2434495092</v>
      </c>
      <c r="AF849">
        <v>1487</v>
      </c>
      <c r="AG849">
        <v>1486.73896666</v>
      </c>
      <c r="AH849">
        <v>102436.162388</v>
      </c>
      <c r="AI849">
        <v>50</v>
      </c>
      <c r="AJ849">
        <v>81888.594827254303</v>
      </c>
      <c r="AK849" s="1">
        <f>intersection_ss_Lden___surface[[#This Row],[surf m2 bout ss]]/intersection_ss_Lden___surface[[#This Row],[Shape_Area]]</f>
        <v>0.79941099820864858</v>
      </c>
      <c r="AL849">
        <v>1897</v>
      </c>
      <c r="AM849">
        <f>intersection_ss_Lden___surface[[#This Row],[Population totale 2024 ss]]*intersection_ss_Lden___surface[[#This Row],[Part de la surface du qs dans le noise contour]]</f>
        <v>1516.4826636018063</v>
      </c>
    </row>
    <row r="850" spans="1:39" x14ac:dyDescent="0.3">
      <c r="A850">
        <v>880</v>
      </c>
      <c r="B850" t="s">
        <v>1261</v>
      </c>
      <c r="C850" t="s">
        <v>1262</v>
      </c>
      <c r="D850" t="s">
        <v>1262</v>
      </c>
      <c r="E850" t="s">
        <v>1262</v>
      </c>
      <c r="F850" t="s">
        <v>1247</v>
      </c>
      <c r="G850" t="s">
        <v>1248</v>
      </c>
      <c r="H850" t="s">
        <v>1249</v>
      </c>
      <c r="I850" t="s">
        <v>1250</v>
      </c>
      <c r="J850" t="s">
        <v>36</v>
      </c>
      <c r="K850">
        <v>21018</v>
      </c>
      <c r="L850" t="s">
        <v>1251</v>
      </c>
      <c r="M850" t="s">
        <v>1252</v>
      </c>
      <c r="N850" t="s">
        <v>1252</v>
      </c>
      <c r="O850">
        <v>21000</v>
      </c>
      <c r="P850" t="s">
        <v>46</v>
      </c>
      <c r="Q850" t="s">
        <v>47</v>
      </c>
      <c r="R850" t="s">
        <v>48</v>
      </c>
      <c r="T850" t="s">
        <v>36</v>
      </c>
      <c r="U850" t="s">
        <v>36</v>
      </c>
      <c r="V850" t="s">
        <v>36</v>
      </c>
      <c r="W850">
        <v>4000</v>
      </c>
      <c r="X850" t="s">
        <v>49</v>
      </c>
      <c r="Y850" t="s">
        <v>50</v>
      </c>
      <c r="Z850" t="s">
        <v>51</v>
      </c>
      <c r="AA850" t="s">
        <v>37</v>
      </c>
      <c r="AB850" t="s">
        <v>52</v>
      </c>
      <c r="AC850" t="s">
        <v>53</v>
      </c>
      <c r="AD850" t="s">
        <v>54</v>
      </c>
      <c r="AE850">
        <v>10.2434495092</v>
      </c>
      <c r="AF850">
        <v>1487</v>
      </c>
      <c r="AG850">
        <v>1486.73896666</v>
      </c>
      <c r="AH850">
        <v>102436.162388</v>
      </c>
      <c r="AI850">
        <v>51</v>
      </c>
      <c r="AJ850">
        <v>3808.5265408679802</v>
      </c>
      <c r="AK850" s="1">
        <f>intersection_ss_Lden___surface[[#This Row],[surf m2 bout ss]]/intersection_ss_Lden___surface[[#This Row],[Shape_Area]]</f>
        <v>3.7179512118409218E-2</v>
      </c>
      <c r="AL850">
        <v>1897</v>
      </c>
      <c r="AM850">
        <f>intersection_ss_Lden___surface[[#This Row],[Population totale 2024 ss]]*intersection_ss_Lden___surface[[#This Row],[Part de la surface du qs dans le noise contour]]</f>
        <v>70.529534488622289</v>
      </c>
    </row>
    <row r="851" spans="1:39" x14ac:dyDescent="0.3">
      <c r="A851">
        <v>881</v>
      </c>
      <c r="B851" t="s">
        <v>1263</v>
      </c>
      <c r="C851" t="s">
        <v>1264</v>
      </c>
      <c r="D851" t="s">
        <v>1264</v>
      </c>
      <c r="E851" t="s">
        <v>1264</v>
      </c>
      <c r="F851" t="s">
        <v>1247</v>
      </c>
      <c r="G851" t="s">
        <v>1248</v>
      </c>
      <c r="H851" t="s">
        <v>1249</v>
      </c>
      <c r="I851" t="s">
        <v>1250</v>
      </c>
      <c r="J851" t="s">
        <v>36</v>
      </c>
      <c r="K851">
        <v>21018</v>
      </c>
      <c r="L851" t="s">
        <v>1251</v>
      </c>
      <c r="M851" t="s">
        <v>1252</v>
      </c>
      <c r="N851" t="s">
        <v>1252</v>
      </c>
      <c r="O851">
        <v>21000</v>
      </c>
      <c r="P851" t="s">
        <v>46</v>
      </c>
      <c r="Q851" t="s">
        <v>47</v>
      </c>
      <c r="R851" t="s">
        <v>48</v>
      </c>
      <c r="T851" t="s">
        <v>36</v>
      </c>
      <c r="U851" t="s">
        <v>36</v>
      </c>
      <c r="V851" t="s">
        <v>36</v>
      </c>
      <c r="W851">
        <v>4000</v>
      </c>
      <c r="X851" t="s">
        <v>49</v>
      </c>
      <c r="Y851" t="s">
        <v>50</v>
      </c>
      <c r="Z851" t="s">
        <v>51</v>
      </c>
      <c r="AA851" t="s">
        <v>37</v>
      </c>
      <c r="AB851" t="s">
        <v>52</v>
      </c>
      <c r="AC851" t="s">
        <v>53</v>
      </c>
      <c r="AD851" t="s">
        <v>54</v>
      </c>
      <c r="AE851">
        <v>15.9608599496</v>
      </c>
      <c r="AF851">
        <v>1727</v>
      </c>
      <c r="AG851">
        <v>1727.1803146699999</v>
      </c>
      <c r="AH851">
        <v>159611.17429600001</v>
      </c>
      <c r="AI851">
        <v>50</v>
      </c>
      <c r="AJ851">
        <v>54044.009543948298</v>
      </c>
      <c r="AK851" s="1">
        <f>intersection_ss_Lden___surface[[#This Row],[surf m2 bout ss]]/intersection_ss_Lden___surface[[#This Row],[Shape_Area]]</f>
        <v>0.33859790695934178</v>
      </c>
      <c r="AL851">
        <v>1246</v>
      </c>
      <c r="AM851">
        <f>intersection_ss_Lden___surface[[#This Row],[Population totale 2024 ss]]*intersection_ss_Lden___surface[[#This Row],[Part de la surface du qs dans le noise contour]]</f>
        <v>421.89299207133985</v>
      </c>
    </row>
    <row r="852" spans="1:39" x14ac:dyDescent="0.3">
      <c r="A852">
        <v>882</v>
      </c>
      <c r="B852" t="s">
        <v>1263</v>
      </c>
      <c r="C852" t="s">
        <v>1264</v>
      </c>
      <c r="D852" t="s">
        <v>1264</v>
      </c>
      <c r="E852" t="s">
        <v>1264</v>
      </c>
      <c r="F852" t="s">
        <v>1247</v>
      </c>
      <c r="G852" t="s">
        <v>1248</v>
      </c>
      <c r="H852" t="s">
        <v>1249</v>
      </c>
      <c r="I852" t="s">
        <v>1250</v>
      </c>
      <c r="J852" t="s">
        <v>36</v>
      </c>
      <c r="K852">
        <v>21018</v>
      </c>
      <c r="L852" t="s">
        <v>1251</v>
      </c>
      <c r="M852" t="s">
        <v>1252</v>
      </c>
      <c r="N852" t="s">
        <v>1252</v>
      </c>
      <c r="O852">
        <v>21000</v>
      </c>
      <c r="P852" t="s">
        <v>46</v>
      </c>
      <c r="Q852" t="s">
        <v>47</v>
      </c>
      <c r="R852" t="s">
        <v>48</v>
      </c>
      <c r="T852" t="s">
        <v>36</v>
      </c>
      <c r="U852" t="s">
        <v>36</v>
      </c>
      <c r="V852" t="s">
        <v>36</v>
      </c>
      <c r="W852">
        <v>4000</v>
      </c>
      <c r="X852" t="s">
        <v>49</v>
      </c>
      <c r="Y852" t="s">
        <v>50</v>
      </c>
      <c r="Z852" t="s">
        <v>51</v>
      </c>
      <c r="AA852" t="s">
        <v>37</v>
      </c>
      <c r="AB852" t="s">
        <v>52</v>
      </c>
      <c r="AC852" t="s">
        <v>53</v>
      </c>
      <c r="AD852" t="s">
        <v>54</v>
      </c>
      <c r="AE852">
        <v>15.9608599496</v>
      </c>
      <c r="AF852">
        <v>1727</v>
      </c>
      <c r="AG852">
        <v>1727.1803146699999</v>
      </c>
      <c r="AH852">
        <v>159611.17429600001</v>
      </c>
      <c r="AI852">
        <v>51</v>
      </c>
      <c r="AJ852">
        <v>105582.93275728</v>
      </c>
      <c r="AK852" s="1">
        <f>intersection_ss_Lden___surface[[#This Row],[surf m2 bout ss]]/intersection_ss_Lden___surface[[#This Row],[Shape_Area]]</f>
        <v>0.66150088314916933</v>
      </c>
      <c r="AL852">
        <v>1246</v>
      </c>
      <c r="AM852">
        <f>intersection_ss_Lden___surface[[#This Row],[Population totale 2024 ss]]*intersection_ss_Lden___surface[[#This Row],[Part de la surface du qs dans le noise contour]]</f>
        <v>824.23010040386498</v>
      </c>
    </row>
    <row r="853" spans="1:39" x14ac:dyDescent="0.3">
      <c r="A853">
        <v>883</v>
      </c>
      <c r="B853" t="s">
        <v>1265</v>
      </c>
      <c r="C853" t="s">
        <v>1266</v>
      </c>
      <c r="D853" t="s">
        <v>1266</v>
      </c>
      <c r="E853" t="s">
        <v>1266</v>
      </c>
      <c r="F853" t="s">
        <v>1247</v>
      </c>
      <c r="G853" t="s">
        <v>1248</v>
      </c>
      <c r="H853" t="s">
        <v>1249</v>
      </c>
      <c r="I853" t="s">
        <v>1250</v>
      </c>
      <c r="J853" t="s">
        <v>36</v>
      </c>
      <c r="K853">
        <v>21018</v>
      </c>
      <c r="L853" t="s">
        <v>1251</v>
      </c>
      <c r="M853" t="s">
        <v>1252</v>
      </c>
      <c r="N853" t="s">
        <v>1252</v>
      </c>
      <c r="O853">
        <v>21000</v>
      </c>
      <c r="P853" t="s">
        <v>46</v>
      </c>
      <c r="Q853" t="s">
        <v>47</v>
      </c>
      <c r="R853" t="s">
        <v>48</v>
      </c>
      <c r="T853" t="s">
        <v>36</v>
      </c>
      <c r="U853" t="s">
        <v>36</v>
      </c>
      <c r="V853" t="s">
        <v>36</v>
      </c>
      <c r="W853">
        <v>4000</v>
      </c>
      <c r="X853" t="s">
        <v>49</v>
      </c>
      <c r="Y853" t="s">
        <v>50</v>
      </c>
      <c r="Z853" t="s">
        <v>51</v>
      </c>
      <c r="AA853" t="s">
        <v>37</v>
      </c>
      <c r="AB853" t="s">
        <v>52</v>
      </c>
      <c r="AC853" t="s">
        <v>53</v>
      </c>
      <c r="AD853" t="s">
        <v>54</v>
      </c>
      <c r="AE853">
        <v>5.6317047791799997</v>
      </c>
      <c r="AF853">
        <v>1075</v>
      </c>
      <c r="AG853">
        <v>1074.9404874100001</v>
      </c>
      <c r="AH853">
        <v>56317.963054499996</v>
      </c>
      <c r="AI853">
        <v>49</v>
      </c>
      <c r="AJ853">
        <v>9415.0355190937807</v>
      </c>
      <c r="AK853" s="1">
        <f>intersection_ss_Lden___surface[[#This Row],[surf m2 bout ss]]/intersection_ss_Lden___surface[[#This Row],[Shape_Area]]</f>
        <v>0.16717642131308383</v>
      </c>
      <c r="AL853">
        <v>303</v>
      </c>
      <c r="AM853">
        <f>intersection_ss_Lden___surface[[#This Row],[Population totale 2024 ss]]*intersection_ss_Lden___surface[[#This Row],[Part de la surface du qs dans le noise contour]]</f>
        <v>50.654455657864403</v>
      </c>
    </row>
    <row r="854" spans="1:39" x14ac:dyDescent="0.3">
      <c r="A854">
        <v>884</v>
      </c>
      <c r="B854" t="s">
        <v>1265</v>
      </c>
      <c r="C854" t="s">
        <v>1266</v>
      </c>
      <c r="D854" t="s">
        <v>1266</v>
      </c>
      <c r="E854" t="s">
        <v>1266</v>
      </c>
      <c r="F854" t="s">
        <v>1247</v>
      </c>
      <c r="G854" t="s">
        <v>1248</v>
      </c>
      <c r="H854" t="s">
        <v>1249</v>
      </c>
      <c r="I854" t="s">
        <v>1250</v>
      </c>
      <c r="J854" t="s">
        <v>36</v>
      </c>
      <c r="K854">
        <v>21018</v>
      </c>
      <c r="L854" t="s">
        <v>1251</v>
      </c>
      <c r="M854" t="s">
        <v>1252</v>
      </c>
      <c r="N854" t="s">
        <v>1252</v>
      </c>
      <c r="O854">
        <v>21000</v>
      </c>
      <c r="P854" t="s">
        <v>46</v>
      </c>
      <c r="Q854" t="s">
        <v>47</v>
      </c>
      <c r="R854" t="s">
        <v>48</v>
      </c>
      <c r="T854" t="s">
        <v>36</v>
      </c>
      <c r="U854" t="s">
        <v>36</v>
      </c>
      <c r="V854" t="s">
        <v>36</v>
      </c>
      <c r="W854">
        <v>4000</v>
      </c>
      <c r="X854" t="s">
        <v>49</v>
      </c>
      <c r="Y854" t="s">
        <v>50</v>
      </c>
      <c r="Z854" t="s">
        <v>51</v>
      </c>
      <c r="AA854" t="s">
        <v>37</v>
      </c>
      <c r="AB854" t="s">
        <v>52</v>
      </c>
      <c r="AC854" t="s">
        <v>53</v>
      </c>
      <c r="AD854" t="s">
        <v>54</v>
      </c>
      <c r="AE854">
        <v>5.6317047791799997</v>
      </c>
      <c r="AF854">
        <v>1075</v>
      </c>
      <c r="AG854">
        <v>1074.9404874100001</v>
      </c>
      <c r="AH854">
        <v>56317.963054499996</v>
      </c>
      <c r="AI854">
        <v>50</v>
      </c>
      <c r="AJ854">
        <v>46908.559779377203</v>
      </c>
      <c r="AK854" s="1">
        <f>intersection_ss_Lden___surface[[#This Row],[surf m2 bout ss]]/intersection_ss_Lden___surface[[#This Row],[Shape_Area]]</f>
        <v>0.83292358663581045</v>
      </c>
      <c r="AL854">
        <v>303</v>
      </c>
      <c r="AM854">
        <f>intersection_ss_Lden___surface[[#This Row],[Population totale 2024 ss]]*intersection_ss_Lden___surface[[#This Row],[Part de la surface du qs dans le noise contour]]</f>
        <v>252.37584675065057</v>
      </c>
    </row>
    <row r="855" spans="1:39" x14ac:dyDescent="0.3">
      <c r="A855">
        <v>885</v>
      </c>
      <c r="B855" t="s">
        <v>1267</v>
      </c>
      <c r="C855" t="s">
        <v>1268</v>
      </c>
      <c r="D855" t="s">
        <v>1269</v>
      </c>
      <c r="E855" t="s">
        <v>1269</v>
      </c>
      <c r="F855" t="s">
        <v>1270</v>
      </c>
      <c r="G855" t="s">
        <v>1248</v>
      </c>
      <c r="H855" t="s">
        <v>1249</v>
      </c>
      <c r="I855" t="s">
        <v>1250</v>
      </c>
      <c r="J855" t="s">
        <v>36</v>
      </c>
      <c r="K855">
        <v>21018</v>
      </c>
      <c r="L855" t="s">
        <v>1251</v>
      </c>
      <c r="M855" t="s">
        <v>1252</v>
      </c>
      <c r="N855" t="s">
        <v>1252</v>
      </c>
      <c r="O855">
        <v>21000</v>
      </c>
      <c r="P855" t="s">
        <v>46</v>
      </c>
      <c r="Q855" t="s">
        <v>47</v>
      </c>
      <c r="R855" t="s">
        <v>48</v>
      </c>
      <c r="T855" t="s">
        <v>36</v>
      </c>
      <c r="U855" t="s">
        <v>36</v>
      </c>
      <c r="V855" t="s">
        <v>36</v>
      </c>
      <c r="W855">
        <v>4000</v>
      </c>
      <c r="X855" t="s">
        <v>49</v>
      </c>
      <c r="Y855" t="s">
        <v>50</v>
      </c>
      <c r="Z855" t="s">
        <v>51</v>
      </c>
      <c r="AA855" t="s">
        <v>37</v>
      </c>
      <c r="AB855" t="s">
        <v>52</v>
      </c>
      <c r="AC855" t="s">
        <v>53</v>
      </c>
      <c r="AD855" t="s">
        <v>54</v>
      </c>
      <c r="AE855">
        <v>16.9656531388</v>
      </c>
      <c r="AF855">
        <v>2059</v>
      </c>
      <c r="AG855">
        <v>2059.4469221700001</v>
      </c>
      <c r="AH855">
        <v>169659.270246</v>
      </c>
      <c r="AI855">
        <v>51</v>
      </c>
      <c r="AJ855">
        <v>50456.203730135203</v>
      </c>
      <c r="AK855" s="1">
        <f>intersection_ss_Lden___surface[[#This Row],[surf m2 bout ss]]/intersection_ss_Lden___surface[[#This Row],[Shape_Area]]</f>
        <v>0.2973972695802326</v>
      </c>
      <c r="AL855">
        <v>1697</v>
      </c>
      <c r="AM855">
        <f>intersection_ss_Lden___surface[[#This Row],[Population totale 2024 ss]]*intersection_ss_Lden___surface[[#This Row],[Part de la surface du qs dans le noise contour]]</f>
        <v>504.68316647765471</v>
      </c>
    </row>
    <row r="856" spans="1:39" x14ac:dyDescent="0.3">
      <c r="A856">
        <v>886</v>
      </c>
      <c r="B856" t="s">
        <v>1267</v>
      </c>
      <c r="C856" t="s">
        <v>1268</v>
      </c>
      <c r="D856" t="s">
        <v>1269</v>
      </c>
      <c r="E856" t="s">
        <v>1269</v>
      </c>
      <c r="F856" t="s">
        <v>1270</v>
      </c>
      <c r="G856" t="s">
        <v>1248</v>
      </c>
      <c r="H856" t="s">
        <v>1249</v>
      </c>
      <c r="I856" t="s">
        <v>1250</v>
      </c>
      <c r="J856" t="s">
        <v>36</v>
      </c>
      <c r="K856">
        <v>21018</v>
      </c>
      <c r="L856" t="s">
        <v>1251</v>
      </c>
      <c r="M856" t="s">
        <v>1252</v>
      </c>
      <c r="N856" t="s">
        <v>1252</v>
      </c>
      <c r="O856">
        <v>21000</v>
      </c>
      <c r="P856" t="s">
        <v>46</v>
      </c>
      <c r="Q856" t="s">
        <v>47</v>
      </c>
      <c r="R856" t="s">
        <v>48</v>
      </c>
      <c r="T856" t="s">
        <v>36</v>
      </c>
      <c r="U856" t="s">
        <v>36</v>
      </c>
      <c r="V856" t="s">
        <v>36</v>
      </c>
      <c r="W856">
        <v>4000</v>
      </c>
      <c r="X856" t="s">
        <v>49</v>
      </c>
      <c r="Y856" t="s">
        <v>50</v>
      </c>
      <c r="Z856" t="s">
        <v>51</v>
      </c>
      <c r="AA856" t="s">
        <v>37</v>
      </c>
      <c r="AB856" t="s">
        <v>52</v>
      </c>
      <c r="AC856" t="s">
        <v>53</v>
      </c>
      <c r="AD856" t="s">
        <v>54</v>
      </c>
      <c r="AE856">
        <v>16.9656531388</v>
      </c>
      <c r="AF856">
        <v>2059</v>
      </c>
      <c r="AG856">
        <v>2059.4469221700001</v>
      </c>
      <c r="AH856">
        <v>169659.270246</v>
      </c>
      <c r="AI856">
        <v>52</v>
      </c>
      <c r="AJ856">
        <v>119220.021399562</v>
      </c>
      <c r="AK856" s="1">
        <f>intersection_ss_Lden___surface[[#This Row],[surf m2 bout ss]]/intersection_ss_Lden___surface[[#This Row],[Shape_Area]]</f>
        <v>0.70270266532855619</v>
      </c>
      <c r="AL856">
        <v>1697</v>
      </c>
      <c r="AM856">
        <f>intersection_ss_Lden___surface[[#This Row],[Population totale 2024 ss]]*intersection_ss_Lden___surface[[#This Row],[Part de la surface du qs dans le noise contour]]</f>
        <v>1192.4864230625599</v>
      </c>
    </row>
    <row r="857" spans="1:39" x14ac:dyDescent="0.3">
      <c r="A857">
        <v>887</v>
      </c>
      <c r="B857" t="s">
        <v>1271</v>
      </c>
      <c r="C857" t="s">
        <v>1272</v>
      </c>
      <c r="D857" t="s">
        <v>1272</v>
      </c>
      <c r="E857" t="s">
        <v>1272</v>
      </c>
      <c r="F857" t="s">
        <v>1270</v>
      </c>
      <c r="G857" t="s">
        <v>1248</v>
      </c>
      <c r="H857" t="s">
        <v>1249</v>
      </c>
      <c r="I857" t="s">
        <v>1250</v>
      </c>
      <c r="J857" t="s">
        <v>36</v>
      </c>
      <c r="K857">
        <v>21018</v>
      </c>
      <c r="L857" t="s">
        <v>1251</v>
      </c>
      <c r="M857" t="s">
        <v>1252</v>
      </c>
      <c r="N857" t="s">
        <v>1252</v>
      </c>
      <c r="O857">
        <v>21000</v>
      </c>
      <c r="P857" t="s">
        <v>46</v>
      </c>
      <c r="Q857" t="s">
        <v>47</v>
      </c>
      <c r="R857" t="s">
        <v>48</v>
      </c>
      <c r="T857" t="s">
        <v>36</v>
      </c>
      <c r="U857" t="s">
        <v>36</v>
      </c>
      <c r="V857" t="s">
        <v>36</v>
      </c>
      <c r="W857">
        <v>4000</v>
      </c>
      <c r="X857" t="s">
        <v>49</v>
      </c>
      <c r="Y857" t="s">
        <v>50</v>
      </c>
      <c r="Z857" t="s">
        <v>51</v>
      </c>
      <c r="AA857" t="s">
        <v>37</v>
      </c>
      <c r="AB857" t="s">
        <v>52</v>
      </c>
      <c r="AC857" t="s">
        <v>53</v>
      </c>
      <c r="AD857" t="s">
        <v>54</v>
      </c>
      <c r="AE857">
        <v>6.9045299341100002</v>
      </c>
      <c r="AF857">
        <v>1436</v>
      </c>
      <c r="AG857">
        <v>1435.7456340000001</v>
      </c>
      <c r="AH857">
        <v>69046.422854200006</v>
      </c>
      <c r="AI857">
        <v>50</v>
      </c>
      <c r="AJ857">
        <v>4139.5224534878498</v>
      </c>
      <c r="AK857" s="1">
        <f>intersection_ss_Lden___surface[[#This Row],[surf m2 bout ss]]/intersection_ss_Lden___surface[[#This Row],[Shape_Area]]</f>
        <v>5.9952743130936119E-2</v>
      </c>
      <c r="AL857">
        <v>575</v>
      </c>
      <c r="AM857">
        <f>intersection_ss_Lden___surface[[#This Row],[Population totale 2024 ss]]*intersection_ss_Lden___surface[[#This Row],[Part de la surface du qs dans le noise contour]]</f>
        <v>34.472827300288266</v>
      </c>
    </row>
    <row r="858" spans="1:39" x14ac:dyDescent="0.3">
      <c r="A858">
        <v>888</v>
      </c>
      <c r="B858" t="s">
        <v>1271</v>
      </c>
      <c r="C858" t="s">
        <v>1272</v>
      </c>
      <c r="D858" t="s">
        <v>1272</v>
      </c>
      <c r="E858" t="s">
        <v>1272</v>
      </c>
      <c r="F858" t="s">
        <v>1270</v>
      </c>
      <c r="G858" t="s">
        <v>1248</v>
      </c>
      <c r="H858" t="s">
        <v>1249</v>
      </c>
      <c r="I858" t="s">
        <v>1250</v>
      </c>
      <c r="J858" t="s">
        <v>36</v>
      </c>
      <c r="K858">
        <v>21018</v>
      </c>
      <c r="L858" t="s">
        <v>1251</v>
      </c>
      <c r="M858" t="s">
        <v>1252</v>
      </c>
      <c r="N858" t="s">
        <v>1252</v>
      </c>
      <c r="O858">
        <v>21000</v>
      </c>
      <c r="P858" t="s">
        <v>46</v>
      </c>
      <c r="Q858" t="s">
        <v>47</v>
      </c>
      <c r="R858" t="s">
        <v>48</v>
      </c>
      <c r="T858" t="s">
        <v>36</v>
      </c>
      <c r="U858" t="s">
        <v>36</v>
      </c>
      <c r="V858" t="s">
        <v>36</v>
      </c>
      <c r="W858">
        <v>4000</v>
      </c>
      <c r="X858" t="s">
        <v>49</v>
      </c>
      <c r="Y858" t="s">
        <v>50</v>
      </c>
      <c r="Z858" t="s">
        <v>51</v>
      </c>
      <c r="AA858" t="s">
        <v>37</v>
      </c>
      <c r="AB858" t="s">
        <v>52</v>
      </c>
      <c r="AC858" t="s">
        <v>53</v>
      </c>
      <c r="AD858" t="s">
        <v>54</v>
      </c>
      <c r="AE858">
        <v>6.9045299341100002</v>
      </c>
      <c r="AF858">
        <v>1436</v>
      </c>
      <c r="AG858">
        <v>1435.7456340000001</v>
      </c>
      <c r="AH858">
        <v>69046.422854200006</v>
      </c>
      <c r="AI858">
        <v>51</v>
      </c>
      <c r="AJ858">
        <v>64913.816289224698</v>
      </c>
      <c r="AK858" s="1">
        <f>intersection_ss_Lden___surface[[#This Row],[surf m2 bout ss]]/intersection_ss_Lden___surface[[#This Row],[Shape_Area]]</f>
        <v>0.94014741974827842</v>
      </c>
      <c r="AL858">
        <v>575</v>
      </c>
      <c r="AM858">
        <f>intersection_ss_Lden___surface[[#This Row],[Population totale 2024 ss]]*intersection_ss_Lden___surface[[#This Row],[Part de la surface du qs dans le noise contour]]</f>
        <v>540.58476635526006</v>
      </c>
    </row>
    <row r="859" spans="1:39" x14ac:dyDescent="0.3">
      <c r="A859">
        <v>889</v>
      </c>
      <c r="B859" t="s">
        <v>1273</v>
      </c>
      <c r="C859" t="s">
        <v>1274</v>
      </c>
      <c r="D859" t="s">
        <v>1275</v>
      </c>
      <c r="E859" t="s">
        <v>1275</v>
      </c>
      <c r="F859" t="s">
        <v>1270</v>
      </c>
      <c r="G859" t="s">
        <v>1248</v>
      </c>
      <c r="H859" t="s">
        <v>1249</v>
      </c>
      <c r="I859" t="s">
        <v>1250</v>
      </c>
      <c r="J859" t="s">
        <v>36</v>
      </c>
      <c r="K859">
        <v>21018</v>
      </c>
      <c r="L859" t="s">
        <v>1251</v>
      </c>
      <c r="M859" t="s">
        <v>1252</v>
      </c>
      <c r="N859" t="s">
        <v>1252</v>
      </c>
      <c r="O859">
        <v>21000</v>
      </c>
      <c r="P859" t="s">
        <v>46</v>
      </c>
      <c r="Q859" t="s">
        <v>47</v>
      </c>
      <c r="R859" t="s">
        <v>48</v>
      </c>
      <c r="T859" t="s">
        <v>36</v>
      </c>
      <c r="U859" t="s">
        <v>36</v>
      </c>
      <c r="V859" t="s">
        <v>36</v>
      </c>
      <c r="W859">
        <v>4000</v>
      </c>
      <c r="X859" t="s">
        <v>49</v>
      </c>
      <c r="Y859" t="s">
        <v>50</v>
      </c>
      <c r="Z859" t="s">
        <v>51</v>
      </c>
      <c r="AA859" t="s">
        <v>37</v>
      </c>
      <c r="AB859" t="s">
        <v>52</v>
      </c>
      <c r="AC859" t="s">
        <v>53</v>
      </c>
      <c r="AD859" t="s">
        <v>54</v>
      </c>
      <c r="AE859">
        <v>16.725741880499999</v>
      </c>
      <c r="AF859">
        <v>1935</v>
      </c>
      <c r="AG859">
        <v>1935.0062908699999</v>
      </c>
      <c r="AH859">
        <v>167260.111023</v>
      </c>
      <c r="AI859">
        <v>50</v>
      </c>
      <c r="AJ859">
        <v>84158.410872460401</v>
      </c>
      <c r="AK859" s="1">
        <f>intersection_ss_Lden___surface[[#This Row],[surf m2 bout ss]]/intersection_ss_Lden___surface[[#This Row],[Shape_Area]]</f>
        <v>0.50315888443292822</v>
      </c>
      <c r="AL859">
        <v>1253</v>
      </c>
      <c r="AM859">
        <f>intersection_ss_Lden___surface[[#This Row],[Population totale 2024 ss]]*intersection_ss_Lden___surface[[#This Row],[Part de la surface du qs dans le noise contour]]</f>
        <v>630.45808219445905</v>
      </c>
    </row>
    <row r="860" spans="1:39" x14ac:dyDescent="0.3">
      <c r="A860">
        <v>890</v>
      </c>
      <c r="B860" t="s">
        <v>1273</v>
      </c>
      <c r="C860" t="s">
        <v>1274</v>
      </c>
      <c r="D860" t="s">
        <v>1275</v>
      </c>
      <c r="E860" t="s">
        <v>1275</v>
      </c>
      <c r="F860" t="s">
        <v>1270</v>
      </c>
      <c r="G860" t="s">
        <v>1248</v>
      </c>
      <c r="H860" t="s">
        <v>1249</v>
      </c>
      <c r="I860" t="s">
        <v>1250</v>
      </c>
      <c r="J860" t="s">
        <v>36</v>
      </c>
      <c r="K860">
        <v>21018</v>
      </c>
      <c r="L860" t="s">
        <v>1251</v>
      </c>
      <c r="M860" t="s">
        <v>1252</v>
      </c>
      <c r="N860" t="s">
        <v>1252</v>
      </c>
      <c r="O860">
        <v>21000</v>
      </c>
      <c r="P860" t="s">
        <v>46</v>
      </c>
      <c r="Q860" t="s">
        <v>47</v>
      </c>
      <c r="R860" t="s">
        <v>48</v>
      </c>
      <c r="T860" t="s">
        <v>36</v>
      </c>
      <c r="U860" t="s">
        <v>36</v>
      </c>
      <c r="V860" t="s">
        <v>36</v>
      </c>
      <c r="W860">
        <v>4000</v>
      </c>
      <c r="X860" t="s">
        <v>49</v>
      </c>
      <c r="Y860" t="s">
        <v>50</v>
      </c>
      <c r="Z860" t="s">
        <v>51</v>
      </c>
      <c r="AA860" t="s">
        <v>37</v>
      </c>
      <c r="AB860" t="s">
        <v>52</v>
      </c>
      <c r="AC860" t="s">
        <v>53</v>
      </c>
      <c r="AD860" t="s">
        <v>54</v>
      </c>
      <c r="AE860">
        <v>16.725741880499999</v>
      </c>
      <c r="AF860">
        <v>1935</v>
      </c>
      <c r="AG860">
        <v>1935.0062908699999</v>
      </c>
      <c r="AH860">
        <v>167260.111023</v>
      </c>
      <c r="AI860">
        <v>51</v>
      </c>
      <c r="AJ860">
        <v>83118.456081592507</v>
      </c>
      <c r="AK860" s="1">
        <f>intersection_ss_Lden___surface[[#This Row],[surf m2 bout ss]]/intersection_ss_Lden___surface[[#This Row],[Shape_Area]]</f>
        <v>0.49694129444983359</v>
      </c>
      <c r="AL860">
        <v>1253</v>
      </c>
      <c r="AM860">
        <f>intersection_ss_Lden___surface[[#This Row],[Population totale 2024 ss]]*intersection_ss_Lden___surface[[#This Row],[Part de la surface du qs dans le noise contour]]</f>
        <v>622.66744194564149</v>
      </c>
    </row>
    <row r="861" spans="1:39" x14ac:dyDescent="0.3">
      <c r="A861">
        <v>891</v>
      </c>
      <c r="B861" t="s">
        <v>1276</v>
      </c>
      <c r="C861" t="s">
        <v>1277</v>
      </c>
      <c r="D861" t="s">
        <v>1278</v>
      </c>
      <c r="E861" t="s">
        <v>1278</v>
      </c>
      <c r="F861" t="s">
        <v>1270</v>
      </c>
      <c r="G861" t="s">
        <v>1248</v>
      </c>
      <c r="H861" t="s">
        <v>1249</v>
      </c>
      <c r="I861" t="s">
        <v>1250</v>
      </c>
      <c r="J861" t="s">
        <v>36</v>
      </c>
      <c r="K861">
        <v>21018</v>
      </c>
      <c r="L861" t="s">
        <v>1251</v>
      </c>
      <c r="M861" t="s">
        <v>1252</v>
      </c>
      <c r="N861" t="s">
        <v>1252</v>
      </c>
      <c r="O861">
        <v>21000</v>
      </c>
      <c r="P861" t="s">
        <v>46</v>
      </c>
      <c r="Q861" t="s">
        <v>47</v>
      </c>
      <c r="R861" t="s">
        <v>48</v>
      </c>
      <c r="T861" t="s">
        <v>36</v>
      </c>
      <c r="U861" t="s">
        <v>36</v>
      </c>
      <c r="V861" t="s">
        <v>36</v>
      </c>
      <c r="W861">
        <v>4000</v>
      </c>
      <c r="X861" t="s">
        <v>49</v>
      </c>
      <c r="Y861" t="s">
        <v>50</v>
      </c>
      <c r="Z861" t="s">
        <v>51</v>
      </c>
      <c r="AA861" t="s">
        <v>37</v>
      </c>
      <c r="AB861" t="s">
        <v>52</v>
      </c>
      <c r="AC861" t="s">
        <v>53</v>
      </c>
      <c r="AD861" t="s">
        <v>54</v>
      </c>
      <c r="AE861">
        <v>9.8635049610299994</v>
      </c>
      <c r="AF861">
        <v>1502</v>
      </c>
      <c r="AG861">
        <v>1502.06662078</v>
      </c>
      <c r="AH861">
        <v>98636.640838799998</v>
      </c>
      <c r="AI861">
        <v>49</v>
      </c>
      <c r="AJ861">
        <v>65443.2097334965</v>
      </c>
      <c r="AK861" s="1">
        <f>intersection_ss_Lden___surface[[#This Row],[surf m2 bout ss]]/intersection_ss_Lden___surface[[#This Row],[Shape_Area]]</f>
        <v>0.66347768108252092</v>
      </c>
      <c r="AL861">
        <v>226</v>
      </c>
      <c r="AM861">
        <f>intersection_ss_Lden___surface[[#This Row],[Population totale 2024 ss]]*intersection_ss_Lden___surface[[#This Row],[Part de la surface du qs dans le noise contour]]</f>
        <v>149.94595592464972</v>
      </c>
    </row>
    <row r="862" spans="1:39" x14ac:dyDescent="0.3">
      <c r="A862">
        <v>892</v>
      </c>
      <c r="B862" t="s">
        <v>1276</v>
      </c>
      <c r="C862" t="s">
        <v>1277</v>
      </c>
      <c r="D862" t="s">
        <v>1278</v>
      </c>
      <c r="E862" t="s">
        <v>1278</v>
      </c>
      <c r="F862" t="s">
        <v>1270</v>
      </c>
      <c r="G862" t="s">
        <v>1248</v>
      </c>
      <c r="H862" t="s">
        <v>1249</v>
      </c>
      <c r="I862" t="s">
        <v>1250</v>
      </c>
      <c r="J862" t="s">
        <v>36</v>
      </c>
      <c r="K862">
        <v>21018</v>
      </c>
      <c r="L862" t="s">
        <v>1251</v>
      </c>
      <c r="M862" t="s">
        <v>1252</v>
      </c>
      <c r="N862" t="s">
        <v>1252</v>
      </c>
      <c r="O862">
        <v>21000</v>
      </c>
      <c r="P862" t="s">
        <v>46</v>
      </c>
      <c r="Q862" t="s">
        <v>47</v>
      </c>
      <c r="R862" t="s">
        <v>48</v>
      </c>
      <c r="T862" t="s">
        <v>36</v>
      </c>
      <c r="U862" t="s">
        <v>36</v>
      </c>
      <c r="V862" t="s">
        <v>36</v>
      </c>
      <c r="W862">
        <v>4000</v>
      </c>
      <c r="X862" t="s">
        <v>49</v>
      </c>
      <c r="Y862" t="s">
        <v>50</v>
      </c>
      <c r="Z862" t="s">
        <v>51</v>
      </c>
      <c r="AA862" t="s">
        <v>37</v>
      </c>
      <c r="AB862" t="s">
        <v>52</v>
      </c>
      <c r="AC862" t="s">
        <v>53</v>
      </c>
      <c r="AD862" t="s">
        <v>54</v>
      </c>
      <c r="AE862">
        <v>9.8635049610299994</v>
      </c>
      <c r="AF862">
        <v>1502</v>
      </c>
      <c r="AG862">
        <v>1502.06662078</v>
      </c>
      <c r="AH862">
        <v>98636.640838799998</v>
      </c>
      <c r="AI862">
        <v>50</v>
      </c>
      <c r="AJ862">
        <v>33203.3867927951</v>
      </c>
      <c r="AK862" s="1">
        <f>intersection_ss_Lden___surface[[#This Row],[surf m2 bout ss]]/intersection_ss_Lden___surface[[#This Row],[Shape_Area]]</f>
        <v>0.33662325187106451</v>
      </c>
      <c r="AL862">
        <v>226</v>
      </c>
      <c r="AM862">
        <f>intersection_ss_Lden___surface[[#This Row],[Population totale 2024 ss]]*intersection_ss_Lden___surface[[#This Row],[Part de la surface du qs dans le noise contour]]</f>
        <v>76.076854922860576</v>
      </c>
    </row>
    <row r="863" spans="1:39" x14ac:dyDescent="0.3">
      <c r="A863">
        <v>893</v>
      </c>
      <c r="B863" t="s">
        <v>1279</v>
      </c>
      <c r="C863" t="s">
        <v>1280</v>
      </c>
      <c r="D863" t="s">
        <v>1280</v>
      </c>
      <c r="E863" t="s">
        <v>1280</v>
      </c>
      <c r="F863" t="s">
        <v>1270</v>
      </c>
      <c r="G863" t="s">
        <v>1248</v>
      </c>
      <c r="H863" t="s">
        <v>1249</v>
      </c>
      <c r="I863" t="s">
        <v>1250</v>
      </c>
      <c r="J863" t="s">
        <v>36</v>
      </c>
      <c r="K863">
        <v>21018</v>
      </c>
      <c r="L863" t="s">
        <v>1251</v>
      </c>
      <c r="M863" t="s">
        <v>1252</v>
      </c>
      <c r="N863" t="s">
        <v>1252</v>
      </c>
      <c r="O863">
        <v>21000</v>
      </c>
      <c r="P863" t="s">
        <v>46</v>
      </c>
      <c r="Q863" t="s">
        <v>47</v>
      </c>
      <c r="R863" t="s">
        <v>48</v>
      </c>
      <c r="T863" t="s">
        <v>36</v>
      </c>
      <c r="U863" t="s">
        <v>36</v>
      </c>
      <c r="V863" t="s">
        <v>36</v>
      </c>
      <c r="W863">
        <v>4000</v>
      </c>
      <c r="X863" t="s">
        <v>49</v>
      </c>
      <c r="Y863" t="s">
        <v>50</v>
      </c>
      <c r="Z863" t="s">
        <v>51</v>
      </c>
      <c r="AA863" t="s">
        <v>37</v>
      </c>
      <c r="AB863" t="s">
        <v>52</v>
      </c>
      <c r="AC863" t="s">
        <v>53</v>
      </c>
      <c r="AD863" t="s">
        <v>54</v>
      </c>
      <c r="AE863">
        <v>29.7222771494</v>
      </c>
      <c r="AF863">
        <v>4313</v>
      </c>
      <c r="AG863">
        <v>4312.7692798199996</v>
      </c>
      <c r="AH863">
        <v>297227.51978899998</v>
      </c>
      <c r="AI863">
        <v>51</v>
      </c>
      <c r="AJ863">
        <v>93071.807250925296</v>
      </c>
      <c r="AK863" s="1">
        <f>intersection_ss_Lden___surface[[#This Row],[surf m2 bout ss]]/intersection_ss_Lden___surface[[#This Row],[Shape_Area]]</f>
        <v>0.31313320959309693</v>
      </c>
      <c r="AL863">
        <v>25</v>
      </c>
      <c r="AM863">
        <f>intersection_ss_Lden___surface[[#This Row],[Population totale 2024 ss]]*intersection_ss_Lden___surface[[#This Row],[Part de la surface du qs dans le noise contour]]</f>
        <v>7.828330239827423</v>
      </c>
    </row>
    <row r="864" spans="1:39" x14ac:dyDescent="0.3">
      <c r="A864">
        <v>894</v>
      </c>
      <c r="B864" t="s">
        <v>1279</v>
      </c>
      <c r="C864" t="s">
        <v>1280</v>
      </c>
      <c r="D864" t="s">
        <v>1280</v>
      </c>
      <c r="E864" t="s">
        <v>1280</v>
      </c>
      <c r="F864" t="s">
        <v>1270</v>
      </c>
      <c r="G864" t="s">
        <v>1248</v>
      </c>
      <c r="H864" t="s">
        <v>1249</v>
      </c>
      <c r="I864" t="s">
        <v>1250</v>
      </c>
      <c r="J864" t="s">
        <v>36</v>
      </c>
      <c r="K864">
        <v>21018</v>
      </c>
      <c r="L864" t="s">
        <v>1251</v>
      </c>
      <c r="M864" t="s">
        <v>1252</v>
      </c>
      <c r="N864" t="s">
        <v>1252</v>
      </c>
      <c r="O864">
        <v>21000</v>
      </c>
      <c r="P864" t="s">
        <v>46</v>
      </c>
      <c r="Q864" t="s">
        <v>47</v>
      </c>
      <c r="R864" t="s">
        <v>48</v>
      </c>
      <c r="T864" t="s">
        <v>36</v>
      </c>
      <c r="U864" t="s">
        <v>36</v>
      </c>
      <c r="V864" t="s">
        <v>36</v>
      </c>
      <c r="W864">
        <v>4000</v>
      </c>
      <c r="X864" t="s">
        <v>49</v>
      </c>
      <c r="Y864" t="s">
        <v>50</v>
      </c>
      <c r="Z864" t="s">
        <v>51</v>
      </c>
      <c r="AA864" t="s">
        <v>37</v>
      </c>
      <c r="AB864" t="s">
        <v>52</v>
      </c>
      <c r="AC864" t="s">
        <v>53</v>
      </c>
      <c r="AD864" t="s">
        <v>54</v>
      </c>
      <c r="AE864">
        <v>29.7222771494</v>
      </c>
      <c r="AF864">
        <v>4313</v>
      </c>
      <c r="AG864">
        <v>4312.7692798199996</v>
      </c>
      <c r="AH864">
        <v>297227.51978899998</v>
      </c>
      <c r="AI864">
        <v>52</v>
      </c>
      <c r="AJ864">
        <v>166796.088195538</v>
      </c>
      <c r="AK864" s="1">
        <f>intersection_ss_Lden___surface[[#This Row],[surf m2 bout ss]]/intersection_ss_Lden___surface[[#This Row],[Shape_Area]]</f>
        <v>0.56117309835221696</v>
      </c>
      <c r="AL864">
        <v>25</v>
      </c>
      <c r="AM864">
        <f>intersection_ss_Lden___surface[[#This Row],[Population totale 2024 ss]]*intersection_ss_Lden___surface[[#This Row],[Part de la surface du qs dans le noise contour]]</f>
        <v>14.029327458805424</v>
      </c>
    </row>
    <row r="865" spans="1:39" x14ac:dyDescent="0.3">
      <c r="A865">
        <v>895</v>
      </c>
      <c r="B865" t="s">
        <v>1279</v>
      </c>
      <c r="C865" t="s">
        <v>1280</v>
      </c>
      <c r="D865" t="s">
        <v>1280</v>
      </c>
      <c r="E865" t="s">
        <v>1280</v>
      </c>
      <c r="F865" t="s">
        <v>1270</v>
      </c>
      <c r="G865" t="s">
        <v>1248</v>
      </c>
      <c r="H865" t="s">
        <v>1249</v>
      </c>
      <c r="I865" t="s">
        <v>1250</v>
      </c>
      <c r="J865" t="s">
        <v>36</v>
      </c>
      <c r="K865">
        <v>21018</v>
      </c>
      <c r="L865" t="s">
        <v>1251</v>
      </c>
      <c r="M865" t="s">
        <v>1252</v>
      </c>
      <c r="N865" t="s">
        <v>1252</v>
      </c>
      <c r="O865">
        <v>21000</v>
      </c>
      <c r="P865" t="s">
        <v>46</v>
      </c>
      <c r="Q865" t="s">
        <v>47</v>
      </c>
      <c r="R865" t="s">
        <v>48</v>
      </c>
      <c r="T865" t="s">
        <v>36</v>
      </c>
      <c r="U865" t="s">
        <v>36</v>
      </c>
      <c r="V865" t="s">
        <v>36</v>
      </c>
      <c r="W865">
        <v>4000</v>
      </c>
      <c r="X865" t="s">
        <v>49</v>
      </c>
      <c r="Y865" t="s">
        <v>50</v>
      </c>
      <c r="Z865" t="s">
        <v>51</v>
      </c>
      <c r="AA865" t="s">
        <v>37</v>
      </c>
      <c r="AB865" t="s">
        <v>52</v>
      </c>
      <c r="AC865" t="s">
        <v>53</v>
      </c>
      <c r="AD865" t="s">
        <v>54</v>
      </c>
      <c r="AE865">
        <v>29.7222771494</v>
      </c>
      <c r="AF865">
        <v>4313</v>
      </c>
      <c r="AG865">
        <v>4312.7692798199996</v>
      </c>
      <c r="AH865">
        <v>297227.51978899998</v>
      </c>
      <c r="AI865">
        <v>53</v>
      </c>
      <c r="AJ865">
        <v>37389.171284004398</v>
      </c>
      <c r="AK865" s="1">
        <f>intersection_ss_Lden___surface[[#This Row],[surf m2 bout ss]]/intersection_ss_Lden___surface[[#This Row],[Shape_Area]]</f>
        <v>0.12579310055322854</v>
      </c>
      <c r="AL865">
        <v>25</v>
      </c>
      <c r="AM865">
        <f>intersection_ss_Lden___surface[[#This Row],[Population totale 2024 ss]]*intersection_ss_Lden___surface[[#This Row],[Part de la surface du qs dans le noise contour]]</f>
        <v>3.1448275138307134</v>
      </c>
    </row>
    <row r="866" spans="1:39" x14ac:dyDescent="0.3">
      <c r="A866">
        <v>896</v>
      </c>
      <c r="B866" t="s">
        <v>1281</v>
      </c>
      <c r="C866" t="s">
        <v>1282</v>
      </c>
      <c r="D866" t="s">
        <v>1283</v>
      </c>
      <c r="E866" t="s">
        <v>1283</v>
      </c>
      <c r="F866" t="s">
        <v>1284</v>
      </c>
      <c r="G866" t="s">
        <v>1248</v>
      </c>
      <c r="H866" t="s">
        <v>1249</v>
      </c>
      <c r="I866" t="s">
        <v>1250</v>
      </c>
      <c r="J866" t="s">
        <v>36</v>
      </c>
      <c r="K866">
        <v>21018</v>
      </c>
      <c r="L866" t="s">
        <v>1251</v>
      </c>
      <c r="M866" t="s">
        <v>1252</v>
      </c>
      <c r="N866" t="s">
        <v>1252</v>
      </c>
      <c r="O866">
        <v>21000</v>
      </c>
      <c r="P866" t="s">
        <v>46</v>
      </c>
      <c r="Q866" t="s">
        <v>47</v>
      </c>
      <c r="R866" t="s">
        <v>48</v>
      </c>
      <c r="T866" t="s">
        <v>36</v>
      </c>
      <c r="U866" t="s">
        <v>36</v>
      </c>
      <c r="V866" t="s">
        <v>36</v>
      </c>
      <c r="W866">
        <v>4000</v>
      </c>
      <c r="X866" t="s">
        <v>49</v>
      </c>
      <c r="Y866" t="s">
        <v>50</v>
      </c>
      <c r="Z866" t="s">
        <v>51</v>
      </c>
      <c r="AA866" t="s">
        <v>37</v>
      </c>
      <c r="AB866" t="s">
        <v>52</v>
      </c>
      <c r="AC866" t="s">
        <v>53</v>
      </c>
      <c r="AD866" t="s">
        <v>54</v>
      </c>
      <c r="AE866">
        <v>27.428049896200001</v>
      </c>
      <c r="AF866">
        <v>2437</v>
      </c>
      <c r="AG866">
        <v>2437.3434980699999</v>
      </c>
      <c r="AH866">
        <v>274284.92076900002</v>
      </c>
      <c r="AI866">
        <v>47</v>
      </c>
      <c r="AJ866">
        <v>27652.296633906699</v>
      </c>
      <c r="AK866" s="1">
        <f>intersection_ss_Lden___surface[[#This Row],[surf m2 bout ss]]/intersection_ss_Lden___surface[[#This Row],[Shape_Area]]</f>
        <v>0.10081595647467322</v>
      </c>
      <c r="AL866">
        <v>3340</v>
      </c>
      <c r="AM866">
        <f>intersection_ss_Lden___surface[[#This Row],[Population totale 2024 ss]]*intersection_ss_Lden___surface[[#This Row],[Part de la surface du qs dans le noise contour]]</f>
        <v>336.72529462540854</v>
      </c>
    </row>
    <row r="867" spans="1:39" x14ac:dyDescent="0.3">
      <c r="A867">
        <v>897</v>
      </c>
      <c r="B867" t="s">
        <v>1281</v>
      </c>
      <c r="C867" t="s">
        <v>1282</v>
      </c>
      <c r="D867" t="s">
        <v>1283</v>
      </c>
      <c r="E867" t="s">
        <v>1283</v>
      </c>
      <c r="F867" t="s">
        <v>1284</v>
      </c>
      <c r="G867" t="s">
        <v>1248</v>
      </c>
      <c r="H867" t="s">
        <v>1249</v>
      </c>
      <c r="I867" t="s">
        <v>1250</v>
      </c>
      <c r="J867" t="s">
        <v>36</v>
      </c>
      <c r="K867">
        <v>21018</v>
      </c>
      <c r="L867" t="s">
        <v>1251</v>
      </c>
      <c r="M867" t="s">
        <v>1252</v>
      </c>
      <c r="N867" t="s">
        <v>1252</v>
      </c>
      <c r="O867">
        <v>21000</v>
      </c>
      <c r="P867" t="s">
        <v>46</v>
      </c>
      <c r="Q867" t="s">
        <v>47</v>
      </c>
      <c r="R867" t="s">
        <v>48</v>
      </c>
      <c r="T867" t="s">
        <v>36</v>
      </c>
      <c r="U867" t="s">
        <v>36</v>
      </c>
      <c r="V867" t="s">
        <v>36</v>
      </c>
      <c r="W867">
        <v>4000</v>
      </c>
      <c r="X867" t="s">
        <v>49</v>
      </c>
      <c r="Y867" t="s">
        <v>50</v>
      </c>
      <c r="Z867" t="s">
        <v>51</v>
      </c>
      <c r="AA867" t="s">
        <v>37</v>
      </c>
      <c r="AB867" t="s">
        <v>52</v>
      </c>
      <c r="AC867" t="s">
        <v>53</v>
      </c>
      <c r="AD867" t="s">
        <v>54</v>
      </c>
      <c r="AE867">
        <v>27.428049896200001</v>
      </c>
      <c r="AF867">
        <v>2437</v>
      </c>
      <c r="AG867">
        <v>2437.3434980699999</v>
      </c>
      <c r="AH867">
        <v>274284.92076900002</v>
      </c>
      <c r="AI867">
        <v>48</v>
      </c>
      <c r="AJ867">
        <v>102201.129026532</v>
      </c>
      <c r="AK867" s="1">
        <f>intersection_ss_Lden___surface[[#This Row],[surf m2 bout ss]]/intersection_ss_Lden___surface[[#This Row],[Shape_Area]]</f>
        <v>0.37260936087917407</v>
      </c>
      <c r="AL867">
        <v>3340</v>
      </c>
      <c r="AM867">
        <f>intersection_ss_Lden___surface[[#This Row],[Population totale 2024 ss]]*intersection_ss_Lden___surface[[#This Row],[Part de la surface du qs dans le noise contour]]</f>
        <v>1244.5152653364414</v>
      </c>
    </row>
    <row r="868" spans="1:39" x14ac:dyDescent="0.3">
      <c r="A868">
        <v>898</v>
      </c>
      <c r="B868" t="s">
        <v>1281</v>
      </c>
      <c r="C868" t="s">
        <v>1282</v>
      </c>
      <c r="D868" t="s">
        <v>1283</v>
      </c>
      <c r="E868" t="s">
        <v>1283</v>
      </c>
      <c r="F868" t="s">
        <v>1284</v>
      </c>
      <c r="G868" t="s">
        <v>1248</v>
      </c>
      <c r="H868" t="s">
        <v>1249</v>
      </c>
      <c r="I868" t="s">
        <v>1250</v>
      </c>
      <c r="J868" t="s">
        <v>36</v>
      </c>
      <c r="K868">
        <v>21018</v>
      </c>
      <c r="L868" t="s">
        <v>1251</v>
      </c>
      <c r="M868" t="s">
        <v>1252</v>
      </c>
      <c r="N868" t="s">
        <v>1252</v>
      </c>
      <c r="O868">
        <v>21000</v>
      </c>
      <c r="P868" t="s">
        <v>46</v>
      </c>
      <c r="Q868" t="s">
        <v>47</v>
      </c>
      <c r="R868" t="s">
        <v>48</v>
      </c>
      <c r="T868" t="s">
        <v>36</v>
      </c>
      <c r="U868" t="s">
        <v>36</v>
      </c>
      <c r="V868" t="s">
        <v>36</v>
      </c>
      <c r="W868">
        <v>4000</v>
      </c>
      <c r="X868" t="s">
        <v>49</v>
      </c>
      <c r="Y868" t="s">
        <v>50</v>
      </c>
      <c r="Z868" t="s">
        <v>51</v>
      </c>
      <c r="AA868" t="s">
        <v>37</v>
      </c>
      <c r="AB868" t="s">
        <v>52</v>
      </c>
      <c r="AC868" t="s">
        <v>53</v>
      </c>
      <c r="AD868" t="s">
        <v>54</v>
      </c>
      <c r="AE868">
        <v>27.428049896200001</v>
      </c>
      <c r="AF868">
        <v>2437</v>
      </c>
      <c r="AG868">
        <v>2437.3434980699999</v>
      </c>
      <c r="AH868">
        <v>274284.92076900002</v>
      </c>
      <c r="AI868">
        <v>49</v>
      </c>
      <c r="AJ868">
        <v>111870.28384937999</v>
      </c>
      <c r="AK868" s="1">
        <f>intersection_ss_Lden___surface[[#This Row],[surf m2 bout ss]]/intersection_ss_Lden___surface[[#This Row],[Shape_Area]]</f>
        <v>0.40786158982321896</v>
      </c>
      <c r="AL868">
        <v>3340</v>
      </c>
      <c r="AM868">
        <f>intersection_ss_Lden___surface[[#This Row],[Population totale 2024 ss]]*intersection_ss_Lden___surface[[#This Row],[Part de la surface du qs dans le noise contour]]</f>
        <v>1362.2577100095514</v>
      </c>
    </row>
    <row r="869" spans="1:39" x14ac:dyDescent="0.3">
      <c r="A869">
        <v>899</v>
      </c>
      <c r="B869" t="s">
        <v>1281</v>
      </c>
      <c r="C869" t="s">
        <v>1282</v>
      </c>
      <c r="D869" t="s">
        <v>1283</v>
      </c>
      <c r="E869" t="s">
        <v>1283</v>
      </c>
      <c r="F869" t="s">
        <v>1284</v>
      </c>
      <c r="G869" t="s">
        <v>1248</v>
      </c>
      <c r="H869" t="s">
        <v>1249</v>
      </c>
      <c r="I869" t="s">
        <v>1250</v>
      </c>
      <c r="J869" t="s">
        <v>36</v>
      </c>
      <c r="K869">
        <v>21018</v>
      </c>
      <c r="L869" t="s">
        <v>1251</v>
      </c>
      <c r="M869" t="s">
        <v>1252</v>
      </c>
      <c r="N869" t="s">
        <v>1252</v>
      </c>
      <c r="O869">
        <v>21000</v>
      </c>
      <c r="P869" t="s">
        <v>46</v>
      </c>
      <c r="Q869" t="s">
        <v>47</v>
      </c>
      <c r="R869" t="s">
        <v>48</v>
      </c>
      <c r="T869" t="s">
        <v>36</v>
      </c>
      <c r="U869" t="s">
        <v>36</v>
      </c>
      <c r="V869" t="s">
        <v>36</v>
      </c>
      <c r="W869">
        <v>4000</v>
      </c>
      <c r="X869" t="s">
        <v>49</v>
      </c>
      <c r="Y869" t="s">
        <v>50</v>
      </c>
      <c r="Z869" t="s">
        <v>51</v>
      </c>
      <c r="AA869" t="s">
        <v>37</v>
      </c>
      <c r="AB869" t="s">
        <v>52</v>
      </c>
      <c r="AC869" t="s">
        <v>53</v>
      </c>
      <c r="AD869" t="s">
        <v>54</v>
      </c>
      <c r="AE869">
        <v>27.428049896200001</v>
      </c>
      <c r="AF869">
        <v>2437</v>
      </c>
      <c r="AG869">
        <v>2437.3434980699999</v>
      </c>
      <c r="AH869">
        <v>274284.92076900002</v>
      </c>
      <c r="AI869">
        <v>50</v>
      </c>
      <c r="AJ869">
        <v>32588.428882204898</v>
      </c>
      <c r="AK869" s="1">
        <f>intersection_ss_Lden___surface[[#This Row],[surf m2 bout ss]]/intersection_ss_Lden___surface[[#This Row],[Shape_Area]]</f>
        <v>0.118812324027286</v>
      </c>
      <c r="AL869">
        <v>3340</v>
      </c>
      <c r="AM869">
        <f>intersection_ss_Lden___surface[[#This Row],[Population totale 2024 ss]]*intersection_ss_Lden___surface[[#This Row],[Part de la surface du qs dans le noise contour]]</f>
        <v>396.83316225113526</v>
      </c>
    </row>
    <row r="870" spans="1:39" x14ac:dyDescent="0.3">
      <c r="A870">
        <v>900</v>
      </c>
      <c r="B870" t="s">
        <v>1285</v>
      </c>
      <c r="C870" t="s">
        <v>1286</v>
      </c>
      <c r="D870" t="s">
        <v>1287</v>
      </c>
      <c r="E870" t="s">
        <v>1287</v>
      </c>
      <c r="F870" t="s">
        <v>1284</v>
      </c>
      <c r="G870" t="s">
        <v>1248</v>
      </c>
      <c r="H870" t="s">
        <v>1249</v>
      </c>
      <c r="I870" t="s">
        <v>1250</v>
      </c>
      <c r="J870" t="s">
        <v>36</v>
      </c>
      <c r="K870">
        <v>21018</v>
      </c>
      <c r="L870" t="s">
        <v>1251</v>
      </c>
      <c r="M870" t="s">
        <v>1252</v>
      </c>
      <c r="N870" t="s">
        <v>1252</v>
      </c>
      <c r="O870">
        <v>21000</v>
      </c>
      <c r="P870" t="s">
        <v>46</v>
      </c>
      <c r="Q870" t="s">
        <v>47</v>
      </c>
      <c r="R870" t="s">
        <v>48</v>
      </c>
      <c r="T870" t="s">
        <v>36</v>
      </c>
      <c r="U870" t="s">
        <v>36</v>
      </c>
      <c r="V870" t="s">
        <v>36</v>
      </c>
      <c r="W870">
        <v>4000</v>
      </c>
      <c r="X870" t="s">
        <v>49</v>
      </c>
      <c r="Y870" t="s">
        <v>50</v>
      </c>
      <c r="Z870" t="s">
        <v>51</v>
      </c>
      <c r="AA870" t="s">
        <v>37</v>
      </c>
      <c r="AB870" t="s">
        <v>52</v>
      </c>
      <c r="AC870" t="s">
        <v>53</v>
      </c>
      <c r="AD870" t="s">
        <v>54</v>
      </c>
      <c r="AE870">
        <v>20.4697410753</v>
      </c>
      <c r="AF870">
        <v>2274</v>
      </c>
      <c r="AG870">
        <v>2273.8305505600001</v>
      </c>
      <c r="AH870">
        <v>204700.711457</v>
      </c>
      <c r="AI870">
        <v>46</v>
      </c>
      <c r="AJ870">
        <v>42.039857297204399</v>
      </c>
      <c r="AK870" s="1">
        <f>intersection_ss_Lden___surface[[#This Row],[surf m2 bout ss]]/intersection_ss_Lden___surface[[#This Row],[Shape_Area]]</f>
        <v>2.053723067104992E-4</v>
      </c>
      <c r="AL870">
        <v>3275</v>
      </c>
      <c r="AM870">
        <f>intersection_ss_Lden___surface[[#This Row],[Population totale 2024 ss]]*intersection_ss_Lden___surface[[#This Row],[Part de la surface du qs dans le noise contour]]</f>
        <v>0.67259430447688484</v>
      </c>
    </row>
    <row r="871" spans="1:39" x14ac:dyDescent="0.3">
      <c r="A871">
        <v>901</v>
      </c>
      <c r="B871" t="s">
        <v>1285</v>
      </c>
      <c r="C871" t="s">
        <v>1286</v>
      </c>
      <c r="D871" t="s">
        <v>1287</v>
      </c>
      <c r="E871" t="s">
        <v>1287</v>
      </c>
      <c r="F871" t="s">
        <v>1284</v>
      </c>
      <c r="G871" t="s">
        <v>1248</v>
      </c>
      <c r="H871" t="s">
        <v>1249</v>
      </c>
      <c r="I871" t="s">
        <v>1250</v>
      </c>
      <c r="J871" t="s">
        <v>36</v>
      </c>
      <c r="K871">
        <v>21018</v>
      </c>
      <c r="L871" t="s">
        <v>1251</v>
      </c>
      <c r="M871" t="s">
        <v>1252</v>
      </c>
      <c r="N871" t="s">
        <v>1252</v>
      </c>
      <c r="O871">
        <v>21000</v>
      </c>
      <c r="P871" t="s">
        <v>46</v>
      </c>
      <c r="Q871" t="s">
        <v>47</v>
      </c>
      <c r="R871" t="s">
        <v>48</v>
      </c>
      <c r="T871" t="s">
        <v>36</v>
      </c>
      <c r="U871" t="s">
        <v>36</v>
      </c>
      <c r="V871" t="s">
        <v>36</v>
      </c>
      <c r="W871">
        <v>4000</v>
      </c>
      <c r="X871" t="s">
        <v>49</v>
      </c>
      <c r="Y871" t="s">
        <v>50</v>
      </c>
      <c r="Z871" t="s">
        <v>51</v>
      </c>
      <c r="AA871" t="s">
        <v>37</v>
      </c>
      <c r="AB871" t="s">
        <v>52</v>
      </c>
      <c r="AC871" t="s">
        <v>53</v>
      </c>
      <c r="AD871" t="s">
        <v>54</v>
      </c>
      <c r="AE871">
        <v>20.4697410753</v>
      </c>
      <c r="AF871">
        <v>2274</v>
      </c>
      <c r="AG871">
        <v>2273.8305505600001</v>
      </c>
      <c r="AH871">
        <v>204700.711457</v>
      </c>
      <c r="AI871">
        <v>47</v>
      </c>
      <c r="AJ871">
        <v>94004.294795774898</v>
      </c>
      <c r="AK871" s="1">
        <f>intersection_ss_Lden___surface[[#This Row],[surf m2 bout ss]]/intersection_ss_Lden___surface[[#This Row],[Shape_Area]]</f>
        <v>0.45922798277875893</v>
      </c>
      <c r="AL871">
        <v>3275</v>
      </c>
      <c r="AM871">
        <f>intersection_ss_Lden___surface[[#This Row],[Population totale 2024 ss]]*intersection_ss_Lden___surface[[#This Row],[Part de la surface du qs dans le noise contour]]</f>
        <v>1503.9716436004355</v>
      </c>
    </row>
    <row r="872" spans="1:39" x14ac:dyDescent="0.3">
      <c r="A872">
        <v>902</v>
      </c>
      <c r="B872" t="s">
        <v>1285</v>
      </c>
      <c r="C872" t="s">
        <v>1286</v>
      </c>
      <c r="D872" t="s">
        <v>1287</v>
      </c>
      <c r="E872" t="s">
        <v>1287</v>
      </c>
      <c r="F872" t="s">
        <v>1284</v>
      </c>
      <c r="G872" t="s">
        <v>1248</v>
      </c>
      <c r="H872" t="s">
        <v>1249</v>
      </c>
      <c r="I872" t="s">
        <v>1250</v>
      </c>
      <c r="J872" t="s">
        <v>36</v>
      </c>
      <c r="K872">
        <v>21018</v>
      </c>
      <c r="L872" t="s">
        <v>1251</v>
      </c>
      <c r="M872" t="s">
        <v>1252</v>
      </c>
      <c r="N872" t="s">
        <v>1252</v>
      </c>
      <c r="O872">
        <v>21000</v>
      </c>
      <c r="P872" t="s">
        <v>46</v>
      </c>
      <c r="Q872" t="s">
        <v>47</v>
      </c>
      <c r="R872" t="s">
        <v>48</v>
      </c>
      <c r="T872" t="s">
        <v>36</v>
      </c>
      <c r="U872" t="s">
        <v>36</v>
      </c>
      <c r="V872" t="s">
        <v>36</v>
      </c>
      <c r="W872">
        <v>4000</v>
      </c>
      <c r="X872" t="s">
        <v>49</v>
      </c>
      <c r="Y872" t="s">
        <v>50</v>
      </c>
      <c r="Z872" t="s">
        <v>51</v>
      </c>
      <c r="AA872" t="s">
        <v>37</v>
      </c>
      <c r="AB872" t="s">
        <v>52</v>
      </c>
      <c r="AC872" t="s">
        <v>53</v>
      </c>
      <c r="AD872" t="s">
        <v>54</v>
      </c>
      <c r="AE872">
        <v>20.4697410753</v>
      </c>
      <c r="AF872">
        <v>2274</v>
      </c>
      <c r="AG872">
        <v>2273.8305505600001</v>
      </c>
      <c r="AH872">
        <v>204700.711457</v>
      </c>
      <c r="AI872">
        <v>48</v>
      </c>
      <c r="AJ872">
        <v>75267.995001251795</v>
      </c>
      <c r="AK872" s="1">
        <f>intersection_ss_Lden___surface[[#This Row],[surf m2 bout ss]]/intersection_ss_Lden___surface[[#This Row],[Shape_Area]]</f>
        <v>0.36769776941914928</v>
      </c>
      <c r="AL872">
        <v>3275</v>
      </c>
      <c r="AM872">
        <f>intersection_ss_Lden___surface[[#This Row],[Population totale 2024 ss]]*intersection_ss_Lden___surface[[#This Row],[Part de la surface du qs dans le noise contour]]</f>
        <v>1204.2101948477139</v>
      </c>
    </row>
    <row r="873" spans="1:39" x14ac:dyDescent="0.3">
      <c r="A873">
        <v>903</v>
      </c>
      <c r="B873" t="s">
        <v>1285</v>
      </c>
      <c r="C873" t="s">
        <v>1286</v>
      </c>
      <c r="D873" t="s">
        <v>1287</v>
      </c>
      <c r="E873" t="s">
        <v>1287</v>
      </c>
      <c r="F873" t="s">
        <v>1284</v>
      </c>
      <c r="G873" t="s">
        <v>1248</v>
      </c>
      <c r="H873" t="s">
        <v>1249</v>
      </c>
      <c r="I873" t="s">
        <v>1250</v>
      </c>
      <c r="J873" t="s">
        <v>36</v>
      </c>
      <c r="K873">
        <v>21018</v>
      </c>
      <c r="L873" t="s">
        <v>1251</v>
      </c>
      <c r="M873" t="s">
        <v>1252</v>
      </c>
      <c r="N873" t="s">
        <v>1252</v>
      </c>
      <c r="O873">
        <v>21000</v>
      </c>
      <c r="P873" t="s">
        <v>46</v>
      </c>
      <c r="Q873" t="s">
        <v>47</v>
      </c>
      <c r="R873" t="s">
        <v>48</v>
      </c>
      <c r="T873" t="s">
        <v>36</v>
      </c>
      <c r="U873" t="s">
        <v>36</v>
      </c>
      <c r="V873" t="s">
        <v>36</v>
      </c>
      <c r="W873">
        <v>4000</v>
      </c>
      <c r="X873" t="s">
        <v>49</v>
      </c>
      <c r="Y873" t="s">
        <v>50</v>
      </c>
      <c r="Z873" t="s">
        <v>51</v>
      </c>
      <c r="AA873" t="s">
        <v>37</v>
      </c>
      <c r="AB873" t="s">
        <v>52</v>
      </c>
      <c r="AC873" t="s">
        <v>53</v>
      </c>
      <c r="AD873" t="s">
        <v>54</v>
      </c>
      <c r="AE873">
        <v>20.4697410753</v>
      </c>
      <c r="AF873">
        <v>2274</v>
      </c>
      <c r="AG873">
        <v>2273.8305505600001</v>
      </c>
      <c r="AH873">
        <v>204700.711457</v>
      </c>
      <c r="AI873">
        <v>49</v>
      </c>
      <c r="AJ873">
        <v>35402.493068585201</v>
      </c>
      <c r="AK873" s="1">
        <f>intersection_ss_Lden___surface[[#This Row],[surf m2 bout ss]]/intersection_ss_Lden___surface[[#This Row],[Shape_Area]]</f>
        <v>0.17294758194341669</v>
      </c>
      <c r="AL873">
        <v>3275</v>
      </c>
      <c r="AM873">
        <f>intersection_ss_Lden___surface[[#This Row],[Population totale 2024 ss]]*intersection_ss_Lden___surface[[#This Row],[Part de la surface du qs dans le noise contour]]</f>
        <v>566.40333086468968</v>
      </c>
    </row>
    <row r="874" spans="1:39" x14ac:dyDescent="0.3">
      <c r="A874">
        <v>904</v>
      </c>
      <c r="B874" t="s">
        <v>1285</v>
      </c>
      <c r="C874" t="s">
        <v>1286</v>
      </c>
      <c r="D874" t="s">
        <v>1287</v>
      </c>
      <c r="E874" t="s">
        <v>1287</v>
      </c>
      <c r="F874" t="s">
        <v>1284</v>
      </c>
      <c r="G874" t="s">
        <v>1248</v>
      </c>
      <c r="H874" t="s">
        <v>1249</v>
      </c>
      <c r="I874" t="s">
        <v>1250</v>
      </c>
      <c r="J874" t="s">
        <v>36</v>
      </c>
      <c r="K874">
        <v>21018</v>
      </c>
      <c r="L874" t="s">
        <v>1251</v>
      </c>
      <c r="M874" t="s">
        <v>1252</v>
      </c>
      <c r="N874" t="s">
        <v>1252</v>
      </c>
      <c r="O874">
        <v>21000</v>
      </c>
      <c r="P874" t="s">
        <v>46</v>
      </c>
      <c r="Q874" t="s">
        <v>47</v>
      </c>
      <c r="R874" t="s">
        <v>48</v>
      </c>
      <c r="T874" t="s">
        <v>36</v>
      </c>
      <c r="U874" t="s">
        <v>36</v>
      </c>
      <c r="V874" t="s">
        <v>36</v>
      </c>
      <c r="W874">
        <v>4000</v>
      </c>
      <c r="X874" t="s">
        <v>49</v>
      </c>
      <c r="Y874" t="s">
        <v>50</v>
      </c>
      <c r="Z874" t="s">
        <v>51</v>
      </c>
      <c r="AA874" t="s">
        <v>37</v>
      </c>
      <c r="AB874" t="s">
        <v>52</v>
      </c>
      <c r="AC874" t="s">
        <v>53</v>
      </c>
      <c r="AD874" t="s">
        <v>54</v>
      </c>
      <c r="AE874">
        <v>20.4697410753</v>
      </c>
      <c r="AF874">
        <v>2274</v>
      </c>
      <c r="AG874">
        <v>2273.8305505600001</v>
      </c>
      <c r="AH874">
        <v>204700.711457</v>
      </c>
      <c r="AI874">
        <v>50</v>
      </c>
      <c r="AJ874">
        <v>4.3200447084382203</v>
      </c>
      <c r="AK874" s="1">
        <f>intersection_ss_Lden___surface[[#This Row],[surf m2 bout ss]]/intersection_ss_Lden___surface[[#This Row],[Shape_Area]]</f>
        <v>2.110419977385228E-5</v>
      </c>
      <c r="AL874">
        <v>3275</v>
      </c>
      <c r="AM874">
        <f>intersection_ss_Lden___surface[[#This Row],[Population totale 2024 ss]]*intersection_ss_Lden___surface[[#This Row],[Part de la surface du qs dans le noise contour]]</f>
        <v>6.9116254259366211E-2</v>
      </c>
    </row>
    <row r="875" spans="1:39" x14ac:dyDescent="0.3">
      <c r="A875">
        <v>905</v>
      </c>
      <c r="B875" t="s">
        <v>1288</v>
      </c>
      <c r="C875" t="s">
        <v>1289</v>
      </c>
      <c r="D875" t="s">
        <v>1290</v>
      </c>
      <c r="E875" t="s">
        <v>1290</v>
      </c>
      <c r="F875" t="s">
        <v>1284</v>
      </c>
      <c r="G875" t="s">
        <v>1248</v>
      </c>
      <c r="H875" t="s">
        <v>1249</v>
      </c>
      <c r="I875" t="s">
        <v>1250</v>
      </c>
      <c r="J875" t="s">
        <v>36</v>
      </c>
      <c r="K875">
        <v>21018</v>
      </c>
      <c r="L875" t="s">
        <v>1251</v>
      </c>
      <c r="M875" t="s">
        <v>1252</v>
      </c>
      <c r="N875" t="s">
        <v>1252</v>
      </c>
      <c r="O875">
        <v>21000</v>
      </c>
      <c r="P875" t="s">
        <v>46</v>
      </c>
      <c r="Q875" t="s">
        <v>47</v>
      </c>
      <c r="R875" t="s">
        <v>48</v>
      </c>
      <c r="T875" t="s">
        <v>36</v>
      </c>
      <c r="U875" t="s">
        <v>36</v>
      </c>
      <c r="V875" t="s">
        <v>36</v>
      </c>
      <c r="W875">
        <v>4000</v>
      </c>
      <c r="X875" t="s">
        <v>49</v>
      </c>
      <c r="Y875" t="s">
        <v>50</v>
      </c>
      <c r="Z875" t="s">
        <v>51</v>
      </c>
      <c r="AA875" t="s">
        <v>37</v>
      </c>
      <c r="AB875" t="s">
        <v>52</v>
      </c>
      <c r="AC875" t="s">
        <v>53</v>
      </c>
      <c r="AD875" t="s">
        <v>54</v>
      </c>
      <c r="AE875">
        <v>11.9633451008</v>
      </c>
      <c r="AF875">
        <v>1712</v>
      </c>
      <c r="AG875">
        <v>1712.3804172499999</v>
      </c>
      <c r="AH875">
        <v>119635.391223</v>
      </c>
      <c r="AI875">
        <v>47</v>
      </c>
      <c r="AJ875">
        <v>38416.830610369303</v>
      </c>
      <c r="AK875" s="1">
        <f>intersection_ss_Lden___surface[[#This Row],[surf m2 bout ss]]/intersection_ss_Lden___surface[[#This Row],[Shape_Area]]</f>
        <v>0.32111593582504738</v>
      </c>
      <c r="AL875">
        <v>1837</v>
      </c>
      <c r="AM875">
        <f>intersection_ss_Lden___surface[[#This Row],[Population totale 2024 ss]]*intersection_ss_Lden___surface[[#This Row],[Part de la surface du qs dans le noise contour]]</f>
        <v>589.889974110612</v>
      </c>
    </row>
    <row r="876" spans="1:39" x14ac:dyDescent="0.3">
      <c r="A876">
        <v>906</v>
      </c>
      <c r="B876" t="s">
        <v>1288</v>
      </c>
      <c r="C876" t="s">
        <v>1289</v>
      </c>
      <c r="D876" t="s">
        <v>1290</v>
      </c>
      <c r="E876" t="s">
        <v>1290</v>
      </c>
      <c r="F876" t="s">
        <v>1284</v>
      </c>
      <c r="G876" t="s">
        <v>1248</v>
      </c>
      <c r="H876" t="s">
        <v>1249</v>
      </c>
      <c r="I876" t="s">
        <v>1250</v>
      </c>
      <c r="J876" t="s">
        <v>36</v>
      </c>
      <c r="K876">
        <v>21018</v>
      </c>
      <c r="L876" t="s">
        <v>1251</v>
      </c>
      <c r="M876" t="s">
        <v>1252</v>
      </c>
      <c r="N876" t="s">
        <v>1252</v>
      </c>
      <c r="O876">
        <v>21000</v>
      </c>
      <c r="P876" t="s">
        <v>46</v>
      </c>
      <c r="Q876" t="s">
        <v>47</v>
      </c>
      <c r="R876" t="s">
        <v>48</v>
      </c>
      <c r="T876" t="s">
        <v>36</v>
      </c>
      <c r="U876" t="s">
        <v>36</v>
      </c>
      <c r="V876" t="s">
        <v>36</v>
      </c>
      <c r="W876">
        <v>4000</v>
      </c>
      <c r="X876" t="s">
        <v>49</v>
      </c>
      <c r="Y876" t="s">
        <v>50</v>
      </c>
      <c r="Z876" t="s">
        <v>51</v>
      </c>
      <c r="AA876" t="s">
        <v>37</v>
      </c>
      <c r="AB876" t="s">
        <v>52</v>
      </c>
      <c r="AC876" t="s">
        <v>53</v>
      </c>
      <c r="AD876" t="s">
        <v>54</v>
      </c>
      <c r="AE876">
        <v>11.9633451008</v>
      </c>
      <c r="AF876">
        <v>1712</v>
      </c>
      <c r="AG876">
        <v>1712.3804172499999</v>
      </c>
      <c r="AH876">
        <v>119635.391223</v>
      </c>
      <c r="AI876">
        <v>48</v>
      </c>
      <c r="AJ876">
        <v>65476.023472013403</v>
      </c>
      <c r="AK876" s="1">
        <f>intersection_ss_Lden___surface[[#This Row],[surf m2 bout ss]]/intersection_ss_Lden___surface[[#This Row],[Shape_Area]]</f>
        <v>0.5472964379743307</v>
      </c>
      <c r="AL876">
        <v>1837</v>
      </c>
      <c r="AM876">
        <f>intersection_ss_Lden___surface[[#This Row],[Population totale 2024 ss]]*intersection_ss_Lden___surface[[#This Row],[Part de la surface du qs dans le noise contour]]</f>
        <v>1005.3835565588455</v>
      </c>
    </row>
    <row r="877" spans="1:39" x14ac:dyDescent="0.3">
      <c r="A877">
        <v>907</v>
      </c>
      <c r="B877" t="s">
        <v>1288</v>
      </c>
      <c r="C877" t="s">
        <v>1289</v>
      </c>
      <c r="D877" t="s">
        <v>1290</v>
      </c>
      <c r="E877" t="s">
        <v>1290</v>
      </c>
      <c r="F877" t="s">
        <v>1284</v>
      </c>
      <c r="G877" t="s">
        <v>1248</v>
      </c>
      <c r="H877" t="s">
        <v>1249</v>
      </c>
      <c r="I877" t="s">
        <v>1250</v>
      </c>
      <c r="J877" t="s">
        <v>36</v>
      </c>
      <c r="K877">
        <v>21018</v>
      </c>
      <c r="L877" t="s">
        <v>1251</v>
      </c>
      <c r="M877" t="s">
        <v>1252</v>
      </c>
      <c r="N877" t="s">
        <v>1252</v>
      </c>
      <c r="O877">
        <v>21000</v>
      </c>
      <c r="P877" t="s">
        <v>46</v>
      </c>
      <c r="Q877" t="s">
        <v>47</v>
      </c>
      <c r="R877" t="s">
        <v>48</v>
      </c>
      <c r="T877" t="s">
        <v>36</v>
      </c>
      <c r="U877" t="s">
        <v>36</v>
      </c>
      <c r="V877" t="s">
        <v>36</v>
      </c>
      <c r="W877">
        <v>4000</v>
      </c>
      <c r="X877" t="s">
        <v>49</v>
      </c>
      <c r="Y877" t="s">
        <v>50</v>
      </c>
      <c r="Z877" t="s">
        <v>51</v>
      </c>
      <c r="AA877" t="s">
        <v>37</v>
      </c>
      <c r="AB877" t="s">
        <v>52</v>
      </c>
      <c r="AC877" t="s">
        <v>53</v>
      </c>
      <c r="AD877" t="s">
        <v>54</v>
      </c>
      <c r="AE877">
        <v>11.9633451008</v>
      </c>
      <c r="AF877">
        <v>1712</v>
      </c>
      <c r="AG877">
        <v>1712.3804172499999</v>
      </c>
      <c r="AH877">
        <v>119635.391223</v>
      </c>
      <c r="AI877">
        <v>49</v>
      </c>
      <c r="AJ877">
        <v>15754.507423451199</v>
      </c>
      <c r="AK877" s="1">
        <f>intersection_ss_Lden___surface[[#This Row],[surf m2 bout ss]]/intersection_ss_Lden___surface[[#This Row],[Shape_Area]]</f>
        <v>0.13168768256949021</v>
      </c>
      <c r="AL877">
        <v>1837</v>
      </c>
      <c r="AM877">
        <f>intersection_ss_Lden___surface[[#This Row],[Population totale 2024 ss]]*intersection_ss_Lden___surface[[#This Row],[Part de la surface du qs dans le noise contour]]</f>
        <v>241.91027288015351</v>
      </c>
    </row>
    <row r="878" spans="1:39" x14ac:dyDescent="0.3">
      <c r="A878">
        <v>908</v>
      </c>
      <c r="B878" t="s">
        <v>1291</v>
      </c>
      <c r="C878" t="s">
        <v>1292</v>
      </c>
      <c r="D878" t="s">
        <v>1293</v>
      </c>
      <c r="E878" t="s">
        <v>1293</v>
      </c>
      <c r="F878" t="s">
        <v>1284</v>
      </c>
      <c r="G878" t="s">
        <v>1248</v>
      </c>
      <c r="H878" t="s">
        <v>1249</v>
      </c>
      <c r="I878" t="s">
        <v>1250</v>
      </c>
      <c r="J878" t="s">
        <v>36</v>
      </c>
      <c r="K878">
        <v>21018</v>
      </c>
      <c r="L878" t="s">
        <v>1251</v>
      </c>
      <c r="M878" t="s">
        <v>1252</v>
      </c>
      <c r="N878" t="s">
        <v>1252</v>
      </c>
      <c r="O878">
        <v>21000</v>
      </c>
      <c r="P878" t="s">
        <v>46</v>
      </c>
      <c r="Q878" t="s">
        <v>47</v>
      </c>
      <c r="R878" t="s">
        <v>48</v>
      </c>
      <c r="T878" t="s">
        <v>36</v>
      </c>
      <c r="U878" t="s">
        <v>36</v>
      </c>
      <c r="V878" t="s">
        <v>36</v>
      </c>
      <c r="W878">
        <v>4000</v>
      </c>
      <c r="X878" t="s">
        <v>49</v>
      </c>
      <c r="Y878" t="s">
        <v>50</v>
      </c>
      <c r="Z878" t="s">
        <v>51</v>
      </c>
      <c r="AA878" t="s">
        <v>37</v>
      </c>
      <c r="AB878" t="s">
        <v>52</v>
      </c>
      <c r="AC878" t="s">
        <v>53</v>
      </c>
      <c r="AD878" t="s">
        <v>54</v>
      </c>
      <c r="AE878">
        <v>15.7874255123</v>
      </c>
      <c r="AF878">
        <v>1763</v>
      </c>
      <c r="AG878">
        <v>1763.3574703100001</v>
      </c>
      <c r="AH878">
        <v>157876.78305900001</v>
      </c>
      <c r="AI878">
        <v>48</v>
      </c>
      <c r="AJ878">
        <v>64727.3134841961</v>
      </c>
      <c r="AK878" s="1">
        <f>intersection_ss_Lden___surface[[#This Row],[surf m2 bout ss]]/intersection_ss_Lden___surface[[#This Row],[Shape_Area]]</f>
        <v>0.40998627049556047</v>
      </c>
      <c r="AL878">
        <v>2236</v>
      </c>
      <c r="AM878">
        <f>intersection_ss_Lden___surface[[#This Row],[Population totale 2024 ss]]*intersection_ss_Lden___surface[[#This Row],[Part de la surface du qs dans le noise contour]]</f>
        <v>916.72930082807318</v>
      </c>
    </row>
    <row r="879" spans="1:39" x14ac:dyDescent="0.3">
      <c r="A879">
        <v>909</v>
      </c>
      <c r="B879" t="s">
        <v>1291</v>
      </c>
      <c r="C879" t="s">
        <v>1292</v>
      </c>
      <c r="D879" t="s">
        <v>1293</v>
      </c>
      <c r="E879" t="s">
        <v>1293</v>
      </c>
      <c r="F879" t="s">
        <v>1284</v>
      </c>
      <c r="G879" t="s">
        <v>1248</v>
      </c>
      <c r="H879" t="s">
        <v>1249</v>
      </c>
      <c r="I879" t="s">
        <v>1250</v>
      </c>
      <c r="J879" t="s">
        <v>36</v>
      </c>
      <c r="K879">
        <v>21018</v>
      </c>
      <c r="L879" t="s">
        <v>1251</v>
      </c>
      <c r="M879" t="s">
        <v>1252</v>
      </c>
      <c r="N879" t="s">
        <v>1252</v>
      </c>
      <c r="O879">
        <v>21000</v>
      </c>
      <c r="P879" t="s">
        <v>46</v>
      </c>
      <c r="Q879" t="s">
        <v>47</v>
      </c>
      <c r="R879" t="s">
        <v>48</v>
      </c>
      <c r="T879" t="s">
        <v>36</v>
      </c>
      <c r="U879" t="s">
        <v>36</v>
      </c>
      <c r="V879" t="s">
        <v>36</v>
      </c>
      <c r="W879">
        <v>4000</v>
      </c>
      <c r="X879" t="s">
        <v>49</v>
      </c>
      <c r="Y879" t="s">
        <v>50</v>
      </c>
      <c r="Z879" t="s">
        <v>51</v>
      </c>
      <c r="AA879" t="s">
        <v>37</v>
      </c>
      <c r="AB879" t="s">
        <v>52</v>
      </c>
      <c r="AC879" t="s">
        <v>53</v>
      </c>
      <c r="AD879" t="s">
        <v>54</v>
      </c>
      <c r="AE879">
        <v>15.7874255123</v>
      </c>
      <c r="AF879">
        <v>1763</v>
      </c>
      <c r="AG879">
        <v>1763.3574703100001</v>
      </c>
      <c r="AH879">
        <v>157876.78305900001</v>
      </c>
      <c r="AI879">
        <v>49</v>
      </c>
      <c r="AJ879">
        <v>89671.468998211902</v>
      </c>
      <c r="AK879" s="1">
        <f>intersection_ss_Lden___surface[[#This Row],[surf m2 bout ss]]/intersection_ss_Lden___surface[[#This Row],[Shape_Area]]</f>
        <v>0.56798388756566476</v>
      </c>
      <c r="AL879">
        <v>2236</v>
      </c>
      <c r="AM879">
        <f>intersection_ss_Lden___surface[[#This Row],[Population totale 2024 ss]]*intersection_ss_Lden___surface[[#This Row],[Part de la surface du qs dans le noise contour]]</f>
        <v>1270.0119725968264</v>
      </c>
    </row>
    <row r="880" spans="1:39" x14ac:dyDescent="0.3">
      <c r="A880">
        <v>910</v>
      </c>
      <c r="B880" t="s">
        <v>1291</v>
      </c>
      <c r="C880" t="s">
        <v>1292</v>
      </c>
      <c r="D880" t="s">
        <v>1293</v>
      </c>
      <c r="E880" t="s">
        <v>1293</v>
      </c>
      <c r="F880" t="s">
        <v>1284</v>
      </c>
      <c r="G880" t="s">
        <v>1248</v>
      </c>
      <c r="H880" t="s">
        <v>1249</v>
      </c>
      <c r="I880" t="s">
        <v>1250</v>
      </c>
      <c r="J880" t="s">
        <v>36</v>
      </c>
      <c r="K880">
        <v>21018</v>
      </c>
      <c r="L880" t="s">
        <v>1251</v>
      </c>
      <c r="M880" t="s">
        <v>1252</v>
      </c>
      <c r="N880" t="s">
        <v>1252</v>
      </c>
      <c r="O880">
        <v>21000</v>
      </c>
      <c r="P880" t="s">
        <v>46</v>
      </c>
      <c r="Q880" t="s">
        <v>47</v>
      </c>
      <c r="R880" t="s">
        <v>48</v>
      </c>
      <c r="T880" t="s">
        <v>36</v>
      </c>
      <c r="U880" t="s">
        <v>36</v>
      </c>
      <c r="V880" t="s">
        <v>36</v>
      </c>
      <c r="W880">
        <v>4000</v>
      </c>
      <c r="X880" t="s">
        <v>49</v>
      </c>
      <c r="Y880" t="s">
        <v>50</v>
      </c>
      <c r="Z880" t="s">
        <v>51</v>
      </c>
      <c r="AA880" t="s">
        <v>37</v>
      </c>
      <c r="AB880" t="s">
        <v>52</v>
      </c>
      <c r="AC880" t="s">
        <v>53</v>
      </c>
      <c r="AD880" t="s">
        <v>54</v>
      </c>
      <c r="AE880">
        <v>15.7874255123</v>
      </c>
      <c r="AF880">
        <v>1763</v>
      </c>
      <c r="AG880">
        <v>1763.3574703100001</v>
      </c>
      <c r="AH880">
        <v>157876.78305900001</v>
      </c>
      <c r="AI880">
        <v>50</v>
      </c>
      <c r="AJ880">
        <v>3493.5988021940002</v>
      </c>
      <c r="AK880" s="1">
        <f>intersection_ss_Lden___surface[[#This Row],[surf m2 bout ss]]/intersection_ss_Lden___surface[[#This Row],[Shape_Area]]</f>
        <v>2.2128641935200883E-2</v>
      </c>
      <c r="AL880">
        <v>2236</v>
      </c>
      <c r="AM880">
        <f>intersection_ss_Lden___surface[[#This Row],[Population totale 2024 ss]]*intersection_ss_Lden___surface[[#This Row],[Part de la surface du qs dans le noise contour]]</f>
        <v>49.479643367109176</v>
      </c>
    </row>
    <row r="881" spans="1:39" x14ac:dyDescent="0.3">
      <c r="A881">
        <v>911</v>
      </c>
      <c r="B881" t="s">
        <v>1294</v>
      </c>
      <c r="C881" t="s">
        <v>1295</v>
      </c>
      <c r="D881" t="s">
        <v>1111</v>
      </c>
      <c r="E881" t="s">
        <v>1111</v>
      </c>
      <c r="F881" t="s">
        <v>1296</v>
      </c>
      <c r="G881" t="s">
        <v>1248</v>
      </c>
      <c r="H881" t="s">
        <v>1249</v>
      </c>
      <c r="I881" t="s">
        <v>1250</v>
      </c>
      <c r="J881" t="s">
        <v>36</v>
      </c>
      <c r="K881">
        <v>21018</v>
      </c>
      <c r="L881" t="s">
        <v>1251</v>
      </c>
      <c r="M881" t="s">
        <v>1252</v>
      </c>
      <c r="N881" t="s">
        <v>1252</v>
      </c>
      <c r="O881">
        <v>21000</v>
      </c>
      <c r="P881" t="s">
        <v>46</v>
      </c>
      <c r="Q881" t="s">
        <v>47</v>
      </c>
      <c r="R881" t="s">
        <v>48</v>
      </c>
      <c r="T881" t="s">
        <v>36</v>
      </c>
      <c r="U881" t="s">
        <v>36</v>
      </c>
      <c r="V881" t="s">
        <v>36</v>
      </c>
      <c r="W881">
        <v>4000</v>
      </c>
      <c r="X881" t="s">
        <v>49</v>
      </c>
      <c r="Y881" t="s">
        <v>50</v>
      </c>
      <c r="Z881" t="s">
        <v>51</v>
      </c>
      <c r="AA881" t="s">
        <v>37</v>
      </c>
      <c r="AB881" t="s">
        <v>52</v>
      </c>
      <c r="AC881" t="s">
        <v>53</v>
      </c>
      <c r="AD881" t="s">
        <v>54</v>
      </c>
      <c r="AE881">
        <v>10.9381875209</v>
      </c>
      <c r="AF881">
        <v>1449</v>
      </c>
      <c r="AG881">
        <v>1449.1126622199999</v>
      </c>
      <c r="AH881">
        <v>109383.632854</v>
      </c>
      <c r="AI881">
        <v>52</v>
      </c>
      <c r="AJ881">
        <v>92255.081682637305</v>
      </c>
      <c r="AK881" s="1">
        <f>intersection_ss_Lden___surface[[#This Row],[surf m2 bout ss]]/intersection_ss_Lden___surface[[#This Row],[Shape_Area]]</f>
        <v>0.84340846318182672</v>
      </c>
      <c r="AL881">
        <v>1289</v>
      </c>
      <c r="AM881">
        <f>intersection_ss_Lden___surface[[#This Row],[Population totale 2024 ss]]*intersection_ss_Lden___surface[[#This Row],[Part de la surface du qs dans le noise contour]]</f>
        <v>1087.1535090413747</v>
      </c>
    </row>
    <row r="882" spans="1:39" x14ac:dyDescent="0.3">
      <c r="A882">
        <v>912</v>
      </c>
      <c r="B882" t="s">
        <v>1294</v>
      </c>
      <c r="C882" t="s">
        <v>1295</v>
      </c>
      <c r="D882" t="s">
        <v>1111</v>
      </c>
      <c r="E882" t="s">
        <v>1111</v>
      </c>
      <c r="F882" t="s">
        <v>1296</v>
      </c>
      <c r="G882" t="s">
        <v>1248</v>
      </c>
      <c r="H882" t="s">
        <v>1249</v>
      </c>
      <c r="I882" t="s">
        <v>1250</v>
      </c>
      <c r="J882" t="s">
        <v>36</v>
      </c>
      <c r="K882">
        <v>21018</v>
      </c>
      <c r="L882" t="s">
        <v>1251</v>
      </c>
      <c r="M882" t="s">
        <v>1252</v>
      </c>
      <c r="N882" t="s">
        <v>1252</v>
      </c>
      <c r="O882">
        <v>21000</v>
      </c>
      <c r="P882" t="s">
        <v>46</v>
      </c>
      <c r="Q882" t="s">
        <v>47</v>
      </c>
      <c r="R882" t="s">
        <v>48</v>
      </c>
      <c r="T882" t="s">
        <v>36</v>
      </c>
      <c r="U882" t="s">
        <v>36</v>
      </c>
      <c r="V882" t="s">
        <v>36</v>
      </c>
      <c r="W882">
        <v>4000</v>
      </c>
      <c r="X882" t="s">
        <v>49</v>
      </c>
      <c r="Y882" t="s">
        <v>50</v>
      </c>
      <c r="Z882" t="s">
        <v>51</v>
      </c>
      <c r="AA882" t="s">
        <v>37</v>
      </c>
      <c r="AB882" t="s">
        <v>52</v>
      </c>
      <c r="AC882" t="s">
        <v>53</v>
      </c>
      <c r="AD882" t="s">
        <v>54</v>
      </c>
      <c r="AE882">
        <v>10.9381875209</v>
      </c>
      <c r="AF882">
        <v>1449</v>
      </c>
      <c r="AG882">
        <v>1449.1126622199999</v>
      </c>
      <c r="AH882">
        <v>109383.632854</v>
      </c>
      <c r="AI882">
        <v>53</v>
      </c>
      <c r="AJ882">
        <v>17139.268193080999</v>
      </c>
      <c r="AK882" s="1">
        <f>intersection_ss_Lden___surface[[#This Row],[surf m2 bout ss]]/intersection_ss_Lden___surface[[#This Row],[Shape_Area]]</f>
        <v>0.15668951328356107</v>
      </c>
      <c r="AL882">
        <v>1289</v>
      </c>
      <c r="AM882">
        <f>intersection_ss_Lden___surface[[#This Row],[Population totale 2024 ss]]*intersection_ss_Lden___surface[[#This Row],[Part de la surface du qs dans le noise contour]]</f>
        <v>201.97278262251021</v>
      </c>
    </row>
    <row r="883" spans="1:39" x14ac:dyDescent="0.3">
      <c r="A883">
        <v>913</v>
      </c>
      <c r="B883" t="s">
        <v>1297</v>
      </c>
      <c r="C883" t="s">
        <v>1298</v>
      </c>
      <c r="D883" t="s">
        <v>1299</v>
      </c>
      <c r="E883" t="s">
        <v>1299</v>
      </c>
      <c r="F883" t="s">
        <v>1296</v>
      </c>
      <c r="G883" t="s">
        <v>1248</v>
      </c>
      <c r="H883" t="s">
        <v>1249</v>
      </c>
      <c r="I883" t="s">
        <v>1250</v>
      </c>
      <c r="J883" t="s">
        <v>36</v>
      </c>
      <c r="K883">
        <v>21018</v>
      </c>
      <c r="L883" t="s">
        <v>1251</v>
      </c>
      <c r="M883" t="s">
        <v>1252</v>
      </c>
      <c r="N883" t="s">
        <v>1252</v>
      </c>
      <c r="O883">
        <v>21000</v>
      </c>
      <c r="P883" t="s">
        <v>46</v>
      </c>
      <c r="Q883" t="s">
        <v>47</v>
      </c>
      <c r="R883" t="s">
        <v>48</v>
      </c>
      <c r="T883" t="s">
        <v>36</v>
      </c>
      <c r="U883" t="s">
        <v>36</v>
      </c>
      <c r="V883" t="s">
        <v>36</v>
      </c>
      <c r="W883">
        <v>4000</v>
      </c>
      <c r="X883" t="s">
        <v>49</v>
      </c>
      <c r="Y883" t="s">
        <v>50</v>
      </c>
      <c r="Z883" t="s">
        <v>51</v>
      </c>
      <c r="AA883" t="s">
        <v>37</v>
      </c>
      <c r="AB883" t="s">
        <v>52</v>
      </c>
      <c r="AC883" t="s">
        <v>53</v>
      </c>
      <c r="AD883" t="s">
        <v>54</v>
      </c>
      <c r="AE883">
        <v>11.319265168499999</v>
      </c>
      <c r="AF883">
        <v>1426</v>
      </c>
      <c r="AG883">
        <v>1425.5691315399999</v>
      </c>
      <c r="AH883">
        <v>113194.468049</v>
      </c>
      <c r="AI883">
        <v>53</v>
      </c>
      <c r="AJ883">
        <v>113205.495634854</v>
      </c>
      <c r="AK883" s="1">
        <f>intersection_ss_Lden___surface[[#This Row],[surf m2 bout ss]]/intersection_ss_Lden___surface[[#This Row],[Shape_Area]]</f>
        <v>1.0000974215970451</v>
      </c>
      <c r="AL883">
        <v>2476</v>
      </c>
      <c r="AM883">
        <f>intersection_ss_Lden___surface[[#This Row],[Population totale 2024 ss]]*intersection_ss_Lden___surface[[#This Row],[Part de la surface du qs dans le noise contour]]</f>
        <v>2476.2412158742836</v>
      </c>
    </row>
    <row r="884" spans="1:39" x14ac:dyDescent="0.3">
      <c r="A884">
        <v>914</v>
      </c>
      <c r="B884" t="s">
        <v>1300</v>
      </c>
      <c r="C884" t="s">
        <v>1301</v>
      </c>
      <c r="D884" t="s">
        <v>1302</v>
      </c>
      <c r="E884" t="s">
        <v>1302</v>
      </c>
      <c r="F884" t="s">
        <v>1296</v>
      </c>
      <c r="G884" t="s">
        <v>1248</v>
      </c>
      <c r="H884" t="s">
        <v>1249</v>
      </c>
      <c r="I884" t="s">
        <v>1250</v>
      </c>
      <c r="J884" t="s">
        <v>36</v>
      </c>
      <c r="K884">
        <v>21018</v>
      </c>
      <c r="L884" t="s">
        <v>1251</v>
      </c>
      <c r="M884" t="s">
        <v>1252</v>
      </c>
      <c r="N884" t="s">
        <v>1252</v>
      </c>
      <c r="O884">
        <v>21000</v>
      </c>
      <c r="P884" t="s">
        <v>46</v>
      </c>
      <c r="Q884" t="s">
        <v>47</v>
      </c>
      <c r="R884" t="s">
        <v>48</v>
      </c>
      <c r="T884" t="s">
        <v>36</v>
      </c>
      <c r="U884" t="s">
        <v>36</v>
      </c>
      <c r="V884" t="s">
        <v>36</v>
      </c>
      <c r="W884">
        <v>4000</v>
      </c>
      <c r="X884" t="s">
        <v>49</v>
      </c>
      <c r="Y884" t="s">
        <v>50</v>
      </c>
      <c r="Z884" t="s">
        <v>51</v>
      </c>
      <c r="AA884" t="s">
        <v>37</v>
      </c>
      <c r="AB884" t="s">
        <v>52</v>
      </c>
      <c r="AC884" t="s">
        <v>53</v>
      </c>
      <c r="AD884" t="s">
        <v>54</v>
      </c>
      <c r="AE884">
        <v>6.7743852431500002</v>
      </c>
      <c r="AF884">
        <v>1188</v>
      </c>
      <c r="AG884">
        <v>1187.8797170400001</v>
      </c>
      <c r="AH884">
        <v>67744.946327199999</v>
      </c>
      <c r="AI884">
        <v>53</v>
      </c>
      <c r="AJ884">
        <v>65692.841856520594</v>
      </c>
      <c r="AK884" s="1">
        <f>intersection_ss_Lden___surface[[#This Row],[surf m2 bout ss]]/intersection_ss_Lden___surface[[#This Row],[Shape_Area]]</f>
        <v>0.96970837557730161</v>
      </c>
      <c r="AL884">
        <v>428</v>
      </c>
      <c r="AM884">
        <f>intersection_ss_Lden___surface[[#This Row],[Population totale 2024 ss]]*intersection_ss_Lden___surface[[#This Row],[Part de la surface du qs dans le noise contour]]</f>
        <v>415.03518474708511</v>
      </c>
    </row>
    <row r="885" spans="1:39" x14ac:dyDescent="0.3">
      <c r="A885">
        <v>915</v>
      </c>
      <c r="B885" t="s">
        <v>1300</v>
      </c>
      <c r="C885" t="s">
        <v>1301</v>
      </c>
      <c r="D885" t="s">
        <v>1302</v>
      </c>
      <c r="E885" t="s">
        <v>1302</v>
      </c>
      <c r="F885" t="s">
        <v>1296</v>
      </c>
      <c r="G885" t="s">
        <v>1248</v>
      </c>
      <c r="H885" t="s">
        <v>1249</v>
      </c>
      <c r="I885" t="s">
        <v>1250</v>
      </c>
      <c r="J885" t="s">
        <v>36</v>
      </c>
      <c r="K885">
        <v>21018</v>
      </c>
      <c r="L885" t="s">
        <v>1251</v>
      </c>
      <c r="M885" t="s">
        <v>1252</v>
      </c>
      <c r="N885" t="s">
        <v>1252</v>
      </c>
      <c r="O885">
        <v>21000</v>
      </c>
      <c r="P885" t="s">
        <v>46</v>
      </c>
      <c r="Q885" t="s">
        <v>47</v>
      </c>
      <c r="R885" t="s">
        <v>48</v>
      </c>
      <c r="T885" t="s">
        <v>36</v>
      </c>
      <c r="U885" t="s">
        <v>36</v>
      </c>
      <c r="V885" t="s">
        <v>36</v>
      </c>
      <c r="W885">
        <v>4000</v>
      </c>
      <c r="X885" t="s">
        <v>49</v>
      </c>
      <c r="Y885" t="s">
        <v>50</v>
      </c>
      <c r="Z885" t="s">
        <v>51</v>
      </c>
      <c r="AA885" t="s">
        <v>37</v>
      </c>
      <c r="AB885" t="s">
        <v>52</v>
      </c>
      <c r="AC885" t="s">
        <v>53</v>
      </c>
      <c r="AD885" t="s">
        <v>54</v>
      </c>
      <c r="AE885">
        <v>6.7743852431500002</v>
      </c>
      <c r="AF885">
        <v>1188</v>
      </c>
      <c r="AG885">
        <v>1187.8797170400001</v>
      </c>
      <c r="AH885">
        <v>67744.946327199999</v>
      </c>
      <c r="AI885">
        <v>54</v>
      </c>
      <c r="AJ885">
        <v>2058.6833186037802</v>
      </c>
      <c r="AK885" s="1">
        <f>intersection_ss_Lden___surface[[#This Row],[surf m2 bout ss]]/intersection_ss_Lden___surface[[#This Row],[Shape_Area]]</f>
        <v>3.0388736432981817E-2</v>
      </c>
      <c r="AL885">
        <v>428</v>
      </c>
      <c r="AM885">
        <f>intersection_ss_Lden___surface[[#This Row],[Population totale 2024 ss]]*intersection_ss_Lden___surface[[#This Row],[Part de la surface du qs dans le noise contour]]</f>
        <v>13.006379193316217</v>
      </c>
    </row>
    <row r="886" spans="1:39" x14ac:dyDescent="0.3">
      <c r="A886">
        <v>916</v>
      </c>
      <c r="B886" t="s">
        <v>1303</v>
      </c>
      <c r="C886" t="s">
        <v>1304</v>
      </c>
      <c r="D886" t="s">
        <v>1304</v>
      </c>
      <c r="E886" t="s">
        <v>1304</v>
      </c>
      <c r="F886" t="s">
        <v>1296</v>
      </c>
      <c r="G886" t="s">
        <v>1248</v>
      </c>
      <c r="H886" t="s">
        <v>1249</v>
      </c>
      <c r="I886" t="s">
        <v>1250</v>
      </c>
      <c r="J886" t="s">
        <v>36</v>
      </c>
      <c r="K886">
        <v>21018</v>
      </c>
      <c r="L886" t="s">
        <v>1251</v>
      </c>
      <c r="M886" t="s">
        <v>1252</v>
      </c>
      <c r="N886" t="s">
        <v>1252</v>
      </c>
      <c r="O886">
        <v>21000</v>
      </c>
      <c r="P886" t="s">
        <v>46</v>
      </c>
      <c r="Q886" t="s">
        <v>47</v>
      </c>
      <c r="R886" t="s">
        <v>48</v>
      </c>
      <c r="T886" t="s">
        <v>36</v>
      </c>
      <c r="U886" t="s">
        <v>36</v>
      </c>
      <c r="V886" t="s">
        <v>36</v>
      </c>
      <c r="W886">
        <v>4000</v>
      </c>
      <c r="X886" t="s">
        <v>49</v>
      </c>
      <c r="Y886" t="s">
        <v>50</v>
      </c>
      <c r="Z886" t="s">
        <v>51</v>
      </c>
      <c r="AA886" t="s">
        <v>37</v>
      </c>
      <c r="AB886" t="s">
        <v>52</v>
      </c>
      <c r="AC886" t="s">
        <v>53</v>
      </c>
      <c r="AD886" t="s">
        <v>54</v>
      </c>
      <c r="AE886">
        <v>39.456359546900003</v>
      </c>
      <c r="AF886">
        <v>3332</v>
      </c>
      <c r="AG886">
        <v>3331.9223594599998</v>
      </c>
      <c r="AH886">
        <v>394569.95322299999</v>
      </c>
      <c r="AI886">
        <v>52</v>
      </c>
      <c r="AJ886">
        <v>26118.344739515302</v>
      </c>
      <c r="AK886" s="1">
        <f>intersection_ss_Lden___surface[[#This Row],[surf m2 bout ss]]/intersection_ss_Lden___surface[[#This Row],[Shape_Area]]</f>
        <v>6.6194459375759754E-2</v>
      </c>
      <c r="AL886">
        <v>2320</v>
      </c>
      <c r="AM886">
        <f>intersection_ss_Lden___surface[[#This Row],[Population totale 2024 ss]]*intersection_ss_Lden___surface[[#This Row],[Part de la surface du qs dans le noise contour]]</f>
        <v>153.57114575176263</v>
      </c>
    </row>
    <row r="887" spans="1:39" x14ac:dyDescent="0.3">
      <c r="A887">
        <v>917</v>
      </c>
      <c r="B887" t="s">
        <v>1303</v>
      </c>
      <c r="C887" t="s">
        <v>1304</v>
      </c>
      <c r="D887" t="s">
        <v>1304</v>
      </c>
      <c r="E887" t="s">
        <v>1304</v>
      </c>
      <c r="F887" t="s">
        <v>1296</v>
      </c>
      <c r="G887" t="s">
        <v>1248</v>
      </c>
      <c r="H887" t="s">
        <v>1249</v>
      </c>
      <c r="I887" t="s">
        <v>1250</v>
      </c>
      <c r="J887" t="s">
        <v>36</v>
      </c>
      <c r="K887">
        <v>21018</v>
      </c>
      <c r="L887" t="s">
        <v>1251</v>
      </c>
      <c r="M887" t="s">
        <v>1252</v>
      </c>
      <c r="N887" t="s">
        <v>1252</v>
      </c>
      <c r="O887">
        <v>21000</v>
      </c>
      <c r="P887" t="s">
        <v>46</v>
      </c>
      <c r="Q887" t="s">
        <v>47</v>
      </c>
      <c r="R887" t="s">
        <v>48</v>
      </c>
      <c r="T887" t="s">
        <v>36</v>
      </c>
      <c r="U887" t="s">
        <v>36</v>
      </c>
      <c r="V887" t="s">
        <v>36</v>
      </c>
      <c r="W887">
        <v>4000</v>
      </c>
      <c r="X887" t="s">
        <v>49</v>
      </c>
      <c r="Y887" t="s">
        <v>50</v>
      </c>
      <c r="Z887" t="s">
        <v>51</v>
      </c>
      <c r="AA887" t="s">
        <v>37</v>
      </c>
      <c r="AB887" t="s">
        <v>52</v>
      </c>
      <c r="AC887" t="s">
        <v>53</v>
      </c>
      <c r="AD887" t="s">
        <v>54</v>
      </c>
      <c r="AE887">
        <v>39.456359546900003</v>
      </c>
      <c r="AF887">
        <v>3332</v>
      </c>
      <c r="AG887">
        <v>3331.9223594599998</v>
      </c>
      <c r="AH887">
        <v>394569.95322299999</v>
      </c>
      <c r="AI887">
        <v>53</v>
      </c>
      <c r="AJ887">
        <v>312259.26891578699</v>
      </c>
      <c r="AK887" s="1">
        <f>intersection_ss_Lden___surface[[#This Row],[surf m2 bout ss]]/intersection_ss_Lden___surface[[#This Row],[Shape_Area]]</f>
        <v>0.79139140313430489</v>
      </c>
      <c r="AL887">
        <v>2320</v>
      </c>
      <c r="AM887">
        <f>intersection_ss_Lden___surface[[#This Row],[Population totale 2024 ss]]*intersection_ss_Lden___surface[[#This Row],[Part de la surface du qs dans le noise contour]]</f>
        <v>1836.0280552715874</v>
      </c>
    </row>
    <row r="888" spans="1:39" x14ac:dyDescent="0.3">
      <c r="A888">
        <v>918</v>
      </c>
      <c r="B888" t="s">
        <v>1303</v>
      </c>
      <c r="C888" t="s">
        <v>1304</v>
      </c>
      <c r="D888" t="s">
        <v>1304</v>
      </c>
      <c r="E888" t="s">
        <v>1304</v>
      </c>
      <c r="F888" t="s">
        <v>1296</v>
      </c>
      <c r="G888" t="s">
        <v>1248</v>
      </c>
      <c r="H888" t="s">
        <v>1249</v>
      </c>
      <c r="I888" t="s">
        <v>1250</v>
      </c>
      <c r="J888" t="s">
        <v>36</v>
      </c>
      <c r="K888">
        <v>21018</v>
      </c>
      <c r="L888" t="s">
        <v>1251</v>
      </c>
      <c r="M888" t="s">
        <v>1252</v>
      </c>
      <c r="N888" t="s">
        <v>1252</v>
      </c>
      <c r="O888">
        <v>21000</v>
      </c>
      <c r="P888" t="s">
        <v>46</v>
      </c>
      <c r="Q888" t="s">
        <v>47</v>
      </c>
      <c r="R888" t="s">
        <v>48</v>
      </c>
      <c r="T888" t="s">
        <v>36</v>
      </c>
      <c r="U888" t="s">
        <v>36</v>
      </c>
      <c r="V888" t="s">
        <v>36</v>
      </c>
      <c r="W888">
        <v>4000</v>
      </c>
      <c r="X888" t="s">
        <v>49</v>
      </c>
      <c r="Y888" t="s">
        <v>50</v>
      </c>
      <c r="Z888" t="s">
        <v>51</v>
      </c>
      <c r="AA888" t="s">
        <v>37</v>
      </c>
      <c r="AB888" t="s">
        <v>52</v>
      </c>
      <c r="AC888" t="s">
        <v>53</v>
      </c>
      <c r="AD888" t="s">
        <v>54</v>
      </c>
      <c r="AE888">
        <v>39.456359546900003</v>
      </c>
      <c r="AF888">
        <v>3332</v>
      </c>
      <c r="AG888">
        <v>3331.9223594599998</v>
      </c>
      <c r="AH888">
        <v>394569.95322299999</v>
      </c>
      <c r="AI888">
        <v>54</v>
      </c>
      <c r="AJ888">
        <v>56230.811243046497</v>
      </c>
      <c r="AK888" s="1">
        <f>intersection_ss_Lden___surface[[#This Row],[surf m2 bout ss]]/intersection_ss_Lden___surface[[#This Row],[Shape_Area]]</f>
        <v>0.14251164029022353</v>
      </c>
      <c r="AL888">
        <v>2320</v>
      </c>
      <c r="AM888">
        <f>intersection_ss_Lden___surface[[#This Row],[Population totale 2024 ss]]*intersection_ss_Lden___surface[[#This Row],[Part de la surface du qs dans le noise contour]]</f>
        <v>330.6270054733186</v>
      </c>
    </row>
    <row r="889" spans="1:39" x14ac:dyDescent="0.3">
      <c r="A889">
        <v>919</v>
      </c>
      <c r="B889" t="s">
        <v>1305</v>
      </c>
      <c r="C889" t="s">
        <v>1306</v>
      </c>
      <c r="D889" t="s">
        <v>1307</v>
      </c>
      <c r="E889" t="s">
        <v>1307</v>
      </c>
      <c r="F889" t="s">
        <v>1296</v>
      </c>
      <c r="G889" t="s">
        <v>1248</v>
      </c>
      <c r="H889" t="s">
        <v>1249</v>
      </c>
      <c r="I889" t="s">
        <v>1250</v>
      </c>
      <c r="J889" t="s">
        <v>36</v>
      </c>
      <c r="K889">
        <v>21018</v>
      </c>
      <c r="L889" t="s">
        <v>1251</v>
      </c>
      <c r="M889" t="s">
        <v>1252</v>
      </c>
      <c r="N889" t="s">
        <v>1252</v>
      </c>
      <c r="O889">
        <v>21000</v>
      </c>
      <c r="P889" t="s">
        <v>46</v>
      </c>
      <c r="Q889" t="s">
        <v>47</v>
      </c>
      <c r="R889" t="s">
        <v>48</v>
      </c>
      <c r="T889" t="s">
        <v>36</v>
      </c>
      <c r="U889" t="s">
        <v>36</v>
      </c>
      <c r="V889" t="s">
        <v>36</v>
      </c>
      <c r="W889">
        <v>4000</v>
      </c>
      <c r="X889" t="s">
        <v>49</v>
      </c>
      <c r="Y889" t="s">
        <v>50</v>
      </c>
      <c r="Z889" t="s">
        <v>51</v>
      </c>
      <c r="AA889" t="s">
        <v>37</v>
      </c>
      <c r="AB889" t="s">
        <v>52</v>
      </c>
      <c r="AC889" t="s">
        <v>53</v>
      </c>
      <c r="AD889" t="s">
        <v>54</v>
      </c>
      <c r="AE889">
        <v>14.627124717599999</v>
      </c>
      <c r="AF889">
        <v>1841</v>
      </c>
      <c r="AG889">
        <v>1841.36784416</v>
      </c>
      <c r="AH889">
        <v>146273.60338399999</v>
      </c>
      <c r="AI889">
        <v>53</v>
      </c>
      <c r="AJ889">
        <v>115.893657110631</v>
      </c>
      <c r="AK889" s="1">
        <f>intersection_ss_Lden___surface[[#This Row],[surf m2 bout ss]]/intersection_ss_Lden___surface[[#This Row],[Shape_Area]]</f>
        <v>7.9230739128224642E-4</v>
      </c>
      <c r="AL889">
        <v>1162</v>
      </c>
      <c r="AM889">
        <f>intersection_ss_Lden___surface[[#This Row],[Population totale 2024 ss]]*intersection_ss_Lden___surface[[#This Row],[Part de la surface du qs dans le noise contour]]</f>
        <v>0.92066118866997038</v>
      </c>
    </row>
    <row r="890" spans="1:39" x14ac:dyDescent="0.3">
      <c r="A890">
        <v>920</v>
      </c>
      <c r="B890" t="s">
        <v>1305</v>
      </c>
      <c r="C890" t="s">
        <v>1306</v>
      </c>
      <c r="D890" t="s">
        <v>1307</v>
      </c>
      <c r="E890" t="s">
        <v>1307</v>
      </c>
      <c r="F890" t="s">
        <v>1296</v>
      </c>
      <c r="G890" t="s">
        <v>1248</v>
      </c>
      <c r="H890" t="s">
        <v>1249</v>
      </c>
      <c r="I890" t="s">
        <v>1250</v>
      </c>
      <c r="J890" t="s">
        <v>36</v>
      </c>
      <c r="K890">
        <v>21018</v>
      </c>
      <c r="L890" t="s">
        <v>1251</v>
      </c>
      <c r="M890" t="s">
        <v>1252</v>
      </c>
      <c r="N890" t="s">
        <v>1252</v>
      </c>
      <c r="O890">
        <v>21000</v>
      </c>
      <c r="P890" t="s">
        <v>46</v>
      </c>
      <c r="Q890" t="s">
        <v>47</v>
      </c>
      <c r="R890" t="s">
        <v>48</v>
      </c>
      <c r="T890" t="s">
        <v>36</v>
      </c>
      <c r="U890" t="s">
        <v>36</v>
      </c>
      <c r="V890" t="s">
        <v>36</v>
      </c>
      <c r="W890">
        <v>4000</v>
      </c>
      <c r="X890" t="s">
        <v>49</v>
      </c>
      <c r="Y890" t="s">
        <v>50</v>
      </c>
      <c r="Z890" t="s">
        <v>51</v>
      </c>
      <c r="AA890" t="s">
        <v>37</v>
      </c>
      <c r="AB890" t="s">
        <v>52</v>
      </c>
      <c r="AC890" t="s">
        <v>53</v>
      </c>
      <c r="AD890" t="s">
        <v>54</v>
      </c>
      <c r="AE890">
        <v>14.627124717599999</v>
      </c>
      <c r="AF890">
        <v>1841</v>
      </c>
      <c r="AG890">
        <v>1841.36784416</v>
      </c>
      <c r="AH890">
        <v>146273.60338399999</v>
      </c>
      <c r="AI890">
        <v>54</v>
      </c>
      <c r="AJ890">
        <v>146171.82964481399</v>
      </c>
      <c r="AK890" s="1">
        <f>intersection_ss_Lden___surface[[#This Row],[surf m2 bout ss]]/intersection_ss_Lden___surface[[#This Row],[Shape_Area]]</f>
        <v>0.99930422347688519</v>
      </c>
      <c r="AL890">
        <v>1162</v>
      </c>
      <c r="AM890">
        <f>intersection_ss_Lden___surface[[#This Row],[Population totale 2024 ss]]*intersection_ss_Lden___surface[[#This Row],[Part de la surface du qs dans le noise contour]]</f>
        <v>1161.1915076801406</v>
      </c>
    </row>
    <row r="891" spans="1:39" x14ac:dyDescent="0.3">
      <c r="A891">
        <v>921</v>
      </c>
      <c r="B891" t="s">
        <v>1308</v>
      </c>
      <c r="C891" t="s">
        <v>1309</v>
      </c>
      <c r="D891" t="s">
        <v>1310</v>
      </c>
      <c r="E891" t="s">
        <v>1310</v>
      </c>
      <c r="F891" t="s">
        <v>1296</v>
      </c>
      <c r="G891" t="s">
        <v>1248</v>
      </c>
      <c r="H891" t="s">
        <v>1249</v>
      </c>
      <c r="I891" t="s">
        <v>1250</v>
      </c>
      <c r="J891" t="s">
        <v>36</v>
      </c>
      <c r="K891">
        <v>21018</v>
      </c>
      <c r="L891" t="s">
        <v>1251</v>
      </c>
      <c r="M891" t="s">
        <v>1252</v>
      </c>
      <c r="N891" t="s">
        <v>1252</v>
      </c>
      <c r="O891">
        <v>21000</v>
      </c>
      <c r="P891" t="s">
        <v>46</v>
      </c>
      <c r="Q891" t="s">
        <v>47</v>
      </c>
      <c r="R891" t="s">
        <v>48</v>
      </c>
      <c r="T891" t="s">
        <v>36</v>
      </c>
      <c r="U891" t="s">
        <v>36</v>
      </c>
      <c r="V891" t="s">
        <v>36</v>
      </c>
      <c r="W891">
        <v>4000</v>
      </c>
      <c r="X891" t="s">
        <v>49</v>
      </c>
      <c r="Y891" t="s">
        <v>50</v>
      </c>
      <c r="Z891" t="s">
        <v>51</v>
      </c>
      <c r="AA891" t="s">
        <v>37</v>
      </c>
      <c r="AB891" t="s">
        <v>52</v>
      </c>
      <c r="AC891" t="s">
        <v>53</v>
      </c>
      <c r="AD891" t="s">
        <v>54</v>
      </c>
      <c r="AE891">
        <v>11.4043631674</v>
      </c>
      <c r="AF891">
        <v>1409</v>
      </c>
      <c r="AG891">
        <v>1408.94639708</v>
      </c>
      <c r="AH891">
        <v>114045.46187</v>
      </c>
      <c r="AI891">
        <v>54</v>
      </c>
      <c r="AJ891">
        <v>114056.42388289599</v>
      </c>
      <c r="AK891" s="1">
        <f>intersection_ss_Lden___surface[[#This Row],[surf m2 bout ss]]/intersection_ss_Lden___surface[[#This Row],[Shape_Area]]</f>
        <v>1.000096119676454</v>
      </c>
      <c r="AL891">
        <v>1126</v>
      </c>
      <c r="AM891">
        <f>intersection_ss_Lden___surface[[#This Row],[Population totale 2024 ss]]*intersection_ss_Lden___surface[[#This Row],[Part de la surface du qs dans le noise contour]]</f>
        <v>1126.1082307556871</v>
      </c>
    </row>
    <row r="892" spans="1:39" x14ac:dyDescent="0.3">
      <c r="A892">
        <v>922</v>
      </c>
      <c r="B892" t="s">
        <v>1311</v>
      </c>
      <c r="C892" t="s">
        <v>694</v>
      </c>
      <c r="D892" t="s">
        <v>695</v>
      </c>
      <c r="E892" t="s">
        <v>695</v>
      </c>
      <c r="F892" t="s">
        <v>1296</v>
      </c>
      <c r="G892" t="s">
        <v>1248</v>
      </c>
      <c r="H892" t="s">
        <v>1249</v>
      </c>
      <c r="I892" t="s">
        <v>1250</v>
      </c>
      <c r="J892" t="s">
        <v>36</v>
      </c>
      <c r="K892">
        <v>21018</v>
      </c>
      <c r="L892" t="s">
        <v>1251</v>
      </c>
      <c r="M892" t="s">
        <v>1252</v>
      </c>
      <c r="N892" t="s">
        <v>1252</v>
      </c>
      <c r="O892">
        <v>21000</v>
      </c>
      <c r="P892" t="s">
        <v>46</v>
      </c>
      <c r="Q892" t="s">
        <v>47</v>
      </c>
      <c r="R892" t="s">
        <v>48</v>
      </c>
      <c r="T892" t="s">
        <v>36</v>
      </c>
      <c r="U892" t="s">
        <v>36</v>
      </c>
      <c r="V892" t="s">
        <v>36</v>
      </c>
      <c r="W892">
        <v>4000</v>
      </c>
      <c r="X892" t="s">
        <v>49</v>
      </c>
      <c r="Y892" t="s">
        <v>50</v>
      </c>
      <c r="Z892" t="s">
        <v>51</v>
      </c>
      <c r="AA892" t="s">
        <v>37</v>
      </c>
      <c r="AB892" t="s">
        <v>52</v>
      </c>
      <c r="AC892" t="s">
        <v>53</v>
      </c>
      <c r="AD892" t="s">
        <v>54</v>
      </c>
      <c r="AE892">
        <v>43.827884905300003</v>
      </c>
      <c r="AF892">
        <v>3000</v>
      </c>
      <c r="AG892">
        <v>2999.6431981000001</v>
      </c>
      <c r="AH892">
        <v>438285.92263300001</v>
      </c>
      <c r="AI892">
        <v>53</v>
      </c>
      <c r="AJ892">
        <v>87041.151053977199</v>
      </c>
      <c r="AK892" s="1">
        <f>intersection_ss_Lden___surface[[#This Row],[surf m2 bout ss]]/intersection_ss_Lden___surface[[#This Row],[Shape_Area]]</f>
        <v>0.19859444841640822</v>
      </c>
      <c r="AL892">
        <v>554</v>
      </c>
      <c r="AM892">
        <f>intersection_ss_Lden___surface[[#This Row],[Population totale 2024 ss]]*intersection_ss_Lden___surface[[#This Row],[Part de la surface du qs dans le noise contour]]</f>
        <v>110.02132442269016</v>
      </c>
    </row>
    <row r="893" spans="1:39" x14ac:dyDescent="0.3">
      <c r="A893">
        <v>923</v>
      </c>
      <c r="B893" t="s">
        <v>1311</v>
      </c>
      <c r="C893" t="s">
        <v>694</v>
      </c>
      <c r="D893" t="s">
        <v>695</v>
      </c>
      <c r="E893" t="s">
        <v>695</v>
      </c>
      <c r="F893" t="s">
        <v>1296</v>
      </c>
      <c r="G893" t="s">
        <v>1248</v>
      </c>
      <c r="H893" t="s">
        <v>1249</v>
      </c>
      <c r="I893" t="s">
        <v>1250</v>
      </c>
      <c r="J893" t="s">
        <v>36</v>
      </c>
      <c r="K893">
        <v>21018</v>
      </c>
      <c r="L893" t="s">
        <v>1251</v>
      </c>
      <c r="M893" t="s">
        <v>1252</v>
      </c>
      <c r="N893" t="s">
        <v>1252</v>
      </c>
      <c r="O893">
        <v>21000</v>
      </c>
      <c r="P893" t="s">
        <v>46</v>
      </c>
      <c r="Q893" t="s">
        <v>47</v>
      </c>
      <c r="R893" t="s">
        <v>48</v>
      </c>
      <c r="T893" t="s">
        <v>36</v>
      </c>
      <c r="U893" t="s">
        <v>36</v>
      </c>
      <c r="V893" t="s">
        <v>36</v>
      </c>
      <c r="W893">
        <v>4000</v>
      </c>
      <c r="X893" t="s">
        <v>49</v>
      </c>
      <c r="Y893" t="s">
        <v>50</v>
      </c>
      <c r="Z893" t="s">
        <v>51</v>
      </c>
      <c r="AA893" t="s">
        <v>37</v>
      </c>
      <c r="AB893" t="s">
        <v>52</v>
      </c>
      <c r="AC893" t="s">
        <v>53</v>
      </c>
      <c r="AD893" t="s">
        <v>54</v>
      </c>
      <c r="AE893">
        <v>43.827884905300003</v>
      </c>
      <c r="AF893">
        <v>3000</v>
      </c>
      <c r="AG893">
        <v>2999.6431981000001</v>
      </c>
      <c r="AH893">
        <v>438285.92263300001</v>
      </c>
      <c r="AI893">
        <v>54</v>
      </c>
      <c r="AJ893">
        <v>320988.26545677701</v>
      </c>
      <c r="AK893" s="1">
        <f>intersection_ss_Lden___surface[[#This Row],[surf m2 bout ss]]/intersection_ss_Lden___surface[[#This Row],[Shape_Area]]</f>
        <v>0.73237183509897363</v>
      </c>
      <c r="AL893">
        <v>554</v>
      </c>
      <c r="AM893">
        <f>intersection_ss_Lden___surface[[#This Row],[Population totale 2024 ss]]*intersection_ss_Lden___surface[[#This Row],[Part de la surface du qs dans le noise contour]]</f>
        <v>405.73399664483139</v>
      </c>
    </row>
    <row r="894" spans="1:39" x14ac:dyDescent="0.3">
      <c r="A894">
        <v>924</v>
      </c>
      <c r="B894" t="s">
        <v>1311</v>
      </c>
      <c r="C894" t="s">
        <v>694</v>
      </c>
      <c r="D894" t="s">
        <v>695</v>
      </c>
      <c r="E894" t="s">
        <v>695</v>
      </c>
      <c r="F894" t="s">
        <v>1296</v>
      </c>
      <c r="G894" t="s">
        <v>1248</v>
      </c>
      <c r="H894" t="s">
        <v>1249</v>
      </c>
      <c r="I894" t="s">
        <v>1250</v>
      </c>
      <c r="J894" t="s">
        <v>36</v>
      </c>
      <c r="K894">
        <v>21018</v>
      </c>
      <c r="L894" t="s">
        <v>1251</v>
      </c>
      <c r="M894" t="s">
        <v>1252</v>
      </c>
      <c r="N894" t="s">
        <v>1252</v>
      </c>
      <c r="O894">
        <v>21000</v>
      </c>
      <c r="P894" t="s">
        <v>46</v>
      </c>
      <c r="Q894" t="s">
        <v>47</v>
      </c>
      <c r="R894" t="s">
        <v>48</v>
      </c>
      <c r="T894" t="s">
        <v>36</v>
      </c>
      <c r="U894" t="s">
        <v>36</v>
      </c>
      <c r="V894" t="s">
        <v>36</v>
      </c>
      <c r="W894">
        <v>4000</v>
      </c>
      <c r="X894" t="s">
        <v>49</v>
      </c>
      <c r="Y894" t="s">
        <v>50</v>
      </c>
      <c r="Z894" t="s">
        <v>51</v>
      </c>
      <c r="AA894" t="s">
        <v>37</v>
      </c>
      <c r="AB894" t="s">
        <v>52</v>
      </c>
      <c r="AC894" t="s">
        <v>53</v>
      </c>
      <c r="AD894" t="s">
        <v>54</v>
      </c>
      <c r="AE894">
        <v>43.827884905300003</v>
      </c>
      <c r="AF894">
        <v>3000</v>
      </c>
      <c r="AG894">
        <v>2999.6431981000001</v>
      </c>
      <c r="AH894">
        <v>438285.92263300001</v>
      </c>
      <c r="AI894">
        <v>55</v>
      </c>
      <c r="AJ894">
        <v>30298.603083682199</v>
      </c>
      <c r="AK894" s="1">
        <f>intersection_ss_Lden___surface[[#This Row],[surf m2 bout ss]]/intersection_ss_Lden___surface[[#This Row],[Shape_Area]]</f>
        <v>6.9129765568703469E-2</v>
      </c>
      <c r="AL894">
        <v>554</v>
      </c>
      <c r="AM894">
        <f>intersection_ss_Lden___surface[[#This Row],[Population totale 2024 ss]]*intersection_ss_Lden___surface[[#This Row],[Part de la surface du qs dans le noise contour]]</f>
        <v>38.29789012506172</v>
      </c>
    </row>
    <row r="895" spans="1:39" x14ac:dyDescent="0.3">
      <c r="A895">
        <v>925</v>
      </c>
      <c r="B895" t="s">
        <v>1312</v>
      </c>
      <c r="C895" t="s">
        <v>1313</v>
      </c>
      <c r="D895" t="s">
        <v>1313</v>
      </c>
      <c r="E895" t="s">
        <v>1313</v>
      </c>
      <c r="F895" t="s">
        <v>1296</v>
      </c>
      <c r="G895" t="s">
        <v>1248</v>
      </c>
      <c r="H895" t="s">
        <v>1249</v>
      </c>
      <c r="I895" t="s">
        <v>1250</v>
      </c>
      <c r="J895" t="s">
        <v>36</v>
      </c>
      <c r="K895">
        <v>21018</v>
      </c>
      <c r="L895" t="s">
        <v>1251</v>
      </c>
      <c r="M895" t="s">
        <v>1252</v>
      </c>
      <c r="N895" t="s">
        <v>1252</v>
      </c>
      <c r="O895">
        <v>21000</v>
      </c>
      <c r="P895" t="s">
        <v>46</v>
      </c>
      <c r="Q895" t="s">
        <v>47</v>
      </c>
      <c r="R895" t="s">
        <v>48</v>
      </c>
      <c r="T895" t="s">
        <v>36</v>
      </c>
      <c r="U895" t="s">
        <v>36</v>
      </c>
      <c r="V895" t="s">
        <v>36</v>
      </c>
      <c r="W895">
        <v>4000</v>
      </c>
      <c r="X895" t="s">
        <v>49</v>
      </c>
      <c r="Y895" t="s">
        <v>50</v>
      </c>
      <c r="Z895" t="s">
        <v>51</v>
      </c>
      <c r="AA895" t="s">
        <v>37</v>
      </c>
      <c r="AB895" t="s">
        <v>52</v>
      </c>
      <c r="AC895" t="s">
        <v>53</v>
      </c>
      <c r="AD895" t="s">
        <v>54</v>
      </c>
      <c r="AE895">
        <v>37.5416201687</v>
      </c>
      <c r="AF895">
        <v>3991</v>
      </c>
      <c r="AG895">
        <v>3991.4154635499999</v>
      </c>
      <c r="AH895">
        <v>375422.26994899998</v>
      </c>
      <c r="AI895">
        <v>52</v>
      </c>
      <c r="AJ895">
        <v>8001.7302189893098</v>
      </c>
      <c r="AK895" s="1">
        <f>intersection_ss_Lden___surface[[#This Row],[surf m2 bout ss]]/intersection_ss_Lden___surface[[#This Row],[Shape_Area]]</f>
        <v>2.1313946612906906E-2</v>
      </c>
      <c r="AL895">
        <v>4349</v>
      </c>
      <c r="AM895">
        <f>intersection_ss_Lden___surface[[#This Row],[Population totale 2024 ss]]*intersection_ss_Lden___surface[[#This Row],[Part de la surface du qs dans le noise contour]]</f>
        <v>92.694353819532139</v>
      </c>
    </row>
    <row r="896" spans="1:39" x14ac:dyDescent="0.3">
      <c r="A896">
        <v>926</v>
      </c>
      <c r="B896" t="s">
        <v>1312</v>
      </c>
      <c r="C896" t="s">
        <v>1313</v>
      </c>
      <c r="D896" t="s">
        <v>1313</v>
      </c>
      <c r="E896" t="s">
        <v>1313</v>
      </c>
      <c r="F896" t="s">
        <v>1296</v>
      </c>
      <c r="G896" t="s">
        <v>1248</v>
      </c>
      <c r="H896" t="s">
        <v>1249</v>
      </c>
      <c r="I896" t="s">
        <v>1250</v>
      </c>
      <c r="J896" t="s">
        <v>36</v>
      </c>
      <c r="K896">
        <v>21018</v>
      </c>
      <c r="L896" t="s">
        <v>1251</v>
      </c>
      <c r="M896" t="s">
        <v>1252</v>
      </c>
      <c r="N896" t="s">
        <v>1252</v>
      </c>
      <c r="O896">
        <v>21000</v>
      </c>
      <c r="P896" t="s">
        <v>46</v>
      </c>
      <c r="Q896" t="s">
        <v>47</v>
      </c>
      <c r="R896" t="s">
        <v>48</v>
      </c>
      <c r="T896" t="s">
        <v>36</v>
      </c>
      <c r="U896" t="s">
        <v>36</v>
      </c>
      <c r="V896" t="s">
        <v>36</v>
      </c>
      <c r="W896">
        <v>4000</v>
      </c>
      <c r="X896" t="s">
        <v>49</v>
      </c>
      <c r="Y896" t="s">
        <v>50</v>
      </c>
      <c r="Z896" t="s">
        <v>51</v>
      </c>
      <c r="AA896" t="s">
        <v>37</v>
      </c>
      <c r="AB896" t="s">
        <v>52</v>
      </c>
      <c r="AC896" t="s">
        <v>53</v>
      </c>
      <c r="AD896" t="s">
        <v>54</v>
      </c>
      <c r="AE896">
        <v>37.5416201687</v>
      </c>
      <c r="AF896">
        <v>3991</v>
      </c>
      <c r="AG896">
        <v>3991.4154635499999</v>
      </c>
      <c r="AH896">
        <v>375422.26994899998</v>
      </c>
      <c r="AI896">
        <v>53</v>
      </c>
      <c r="AJ896">
        <v>217637.89869128299</v>
      </c>
      <c r="AK896" s="1">
        <f>intersection_ss_Lden___surface[[#This Row],[surf m2 bout ss]]/intersection_ss_Lden___surface[[#This Row],[Shape_Area]]</f>
        <v>0.57971493998171297</v>
      </c>
      <c r="AL896">
        <v>4349</v>
      </c>
      <c r="AM896">
        <f>intersection_ss_Lden___surface[[#This Row],[Population totale 2024 ss]]*intersection_ss_Lden___surface[[#This Row],[Part de la surface du qs dans le noise contour]]</f>
        <v>2521.1802739804698</v>
      </c>
    </row>
    <row r="897" spans="1:39" x14ac:dyDescent="0.3">
      <c r="A897">
        <v>927</v>
      </c>
      <c r="B897" t="s">
        <v>1312</v>
      </c>
      <c r="C897" t="s">
        <v>1313</v>
      </c>
      <c r="D897" t="s">
        <v>1313</v>
      </c>
      <c r="E897" t="s">
        <v>1313</v>
      </c>
      <c r="F897" t="s">
        <v>1296</v>
      </c>
      <c r="G897" t="s">
        <v>1248</v>
      </c>
      <c r="H897" t="s">
        <v>1249</v>
      </c>
      <c r="I897" t="s">
        <v>1250</v>
      </c>
      <c r="J897" t="s">
        <v>36</v>
      </c>
      <c r="K897">
        <v>21018</v>
      </c>
      <c r="L897" t="s">
        <v>1251</v>
      </c>
      <c r="M897" t="s">
        <v>1252</v>
      </c>
      <c r="N897" t="s">
        <v>1252</v>
      </c>
      <c r="O897">
        <v>21000</v>
      </c>
      <c r="P897" t="s">
        <v>46</v>
      </c>
      <c r="Q897" t="s">
        <v>47</v>
      </c>
      <c r="R897" t="s">
        <v>48</v>
      </c>
      <c r="T897" t="s">
        <v>36</v>
      </c>
      <c r="U897" t="s">
        <v>36</v>
      </c>
      <c r="V897" t="s">
        <v>36</v>
      </c>
      <c r="W897">
        <v>4000</v>
      </c>
      <c r="X897" t="s">
        <v>49</v>
      </c>
      <c r="Y897" t="s">
        <v>50</v>
      </c>
      <c r="Z897" t="s">
        <v>51</v>
      </c>
      <c r="AA897" t="s">
        <v>37</v>
      </c>
      <c r="AB897" t="s">
        <v>52</v>
      </c>
      <c r="AC897" t="s">
        <v>53</v>
      </c>
      <c r="AD897" t="s">
        <v>54</v>
      </c>
      <c r="AE897">
        <v>37.5416201687</v>
      </c>
      <c r="AF897">
        <v>3991</v>
      </c>
      <c r="AG897">
        <v>3991.4154635499999</v>
      </c>
      <c r="AH897">
        <v>375422.26994899998</v>
      </c>
      <c r="AI897">
        <v>54</v>
      </c>
      <c r="AJ897">
        <v>149818.98477072199</v>
      </c>
      <c r="AK897" s="1">
        <f>intersection_ss_Lden___surface[[#This Row],[surf m2 bout ss]]/intersection_ss_Lden___surface[[#This Row],[Shape_Area]]</f>
        <v>0.3990679210135149</v>
      </c>
      <c r="AL897">
        <v>4349</v>
      </c>
      <c r="AM897">
        <f>intersection_ss_Lden___surface[[#This Row],[Population totale 2024 ss]]*intersection_ss_Lden___surface[[#This Row],[Part de la surface du qs dans le noise contour]]</f>
        <v>1735.5463884877763</v>
      </c>
    </row>
    <row r="898" spans="1:39" x14ac:dyDescent="0.3">
      <c r="A898">
        <v>928</v>
      </c>
      <c r="B898" t="s">
        <v>1314</v>
      </c>
      <c r="C898" t="s">
        <v>1315</v>
      </c>
      <c r="D898" t="s">
        <v>1316</v>
      </c>
      <c r="E898" t="s">
        <v>1316</v>
      </c>
      <c r="F898" t="s">
        <v>1317</v>
      </c>
      <c r="G898" t="s">
        <v>1248</v>
      </c>
      <c r="H898" t="s">
        <v>1249</v>
      </c>
      <c r="I898" t="s">
        <v>1250</v>
      </c>
      <c r="J898" t="s">
        <v>36</v>
      </c>
      <c r="K898">
        <v>21018</v>
      </c>
      <c r="L898" t="s">
        <v>1251</v>
      </c>
      <c r="M898" t="s">
        <v>1252</v>
      </c>
      <c r="N898" t="s">
        <v>1252</v>
      </c>
      <c r="O898">
        <v>21000</v>
      </c>
      <c r="P898" t="s">
        <v>46</v>
      </c>
      <c r="Q898" t="s">
        <v>47</v>
      </c>
      <c r="R898" t="s">
        <v>48</v>
      </c>
      <c r="T898" t="s">
        <v>36</v>
      </c>
      <c r="U898" t="s">
        <v>36</v>
      </c>
      <c r="V898" t="s">
        <v>36</v>
      </c>
      <c r="W898">
        <v>4000</v>
      </c>
      <c r="X898" t="s">
        <v>49</v>
      </c>
      <c r="Y898" t="s">
        <v>50</v>
      </c>
      <c r="Z898" t="s">
        <v>51</v>
      </c>
      <c r="AA898" t="s">
        <v>37</v>
      </c>
      <c r="AB898" t="s">
        <v>52</v>
      </c>
      <c r="AC898" t="s">
        <v>53</v>
      </c>
      <c r="AD898" t="s">
        <v>54</v>
      </c>
      <c r="AE898">
        <v>6.9893356995399998</v>
      </c>
      <c r="AF898">
        <v>1261</v>
      </c>
      <c r="AG898">
        <v>1260.6790124300001</v>
      </c>
      <c r="AH898">
        <v>69894.497554300004</v>
      </c>
      <c r="AI898">
        <v>52</v>
      </c>
      <c r="AJ898">
        <v>69901.381559625297</v>
      </c>
      <c r="AK898" s="1">
        <f>intersection_ss_Lden___surface[[#This Row],[surf m2 bout ss]]/intersection_ss_Lden___surface[[#This Row],[Shape_Area]]</f>
        <v>1.0000984913772353</v>
      </c>
      <c r="AL898">
        <v>1660</v>
      </c>
      <c r="AM898">
        <f>intersection_ss_Lden___surface[[#This Row],[Population totale 2024 ss]]*intersection_ss_Lden___surface[[#This Row],[Part de la surface du qs dans le noise contour]]</f>
        <v>1660.1634956862106</v>
      </c>
    </row>
    <row r="899" spans="1:39" x14ac:dyDescent="0.3">
      <c r="A899">
        <v>929</v>
      </c>
      <c r="B899" t="s">
        <v>1318</v>
      </c>
      <c r="C899" t="s">
        <v>1319</v>
      </c>
      <c r="D899" t="s">
        <v>1319</v>
      </c>
      <c r="E899" t="s">
        <v>1319</v>
      </c>
      <c r="F899" t="s">
        <v>1317</v>
      </c>
      <c r="G899" t="s">
        <v>1248</v>
      </c>
      <c r="H899" t="s">
        <v>1249</v>
      </c>
      <c r="I899" t="s">
        <v>1250</v>
      </c>
      <c r="J899" t="s">
        <v>36</v>
      </c>
      <c r="K899">
        <v>21018</v>
      </c>
      <c r="L899" t="s">
        <v>1251</v>
      </c>
      <c r="M899" t="s">
        <v>1252</v>
      </c>
      <c r="N899" t="s">
        <v>1252</v>
      </c>
      <c r="O899">
        <v>21000</v>
      </c>
      <c r="P899" t="s">
        <v>46</v>
      </c>
      <c r="Q899" t="s">
        <v>47</v>
      </c>
      <c r="R899" t="s">
        <v>48</v>
      </c>
      <c r="T899" t="s">
        <v>36</v>
      </c>
      <c r="U899" t="s">
        <v>36</v>
      </c>
      <c r="V899" t="s">
        <v>36</v>
      </c>
      <c r="W899">
        <v>4000</v>
      </c>
      <c r="X899" t="s">
        <v>49</v>
      </c>
      <c r="Y899" t="s">
        <v>50</v>
      </c>
      <c r="Z899" t="s">
        <v>51</v>
      </c>
      <c r="AA899" t="s">
        <v>37</v>
      </c>
      <c r="AB899" t="s">
        <v>52</v>
      </c>
      <c r="AC899" t="s">
        <v>53</v>
      </c>
      <c r="AD899" t="s">
        <v>54</v>
      </c>
      <c r="AE899">
        <v>18.323399876100002</v>
      </c>
      <c r="AF899">
        <v>2869</v>
      </c>
      <c r="AG899">
        <v>2869.4698951300002</v>
      </c>
      <c r="AH899">
        <v>183236.97035300001</v>
      </c>
      <c r="AI899">
        <v>51</v>
      </c>
      <c r="AJ899">
        <v>56799.135839121001</v>
      </c>
      <c r="AK899" s="1">
        <f>intersection_ss_Lden___surface[[#This Row],[surf m2 bout ss]]/intersection_ss_Lden___surface[[#This Row],[Shape_Area]]</f>
        <v>0.3099763968466589</v>
      </c>
      <c r="AL899">
        <v>1310</v>
      </c>
      <c r="AM899">
        <f>intersection_ss_Lden___surface[[#This Row],[Population totale 2024 ss]]*intersection_ss_Lden___surface[[#This Row],[Part de la surface du qs dans le noise contour]]</f>
        <v>406.06907986912313</v>
      </c>
    </row>
    <row r="900" spans="1:39" x14ac:dyDescent="0.3">
      <c r="A900">
        <v>930</v>
      </c>
      <c r="B900" t="s">
        <v>1318</v>
      </c>
      <c r="C900" t="s">
        <v>1319</v>
      </c>
      <c r="D900" t="s">
        <v>1319</v>
      </c>
      <c r="E900" t="s">
        <v>1319</v>
      </c>
      <c r="F900" t="s">
        <v>1317</v>
      </c>
      <c r="G900" t="s">
        <v>1248</v>
      </c>
      <c r="H900" t="s">
        <v>1249</v>
      </c>
      <c r="I900" t="s">
        <v>1250</v>
      </c>
      <c r="J900" t="s">
        <v>36</v>
      </c>
      <c r="K900">
        <v>21018</v>
      </c>
      <c r="L900" t="s">
        <v>1251</v>
      </c>
      <c r="M900" t="s">
        <v>1252</v>
      </c>
      <c r="N900" t="s">
        <v>1252</v>
      </c>
      <c r="O900">
        <v>21000</v>
      </c>
      <c r="P900" t="s">
        <v>46</v>
      </c>
      <c r="Q900" t="s">
        <v>47</v>
      </c>
      <c r="R900" t="s">
        <v>48</v>
      </c>
      <c r="T900" t="s">
        <v>36</v>
      </c>
      <c r="U900" t="s">
        <v>36</v>
      </c>
      <c r="V900" t="s">
        <v>36</v>
      </c>
      <c r="W900">
        <v>4000</v>
      </c>
      <c r="X900" t="s">
        <v>49</v>
      </c>
      <c r="Y900" t="s">
        <v>50</v>
      </c>
      <c r="Z900" t="s">
        <v>51</v>
      </c>
      <c r="AA900" t="s">
        <v>37</v>
      </c>
      <c r="AB900" t="s">
        <v>52</v>
      </c>
      <c r="AC900" t="s">
        <v>53</v>
      </c>
      <c r="AD900" t="s">
        <v>54</v>
      </c>
      <c r="AE900">
        <v>18.323399876100002</v>
      </c>
      <c r="AF900">
        <v>2869</v>
      </c>
      <c r="AG900">
        <v>2869.4698951300002</v>
      </c>
      <c r="AH900">
        <v>183236.97035300001</v>
      </c>
      <c r="AI900">
        <v>52</v>
      </c>
      <c r="AJ900">
        <v>126455.943376925</v>
      </c>
      <c r="AK900" s="1">
        <f>intersection_ss_Lden___surface[[#This Row],[surf m2 bout ss]]/intersection_ss_Lden___surface[[#This Row],[Shape_Area]]</f>
        <v>0.69012243071532875</v>
      </c>
      <c r="AL900">
        <v>1310</v>
      </c>
      <c r="AM900">
        <f>intersection_ss_Lden___surface[[#This Row],[Population totale 2024 ss]]*intersection_ss_Lden___surface[[#This Row],[Part de la surface du qs dans le noise contour]]</f>
        <v>904.06038423708071</v>
      </c>
    </row>
    <row r="901" spans="1:39" x14ac:dyDescent="0.3">
      <c r="A901">
        <v>931</v>
      </c>
      <c r="B901" t="s">
        <v>1320</v>
      </c>
      <c r="C901" t="s">
        <v>1321</v>
      </c>
      <c r="D901" t="s">
        <v>1321</v>
      </c>
      <c r="E901" t="s">
        <v>1321</v>
      </c>
      <c r="F901" t="s">
        <v>1317</v>
      </c>
      <c r="G901" t="s">
        <v>1248</v>
      </c>
      <c r="H901" t="s">
        <v>1249</v>
      </c>
      <c r="I901" t="s">
        <v>1250</v>
      </c>
      <c r="J901" t="s">
        <v>36</v>
      </c>
      <c r="K901">
        <v>21018</v>
      </c>
      <c r="L901" t="s">
        <v>1251</v>
      </c>
      <c r="M901" t="s">
        <v>1252</v>
      </c>
      <c r="N901" t="s">
        <v>1252</v>
      </c>
      <c r="O901">
        <v>21000</v>
      </c>
      <c r="P901" t="s">
        <v>46</v>
      </c>
      <c r="Q901" t="s">
        <v>47</v>
      </c>
      <c r="R901" t="s">
        <v>48</v>
      </c>
      <c r="T901" t="s">
        <v>36</v>
      </c>
      <c r="U901" t="s">
        <v>36</v>
      </c>
      <c r="V901" t="s">
        <v>36</v>
      </c>
      <c r="W901">
        <v>4000</v>
      </c>
      <c r="X901" t="s">
        <v>49</v>
      </c>
      <c r="Y901" t="s">
        <v>50</v>
      </c>
      <c r="Z901" t="s">
        <v>51</v>
      </c>
      <c r="AA901" t="s">
        <v>37</v>
      </c>
      <c r="AB901" t="s">
        <v>52</v>
      </c>
      <c r="AC901" t="s">
        <v>53</v>
      </c>
      <c r="AD901" t="s">
        <v>54</v>
      </c>
      <c r="AE901">
        <v>14.8851342058</v>
      </c>
      <c r="AF901">
        <v>2324</v>
      </c>
      <c r="AG901">
        <v>2324.2476862899998</v>
      </c>
      <c r="AH901">
        <v>148853.725634</v>
      </c>
      <c r="AI901">
        <v>51</v>
      </c>
      <c r="AJ901">
        <v>27897.457817082301</v>
      </c>
      <c r="AK901" s="1">
        <f>intersection_ss_Lden___surface[[#This Row],[surf m2 bout ss]]/intersection_ss_Lden___surface[[#This Row],[Shape_Area]]</f>
        <v>0.18741524740654647</v>
      </c>
      <c r="AL901">
        <v>1156</v>
      </c>
      <c r="AM901">
        <f>intersection_ss_Lden___surface[[#This Row],[Population totale 2024 ss]]*intersection_ss_Lden___surface[[#This Row],[Part de la surface du qs dans le noise contour]]</f>
        <v>216.65202600196773</v>
      </c>
    </row>
    <row r="902" spans="1:39" x14ac:dyDescent="0.3">
      <c r="A902">
        <v>932</v>
      </c>
      <c r="B902" t="s">
        <v>1320</v>
      </c>
      <c r="C902" t="s">
        <v>1321</v>
      </c>
      <c r="D902" t="s">
        <v>1321</v>
      </c>
      <c r="E902" t="s">
        <v>1321</v>
      </c>
      <c r="F902" t="s">
        <v>1317</v>
      </c>
      <c r="G902" t="s">
        <v>1248</v>
      </c>
      <c r="H902" t="s">
        <v>1249</v>
      </c>
      <c r="I902" t="s">
        <v>1250</v>
      </c>
      <c r="J902" t="s">
        <v>36</v>
      </c>
      <c r="K902">
        <v>21018</v>
      </c>
      <c r="L902" t="s">
        <v>1251</v>
      </c>
      <c r="M902" t="s">
        <v>1252</v>
      </c>
      <c r="N902" t="s">
        <v>1252</v>
      </c>
      <c r="O902">
        <v>21000</v>
      </c>
      <c r="P902" t="s">
        <v>46</v>
      </c>
      <c r="Q902" t="s">
        <v>47</v>
      </c>
      <c r="R902" t="s">
        <v>48</v>
      </c>
      <c r="T902" t="s">
        <v>36</v>
      </c>
      <c r="U902" t="s">
        <v>36</v>
      </c>
      <c r="V902" t="s">
        <v>36</v>
      </c>
      <c r="W902">
        <v>4000</v>
      </c>
      <c r="X902" t="s">
        <v>49</v>
      </c>
      <c r="Y902" t="s">
        <v>50</v>
      </c>
      <c r="Z902" t="s">
        <v>51</v>
      </c>
      <c r="AA902" t="s">
        <v>37</v>
      </c>
      <c r="AB902" t="s">
        <v>52</v>
      </c>
      <c r="AC902" t="s">
        <v>53</v>
      </c>
      <c r="AD902" t="s">
        <v>54</v>
      </c>
      <c r="AE902">
        <v>14.8851342058</v>
      </c>
      <c r="AF902">
        <v>2324</v>
      </c>
      <c r="AG902">
        <v>2324.2476862899998</v>
      </c>
      <c r="AH902">
        <v>148853.725634</v>
      </c>
      <c r="AI902">
        <v>52</v>
      </c>
      <c r="AJ902">
        <v>113144.425207953</v>
      </c>
      <c r="AK902" s="1">
        <f>intersection_ss_Lden___surface[[#This Row],[surf m2 bout ss]]/intersection_ss_Lden___surface[[#This Row],[Shape_Area]]</f>
        <v>0.76010475872234018</v>
      </c>
      <c r="AL902">
        <v>1156</v>
      </c>
      <c r="AM902">
        <f>intersection_ss_Lden___surface[[#This Row],[Population totale 2024 ss]]*intersection_ss_Lden___surface[[#This Row],[Part de la surface du qs dans le noise contour]]</f>
        <v>878.68110108302528</v>
      </c>
    </row>
    <row r="903" spans="1:39" x14ac:dyDescent="0.3">
      <c r="A903">
        <v>933</v>
      </c>
      <c r="B903" t="s">
        <v>1320</v>
      </c>
      <c r="C903" t="s">
        <v>1321</v>
      </c>
      <c r="D903" t="s">
        <v>1321</v>
      </c>
      <c r="E903" t="s">
        <v>1321</v>
      </c>
      <c r="F903" t="s">
        <v>1317</v>
      </c>
      <c r="G903" t="s">
        <v>1248</v>
      </c>
      <c r="H903" t="s">
        <v>1249</v>
      </c>
      <c r="I903" t="s">
        <v>1250</v>
      </c>
      <c r="J903" t="s">
        <v>36</v>
      </c>
      <c r="K903">
        <v>21018</v>
      </c>
      <c r="L903" t="s">
        <v>1251</v>
      </c>
      <c r="M903" t="s">
        <v>1252</v>
      </c>
      <c r="N903" t="s">
        <v>1252</v>
      </c>
      <c r="O903">
        <v>21000</v>
      </c>
      <c r="P903" t="s">
        <v>46</v>
      </c>
      <c r="Q903" t="s">
        <v>47</v>
      </c>
      <c r="R903" t="s">
        <v>48</v>
      </c>
      <c r="T903" t="s">
        <v>36</v>
      </c>
      <c r="U903" t="s">
        <v>36</v>
      </c>
      <c r="V903" t="s">
        <v>36</v>
      </c>
      <c r="W903">
        <v>4000</v>
      </c>
      <c r="X903" t="s">
        <v>49</v>
      </c>
      <c r="Y903" t="s">
        <v>50</v>
      </c>
      <c r="Z903" t="s">
        <v>51</v>
      </c>
      <c r="AA903" t="s">
        <v>37</v>
      </c>
      <c r="AB903" t="s">
        <v>52</v>
      </c>
      <c r="AC903" t="s">
        <v>53</v>
      </c>
      <c r="AD903" t="s">
        <v>54</v>
      </c>
      <c r="AE903">
        <v>14.8851342058</v>
      </c>
      <c r="AF903">
        <v>2324</v>
      </c>
      <c r="AG903">
        <v>2324.2476862899998</v>
      </c>
      <c r="AH903">
        <v>148853.725634</v>
      </c>
      <c r="AI903">
        <v>53</v>
      </c>
      <c r="AJ903">
        <v>7826.4761866182098</v>
      </c>
      <c r="AK903" s="1">
        <f>intersection_ss_Lden___surface[[#This Row],[surf m2 bout ss]]/intersection_ss_Lden___surface[[#This Row],[Shape_Area]]</f>
        <v>5.2578302311773295E-2</v>
      </c>
      <c r="AL903">
        <v>1156</v>
      </c>
      <c r="AM903">
        <f>intersection_ss_Lden___surface[[#This Row],[Population totale 2024 ss]]*intersection_ss_Lden___surface[[#This Row],[Part de la surface du qs dans le noise contour]]</f>
        <v>60.780517472409926</v>
      </c>
    </row>
    <row r="904" spans="1:39" x14ac:dyDescent="0.3">
      <c r="A904">
        <v>934</v>
      </c>
      <c r="B904" t="s">
        <v>1322</v>
      </c>
      <c r="C904" t="s">
        <v>1323</v>
      </c>
      <c r="D904" t="s">
        <v>1324</v>
      </c>
      <c r="E904" t="s">
        <v>1324</v>
      </c>
      <c r="F904" t="s">
        <v>1325</v>
      </c>
      <c r="G904" t="s">
        <v>1248</v>
      </c>
      <c r="H904" t="s">
        <v>1249</v>
      </c>
      <c r="I904" t="s">
        <v>1250</v>
      </c>
      <c r="J904" t="s">
        <v>36</v>
      </c>
      <c r="K904">
        <v>21018</v>
      </c>
      <c r="L904" t="s">
        <v>1251</v>
      </c>
      <c r="M904" t="s">
        <v>1252</v>
      </c>
      <c r="N904" t="s">
        <v>1252</v>
      </c>
      <c r="O904">
        <v>21000</v>
      </c>
      <c r="P904" t="s">
        <v>46</v>
      </c>
      <c r="Q904" t="s">
        <v>47</v>
      </c>
      <c r="R904" t="s">
        <v>48</v>
      </c>
      <c r="T904" t="s">
        <v>36</v>
      </c>
      <c r="U904" t="s">
        <v>36</v>
      </c>
      <c r="V904" t="s">
        <v>36</v>
      </c>
      <c r="W904">
        <v>4000</v>
      </c>
      <c r="X904" t="s">
        <v>49</v>
      </c>
      <c r="Y904" t="s">
        <v>50</v>
      </c>
      <c r="Z904" t="s">
        <v>51</v>
      </c>
      <c r="AA904" t="s">
        <v>37</v>
      </c>
      <c r="AB904" t="s">
        <v>52</v>
      </c>
      <c r="AC904" t="s">
        <v>53</v>
      </c>
      <c r="AD904" t="s">
        <v>54</v>
      </c>
      <c r="AE904">
        <v>11.50437035</v>
      </c>
      <c r="AF904">
        <v>1654</v>
      </c>
      <c r="AG904">
        <v>1654.2379335200001</v>
      </c>
      <c r="AH904">
        <v>115045.539844</v>
      </c>
      <c r="AI904">
        <v>48</v>
      </c>
      <c r="AJ904">
        <v>52456.869477398701</v>
      </c>
      <c r="AK904" s="1">
        <f>intersection_ss_Lden___surface[[#This Row],[surf m2 bout ss]]/intersection_ss_Lden___surface[[#This Row],[Shape_Area]]</f>
        <v>0.45596612913920365</v>
      </c>
      <c r="AL904">
        <v>1706</v>
      </c>
      <c r="AM904">
        <f>intersection_ss_Lden___surface[[#This Row],[Population totale 2024 ss]]*intersection_ss_Lden___surface[[#This Row],[Part de la surface du qs dans le noise contour]]</f>
        <v>777.87821631148142</v>
      </c>
    </row>
    <row r="905" spans="1:39" x14ac:dyDescent="0.3">
      <c r="A905">
        <v>935</v>
      </c>
      <c r="B905" t="s">
        <v>1322</v>
      </c>
      <c r="C905" t="s">
        <v>1323</v>
      </c>
      <c r="D905" t="s">
        <v>1324</v>
      </c>
      <c r="E905" t="s">
        <v>1324</v>
      </c>
      <c r="F905" t="s">
        <v>1325</v>
      </c>
      <c r="G905" t="s">
        <v>1248</v>
      </c>
      <c r="H905" t="s">
        <v>1249</v>
      </c>
      <c r="I905" t="s">
        <v>1250</v>
      </c>
      <c r="J905" t="s">
        <v>36</v>
      </c>
      <c r="K905">
        <v>21018</v>
      </c>
      <c r="L905" t="s">
        <v>1251</v>
      </c>
      <c r="M905" t="s">
        <v>1252</v>
      </c>
      <c r="N905" t="s">
        <v>1252</v>
      </c>
      <c r="O905">
        <v>21000</v>
      </c>
      <c r="P905" t="s">
        <v>46</v>
      </c>
      <c r="Q905" t="s">
        <v>47</v>
      </c>
      <c r="R905" t="s">
        <v>48</v>
      </c>
      <c r="T905" t="s">
        <v>36</v>
      </c>
      <c r="U905" t="s">
        <v>36</v>
      </c>
      <c r="V905" t="s">
        <v>36</v>
      </c>
      <c r="W905">
        <v>4000</v>
      </c>
      <c r="X905" t="s">
        <v>49</v>
      </c>
      <c r="Y905" t="s">
        <v>50</v>
      </c>
      <c r="Z905" t="s">
        <v>51</v>
      </c>
      <c r="AA905" t="s">
        <v>37</v>
      </c>
      <c r="AB905" t="s">
        <v>52</v>
      </c>
      <c r="AC905" t="s">
        <v>53</v>
      </c>
      <c r="AD905" t="s">
        <v>54</v>
      </c>
      <c r="AE905">
        <v>11.50437035</v>
      </c>
      <c r="AF905">
        <v>1654</v>
      </c>
      <c r="AG905">
        <v>1654.2379335200001</v>
      </c>
      <c r="AH905">
        <v>115045.539844</v>
      </c>
      <c r="AI905">
        <v>49</v>
      </c>
      <c r="AJ905">
        <v>62600.183961404502</v>
      </c>
      <c r="AK905" s="1">
        <f>intersection_ss_Lden___surface[[#This Row],[surf m2 bout ss]]/intersection_ss_Lden___surface[[#This Row],[Shape_Area]]</f>
        <v>0.54413394944549265</v>
      </c>
      <c r="AL905">
        <v>1706</v>
      </c>
      <c r="AM905">
        <f>intersection_ss_Lden___surface[[#This Row],[Population totale 2024 ss]]*intersection_ss_Lden___surface[[#This Row],[Part de la surface du qs dans le noise contour]]</f>
        <v>928.29251775401042</v>
      </c>
    </row>
    <row r="906" spans="1:39" x14ac:dyDescent="0.3">
      <c r="A906">
        <v>936</v>
      </c>
      <c r="B906" t="s">
        <v>1326</v>
      </c>
      <c r="C906" t="s">
        <v>1327</v>
      </c>
      <c r="D906" t="s">
        <v>1328</v>
      </c>
      <c r="E906" t="s">
        <v>1328</v>
      </c>
      <c r="F906" t="s">
        <v>1329</v>
      </c>
      <c r="G906" t="s">
        <v>1248</v>
      </c>
      <c r="H906" t="s">
        <v>1249</v>
      </c>
      <c r="I906" t="s">
        <v>1250</v>
      </c>
      <c r="J906" t="s">
        <v>36</v>
      </c>
      <c r="K906">
        <v>21018</v>
      </c>
      <c r="L906" t="s">
        <v>1251</v>
      </c>
      <c r="M906" t="s">
        <v>1252</v>
      </c>
      <c r="N906" t="s">
        <v>1252</v>
      </c>
      <c r="O906">
        <v>21000</v>
      </c>
      <c r="P906" t="s">
        <v>46</v>
      </c>
      <c r="Q906" t="s">
        <v>47</v>
      </c>
      <c r="R906" t="s">
        <v>48</v>
      </c>
      <c r="T906" t="s">
        <v>36</v>
      </c>
      <c r="U906" t="s">
        <v>36</v>
      </c>
      <c r="V906" t="s">
        <v>36</v>
      </c>
      <c r="W906">
        <v>4000</v>
      </c>
      <c r="X906" t="s">
        <v>49</v>
      </c>
      <c r="Y906" t="s">
        <v>50</v>
      </c>
      <c r="Z906" t="s">
        <v>51</v>
      </c>
      <c r="AA906" t="s">
        <v>37</v>
      </c>
      <c r="AB906" t="s">
        <v>52</v>
      </c>
      <c r="AC906" t="s">
        <v>53</v>
      </c>
      <c r="AD906" t="s">
        <v>54</v>
      </c>
      <c r="AE906">
        <v>13.9222862657</v>
      </c>
      <c r="AF906">
        <v>1614</v>
      </c>
      <c r="AG906">
        <v>1614.1317827</v>
      </c>
      <c r="AH906">
        <v>139225.12716900001</v>
      </c>
      <c r="AI906">
        <v>51</v>
      </c>
      <c r="AJ906">
        <v>28191.013040529</v>
      </c>
      <c r="AK906" s="1">
        <f>intersection_ss_Lden___surface[[#This Row],[surf m2 bout ss]]/intersection_ss_Lden___surface[[#This Row],[Shape_Area]]</f>
        <v>0.20248509456420907</v>
      </c>
      <c r="AL906">
        <v>563</v>
      </c>
      <c r="AM906">
        <f>intersection_ss_Lden___surface[[#This Row],[Population totale 2024 ss]]*intersection_ss_Lden___surface[[#This Row],[Part de la surface du qs dans le noise contour]]</f>
        <v>113.99910823964971</v>
      </c>
    </row>
    <row r="907" spans="1:39" x14ac:dyDescent="0.3">
      <c r="A907">
        <v>937</v>
      </c>
      <c r="B907" t="s">
        <v>1326</v>
      </c>
      <c r="C907" t="s">
        <v>1327</v>
      </c>
      <c r="D907" t="s">
        <v>1328</v>
      </c>
      <c r="E907" t="s">
        <v>1328</v>
      </c>
      <c r="F907" t="s">
        <v>1329</v>
      </c>
      <c r="G907" t="s">
        <v>1248</v>
      </c>
      <c r="H907" t="s">
        <v>1249</v>
      </c>
      <c r="I907" t="s">
        <v>1250</v>
      </c>
      <c r="J907" t="s">
        <v>36</v>
      </c>
      <c r="K907">
        <v>21018</v>
      </c>
      <c r="L907" t="s">
        <v>1251</v>
      </c>
      <c r="M907" t="s">
        <v>1252</v>
      </c>
      <c r="N907" t="s">
        <v>1252</v>
      </c>
      <c r="O907">
        <v>21000</v>
      </c>
      <c r="P907" t="s">
        <v>46</v>
      </c>
      <c r="Q907" t="s">
        <v>47</v>
      </c>
      <c r="R907" t="s">
        <v>48</v>
      </c>
      <c r="T907" t="s">
        <v>36</v>
      </c>
      <c r="U907" t="s">
        <v>36</v>
      </c>
      <c r="V907" t="s">
        <v>36</v>
      </c>
      <c r="W907">
        <v>4000</v>
      </c>
      <c r="X907" t="s">
        <v>49</v>
      </c>
      <c r="Y907" t="s">
        <v>50</v>
      </c>
      <c r="Z907" t="s">
        <v>51</v>
      </c>
      <c r="AA907" t="s">
        <v>37</v>
      </c>
      <c r="AB907" t="s">
        <v>52</v>
      </c>
      <c r="AC907" t="s">
        <v>53</v>
      </c>
      <c r="AD907" t="s">
        <v>54</v>
      </c>
      <c r="AE907">
        <v>13.9222862657</v>
      </c>
      <c r="AF907">
        <v>1614</v>
      </c>
      <c r="AG907">
        <v>1614.1317827</v>
      </c>
      <c r="AH907">
        <v>139225.12716900001</v>
      </c>
      <c r="AI907">
        <v>52</v>
      </c>
      <c r="AJ907">
        <v>111047.750628801</v>
      </c>
      <c r="AK907" s="1">
        <f>intersection_ss_Lden___surface[[#This Row],[surf m2 bout ss]]/intersection_ss_Lden___surface[[#This Row],[Shape_Area]]</f>
        <v>0.79761285111993052</v>
      </c>
      <c r="AL907">
        <v>563</v>
      </c>
      <c r="AM907">
        <f>intersection_ss_Lden___surface[[#This Row],[Population totale 2024 ss]]*intersection_ss_Lden___surface[[#This Row],[Part de la surface du qs dans le noise contour]]</f>
        <v>449.05603518052089</v>
      </c>
    </row>
    <row r="908" spans="1:39" x14ac:dyDescent="0.3">
      <c r="A908">
        <v>938</v>
      </c>
      <c r="B908" t="s">
        <v>1330</v>
      </c>
      <c r="C908" t="s">
        <v>1331</v>
      </c>
      <c r="D908" t="s">
        <v>1332</v>
      </c>
      <c r="E908" t="s">
        <v>1332</v>
      </c>
      <c r="F908" t="s">
        <v>1329</v>
      </c>
      <c r="G908" t="s">
        <v>1248</v>
      </c>
      <c r="H908" t="s">
        <v>1249</v>
      </c>
      <c r="I908" t="s">
        <v>1250</v>
      </c>
      <c r="J908" t="s">
        <v>36</v>
      </c>
      <c r="K908">
        <v>21018</v>
      </c>
      <c r="L908" t="s">
        <v>1251</v>
      </c>
      <c r="M908" t="s">
        <v>1252</v>
      </c>
      <c r="N908" t="s">
        <v>1252</v>
      </c>
      <c r="O908">
        <v>21000</v>
      </c>
      <c r="P908" t="s">
        <v>46</v>
      </c>
      <c r="Q908" t="s">
        <v>47</v>
      </c>
      <c r="R908" t="s">
        <v>48</v>
      </c>
      <c r="T908" t="s">
        <v>36</v>
      </c>
      <c r="U908" t="s">
        <v>36</v>
      </c>
      <c r="V908" t="s">
        <v>36</v>
      </c>
      <c r="W908">
        <v>4000</v>
      </c>
      <c r="X908" t="s">
        <v>49</v>
      </c>
      <c r="Y908" t="s">
        <v>50</v>
      </c>
      <c r="Z908" t="s">
        <v>51</v>
      </c>
      <c r="AA908" t="s">
        <v>37</v>
      </c>
      <c r="AB908" t="s">
        <v>52</v>
      </c>
      <c r="AC908" t="s">
        <v>53</v>
      </c>
      <c r="AD908" t="s">
        <v>54</v>
      </c>
      <c r="AE908">
        <v>14.002681948199999</v>
      </c>
      <c r="AF908">
        <v>1790</v>
      </c>
      <c r="AG908">
        <v>1789.7538993799999</v>
      </c>
      <c r="AH908">
        <v>140029.070905</v>
      </c>
      <c r="AI908">
        <v>50</v>
      </c>
      <c r="AJ908">
        <v>28705.049995862399</v>
      </c>
      <c r="AK908" s="1">
        <f>intersection_ss_Lden___surface[[#This Row],[surf m2 bout ss]]/intersection_ss_Lden___surface[[#This Row],[Shape_Area]]</f>
        <v>0.20499350463688201</v>
      </c>
      <c r="AL908">
        <v>1995</v>
      </c>
      <c r="AM908">
        <f>intersection_ss_Lden___surface[[#This Row],[Population totale 2024 ss]]*intersection_ss_Lden___surface[[#This Row],[Part de la surface du qs dans le noise contour]]</f>
        <v>408.9620417505796</v>
      </c>
    </row>
    <row r="909" spans="1:39" x14ac:dyDescent="0.3">
      <c r="A909">
        <v>939</v>
      </c>
      <c r="B909" t="s">
        <v>1330</v>
      </c>
      <c r="C909" t="s">
        <v>1331</v>
      </c>
      <c r="D909" t="s">
        <v>1332</v>
      </c>
      <c r="E909" t="s">
        <v>1332</v>
      </c>
      <c r="F909" t="s">
        <v>1329</v>
      </c>
      <c r="G909" t="s">
        <v>1248</v>
      </c>
      <c r="H909" t="s">
        <v>1249</v>
      </c>
      <c r="I909" t="s">
        <v>1250</v>
      </c>
      <c r="J909" t="s">
        <v>36</v>
      </c>
      <c r="K909">
        <v>21018</v>
      </c>
      <c r="L909" t="s">
        <v>1251</v>
      </c>
      <c r="M909" t="s">
        <v>1252</v>
      </c>
      <c r="N909" t="s">
        <v>1252</v>
      </c>
      <c r="O909">
        <v>21000</v>
      </c>
      <c r="P909" t="s">
        <v>46</v>
      </c>
      <c r="Q909" t="s">
        <v>47</v>
      </c>
      <c r="R909" t="s">
        <v>48</v>
      </c>
      <c r="T909" t="s">
        <v>36</v>
      </c>
      <c r="U909" t="s">
        <v>36</v>
      </c>
      <c r="V909" t="s">
        <v>36</v>
      </c>
      <c r="W909">
        <v>4000</v>
      </c>
      <c r="X909" t="s">
        <v>49</v>
      </c>
      <c r="Y909" t="s">
        <v>50</v>
      </c>
      <c r="Z909" t="s">
        <v>51</v>
      </c>
      <c r="AA909" t="s">
        <v>37</v>
      </c>
      <c r="AB909" t="s">
        <v>52</v>
      </c>
      <c r="AC909" t="s">
        <v>53</v>
      </c>
      <c r="AD909" t="s">
        <v>54</v>
      </c>
      <c r="AE909">
        <v>14.002681948199999</v>
      </c>
      <c r="AF909">
        <v>1790</v>
      </c>
      <c r="AG909">
        <v>1789.7538993799999</v>
      </c>
      <c r="AH909">
        <v>140029.070905</v>
      </c>
      <c r="AI909">
        <v>51</v>
      </c>
      <c r="AJ909">
        <v>111337.795602154</v>
      </c>
      <c r="AK909" s="1">
        <f>intersection_ss_Lden___surface[[#This Row],[surf m2 bout ss]]/intersection_ss_Lden___surface[[#This Row],[Shape_Area]]</f>
        <v>0.79510486560100768</v>
      </c>
      <c r="AL909">
        <v>1995</v>
      </c>
      <c r="AM909">
        <f>intersection_ss_Lden___surface[[#This Row],[Population totale 2024 ss]]*intersection_ss_Lden___surface[[#This Row],[Part de la surface du qs dans le noise contour]]</f>
        <v>1586.2342068740104</v>
      </c>
    </row>
    <row r="910" spans="1:39" x14ac:dyDescent="0.3">
      <c r="A910">
        <v>940</v>
      </c>
      <c r="B910" t="s">
        <v>1333</v>
      </c>
      <c r="C910" t="s">
        <v>1334</v>
      </c>
      <c r="D910" t="s">
        <v>1335</v>
      </c>
      <c r="E910" t="s">
        <v>1335</v>
      </c>
      <c r="F910" t="s">
        <v>1329</v>
      </c>
      <c r="G910" t="s">
        <v>1248</v>
      </c>
      <c r="H910" t="s">
        <v>1249</v>
      </c>
      <c r="I910" t="s">
        <v>1250</v>
      </c>
      <c r="J910" t="s">
        <v>36</v>
      </c>
      <c r="K910">
        <v>21018</v>
      </c>
      <c r="L910" t="s">
        <v>1251</v>
      </c>
      <c r="M910" t="s">
        <v>1252</v>
      </c>
      <c r="N910" t="s">
        <v>1252</v>
      </c>
      <c r="O910">
        <v>21000</v>
      </c>
      <c r="P910" t="s">
        <v>46</v>
      </c>
      <c r="Q910" t="s">
        <v>47</v>
      </c>
      <c r="R910" t="s">
        <v>48</v>
      </c>
      <c r="T910" t="s">
        <v>36</v>
      </c>
      <c r="U910" t="s">
        <v>36</v>
      </c>
      <c r="V910" t="s">
        <v>36</v>
      </c>
      <c r="W910">
        <v>4000</v>
      </c>
      <c r="X910" t="s">
        <v>49</v>
      </c>
      <c r="Y910" t="s">
        <v>50</v>
      </c>
      <c r="Z910" t="s">
        <v>51</v>
      </c>
      <c r="AA910" t="s">
        <v>37</v>
      </c>
      <c r="AB910" t="s">
        <v>52</v>
      </c>
      <c r="AC910" t="s">
        <v>53</v>
      </c>
      <c r="AD910" t="s">
        <v>54</v>
      </c>
      <c r="AE910">
        <v>22.106276885100002</v>
      </c>
      <c r="AF910">
        <v>2127</v>
      </c>
      <c r="AG910">
        <v>2126.77129268</v>
      </c>
      <c r="AH910">
        <v>221066.32917700001</v>
      </c>
      <c r="AI910">
        <v>49</v>
      </c>
      <c r="AJ910">
        <v>10705.373440957601</v>
      </c>
      <c r="AK910" s="1">
        <f>intersection_ss_Lden___surface[[#This Row],[surf m2 bout ss]]/intersection_ss_Lden___surface[[#This Row],[Shape_Area]]</f>
        <v>4.8426069591023906E-2</v>
      </c>
      <c r="AL910">
        <v>3574</v>
      </c>
      <c r="AM910">
        <f>intersection_ss_Lden___surface[[#This Row],[Population totale 2024 ss]]*intersection_ss_Lden___surface[[#This Row],[Part de la surface du qs dans le noise contour]]</f>
        <v>173.07477271831945</v>
      </c>
    </row>
    <row r="911" spans="1:39" x14ac:dyDescent="0.3">
      <c r="A911">
        <v>941</v>
      </c>
      <c r="B911" t="s">
        <v>1333</v>
      </c>
      <c r="C911" t="s">
        <v>1334</v>
      </c>
      <c r="D911" t="s">
        <v>1335</v>
      </c>
      <c r="E911" t="s">
        <v>1335</v>
      </c>
      <c r="F911" t="s">
        <v>1329</v>
      </c>
      <c r="G911" t="s">
        <v>1248</v>
      </c>
      <c r="H911" t="s">
        <v>1249</v>
      </c>
      <c r="I911" t="s">
        <v>1250</v>
      </c>
      <c r="J911" t="s">
        <v>36</v>
      </c>
      <c r="K911">
        <v>21018</v>
      </c>
      <c r="L911" t="s">
        <v>1251</v>
      </c>
      <c r="M911" t="s">
        <v>1252</v>
      </c>
      <c r="N911" t="s">
        <v>1252</v>
      </c>
      <c r="O911">
        <v>21000</v>
      </c>
      <c r="P911" t="s">
        <v>46</v>
      </c>
      <c r="Q911" t="s">
        <v>47</v>
      </c>
      <c r="R911" t="s">
        <v>48</v>
      </c>
      <c r="T911" t="s">
        <v>36</v>
      </c>
      <c r="U911" t="s">
        <v>36</v>
      </c>
      <c r="V911" t="s">
        <v>36</v>
      </c>
      <c r="W911">
        <v>4000</v>
      </c>
      <c r="X911" t="s">
        <v>49</v>
      </c>
      <c r="Y911" t="s">
        <v>50</v>
      </c>
      <c r="Z911" t="s">
        <v>51</v>
      </c>
      <c r="AA911" t="s">
        <v>37</v>
      </c>
      <c r="AB911" t="s">
        <v>52</v>
      </c>
      <c r="AC911" t="s">
        <v>53</v>
      </c>
      <c r="AD911" t="s">
        <v>54</v>
      </c>
      <c r="AE911">
        <v>22.106276885100002</v>
      </c>
      <c r="AF911">
        <v>2127</v>
      </c>
      <c r="AG911">
        <v>2126.77129268</v>
      </c>
      <c r="AH911">
        <v>221066.32917700001</v>
      </c>
      <c r="AI911">
        <v>50</v>
      </c>
      <c r="AJ911">
        <v>165160.44159636999</v>
      </c>
      <c r="AK911" s="1">
        <f>intersection_ss_Lden___surface[[#This Row],[surf m2 bout ss]]/intersection_ss_Lden___surface[[#This Row],[Shape_Area]]</f>
        <v>0.74710808385537475</v>
      </c>
      <c r="AL911">
        <v>3574</v>
      </c>
      <c r="AM911">
        <f>intersection_ss_Lden___surface[[#This Row],[Population totale 2024 ss]]*intersection_ss_Lden___surface[[#This Row],[Part de la surface du qs dans le noise contour]]</f>
        <v>2670.1642916991095</v>
      </c>
    </row>
    <row r="912" spans="1:39" x14ac:dyDescent="0.3">
      <c r="A912">
        <v>942</v>
      </c>
      <c r="B912" t="s">
        <v>1333</v>
      </c>
      <c r="C912" t="s">
        <v>1334</v>
      </c>
      <c r="D912" t="s">
        <v>1335</v>
      </c>
      <c r="E912" t="s">
        <v>1335</v>
      </c>
      <c r="F912" t="s">
        <v>1329</v>
      </c>
      <c r="G912" t="s">
        <v>1248</v>
      </c>
      <c r="H912" t="s">
        <v>1249</v>
      </c>
      <c r="I912" t="s">
        <v>1250</v>
      </c>
      <c r="J912" t="s">
        <v>36</v>
      </c>
      <c r="K912">
        <v>21018</v>
      </c>
      <c r="L912" t="s">
        <v>1251</v>
      </c>
      <c r="M912" t="s">
        <v>1252</v>
      </c>
      <c r="N912" t="s">
        <v>1252</v>
      </c>
      <c r="O912">
        <v>21000</v>
      </c>
      <c r="P912" t="s">
        <v>46</v>
      </c>
      <c r="Q912" t="s">
        <v>47</v>
      </c>
      <c r="R912" t="s">
        <v>48</v>
      </c>
      <c r="T912" t="s">
        <v>36</v>
      </c>
      <c r="U912" t="s">
        <v>36</v>
      </c>
      <c r="V912" t="s">
        <v>36</v>
      </c>
      <c r="W912">
        <v>4000</v>
      </c>
      <c r="X912" t="s">
        <v>49</v>
      </c>
      <c r="Y912" t="s">
        <v>50</v>
      </c>
      <c r="Z912" t="s">
        <v>51</v>
      </c>
      <c r="AA912" t="s">
        <v>37</v>
      </c>
      <c r="AB912" t="s">
        <v>52</v>
      </c>
      <c r="AC912" t="s">
        <v>53</v>
      </c>
      <c r="AD912" t="s">
        <v>54</v>
      </c>
      <c r="AE912">
        <v>22.106276885100002</v>
      </c>
      <c r="AF912">
        <v>2127</v>
      </c>
      <c r="AG912">
        <v>2126.77129268</v>
      </c>
      <c r="AH912">
        <v>221066.32917700001</v>
      </c>
      <c r="AI912">
        <v>51</v>
      </c>
      <c r="AJ912">
        <v>45222.2410205696</v>
      </c>
      <c r="AK912" s="1">
        <f>intersection_ss_Lden___surface[[#This Row],[surf m2 bout ss]]/intersection_ss_Lden___surface[[#This Row],[Shape_Area]]</f>
        <v>0.20456412873423951</v>
      </c>
      <c r="AL912">
        <v>3574</v>
      </c>
      <c r="AM912">
        <f>intersection_ss_Lden___surface[[#This Row],[Population totale 2024 ss]]*intersection_ss_Lden___surface[[#This Row],[Part de la surface du qs dans le noise contour]]</f>
        <v>731.11219609617206</v>
      </c>
    </row>
    <row r="913" spans="1:39" x14ac:dyDescent="0.3">
      <c r="A913">
        <v>943</v>
      </c>
      <c r="B913" t="s">
        <v>1336</v>
      </c>
      <c r="C913" t="s">
        <v>1337</v>
      </c>
      <c r="D913" t="s">
        <v>1338</v>
      </c>
      <c r="E913" t="s">
        <v>1338</v>
      </c>
      <c r="F913" t="s">
        <v>1329</v>
      </c>
      <c r="G913" t="s">
        <v>1248</v>
      </c>
      <c r="H913" t="s">
        <v>1249</v>
      </c>
      <c r="I913" t="s">
        <v>1250</v>
      </c>
      <c r="J913" t="s">
        <v>36</v>
      </c>
      <c r="K913">
        <v>21018</v>
      </c>
      <c r="L913" t="s">
        <v>1251</v>
      </c>
      <c r="M913" t="s">
        <v>1252</v>
      </c>
      <c r="N913" t="s">
        <v>1252</v>
      </c>
      <c r="O913">
        <v>21000</v>
      </c>
      <c r="P913" t="s">
        <v>46</v>
      </c>
      <c r="Q913" t="s">
        <v>47</v>
      </c>
      <c r="R913" t="s">
        <v>48</v>
      </c>
      <c r="T913" t="s">
        <v>36</v>
      </c>
      <c r="U913" t="s">
        <v>36</v>
      </c>
      <c r="V913" t="s">
        <v>36</v>
      </c>
      <c r="W913">
        <v>4000</v>
      </c>
      <c r="X913" t="s">
        <v>49</v>
      </c>
      <c r="Y913" t="s">
        <v>50</v>
      </c>
      <c r="Z913" t="s">
        <v>51</v>
      </c>
      <c r="AA913" t="s">
        <v>37</v>
      </c>
      <c r="AB913" t="s">
        <v>52</v>
      </c>
      <c r="AC913" t="s">
        <v>53</v>
      </c>
      <c r="AD913" t="s">
        <v>54</v>
      </c>
      <c r="AE913">
        <v>35.141958876399997</v>
      </c>
      <c r="AF913">
        <v>2559</v>
      </c>
      <c r="AG913">
        <v>2558.5240081699999</v>
      </c>
      <c r="AH913">
        <v>351425.24032899999</v>
      </c>
      <c r="AI913">
        <v>50</v>
      </c>
      <c r="AJ913">
        <v>517.56677975390301</v>
      </c>
      <c r="AK913" s="1">
        <f>intersection_ss_Lden___surface[[#This Row],[surf m2 bout ss]]/intersection_ss_Lden___surface[[#This Row],[Shape_Area]]</f>
        <v>1.4727649592538184E-3</v>
      </c>
      <c r="AL913">
        <v>2095</v>
      </c>
      <c r="AM913">
        <f>intersection_ss_Lden___surface[[#This Row],[Population totale 2024 ss]]*intersection_ss_Lden___surface[[#This Row],[Part de la surface du qs dans le noise contour]]</f>
        <v>3.0854425896367497</v>
      </c>
    </row>
    <row r="914" spans="1:39" x14ac:dyDescent="0.3">
      <c r="A914">
        <v>944</v>
      </c>
      <c r="B914" t="s">
        <v>1336</v>
      </c>
      <c r="C914" t="s">
        <v>1337</v>
      </c>
      <c r="D914" t="s">
        <v>1338</v>
      </c>
      <c r="E914" t="s">
        <v>1338</v>
      </c>
      <c r="F914" t="s">
        <v>1329</v>
      </c>
      <c r="G914" t="s">
        <v>1248</v>
      </c>
      <c r="H914" t="s">
        <v>1249</v>
      </c>
      <c r="I914" t="s">
        <v>1250</v>
      </c>
      <c r="J914" t="s">
        <v>36</v>
      </c>
      <c r="K914">
        <v>21018</v>
      </c>
      <c r="L914" t="s">
        <v>1251</v>
      </c>
      <c r="M914" t="s">
        <v>1252</v>
      </c>
      <c r="N914" t="s">
        <v>1252</v>
      </c>
      <c r="O914">
        <v>21000</v>
      </c>
      <c r="P914" t="s">
        <v>46</v>
      </c>
      <c r="Q914" t="s">
        <v>47</v>
      </c>
      <c r="R914" t="s">
        <v>48</v>
      </c>
      <c r="T914" t="s">
        <v>36</v>
      </c>
      <c r="U914" t="s">
        <v>36</v>
      </c>
      <c r="V914" t="s">
        <v>36</v>
      </c>
      <c r="W914">
        <v>4000</v>
      </c>
      <c r="X914" t="s">
        <v>49</v>
      </c>
      <c r="Y914" t="s">
        <v>50</v>
      </c>
      <c r="Z914" t="s">
        <v>51</v>
      </c>
      <c r="AA914" t="s">
        <v>37</v>
      </c>
      <c r="AB914" t="s">
        <v>52</v>
      </c>
      <c r="AC914" t="s">
        <v>53</v>
      </c>
      <c r="AD914" t="s">
        <v>54</v>
      </c>
      <c r="AE914">
        <v>35.141958876399997</v>
      </c>
      <c r="AF914">
        <v>2559</v>
      </c>
      <c r="AG914">
        <v>2558.5240081699999</v>
      </c>
      <c r="AH914">
        <v>351425.24032899999</v>
      </c>
      <c r="AI914">
        <v>51</v>
      </c>
      <c r="AJ914">
        <v>114024.858818268</v>
      </c>
      <c r="AK914" s="1">
        <f>intersection_ss_Lden___surface[[#This Row],[surf m2 bout ss]]/intersection_ss_Lden___surface[[#This Row],[Shape_Area]]</f>
        <v>0.32446405588716204</v>
      </c>
      <c r="AL914">
        <v>2095</v>
      </c>
      <c r="AM914">
        <f>intersection_ss_Lden___surface[[#This Row],[Population totale 2024 ss]]*intersection_ss_Lden___surface[[#This Row],[Part de la surface du qs dans le noise contour]]</f>
        <v>679.75219708360453</v>
      </c>
    </row>
    <row r="915" spans="1:39" x14ac:dyDescent="0.3">
      <c r="A915">
        <v>945</v>
      </c>
      <c r="B915" t="s">
        <v>1336</v>
      </c>
      <c r="C915" t="s">
        <v>1337</v>
      </c>
      <c r="D915" t="s">
        <v>1338</v>
      </c>
      <c r="E915" t="s">
        <v>1338</v>
      </c>
      <c r="F915" t="s">
        <v>1329</v>
      </c>
      <c r="G915" t="s">
        <v>1248</v>
      </c>
      <c r="H915" t="s">
        <v>1249</v>
      </c>
      <c r="I915" t="s">
        <v>1250</v>
      </c>
      <c r="J915" t="s">
        <v>36</v>
      </c>
      <c r="K915">
        <v>21018</v>
      </c>
      <c r="L915" t="s">
        <v>1251</v>
      </c>
      <c r="M915" t="s">
        <v>1252</v>
      </c>
      <c r="N915" t="s">
        <v>1252</v>
      </c>
      <c r="O915">
        <v>21000</v>
      </c>
      <c r="P915" t="s">
        <v>46</v>
      </c>
      <c r="Q915" t="s">
        <v>47</v>
      </c>
      <c r="R915" t="s">
        <v>48</v>
      </c>
      <c r="T915" t="s">
        <v>36</v>
      </c>
      <c r="U915" t="s">
        <v>36</v>
      </c>
      <c r="V915" t="s">
        <v>36</v>
      </c>
      <c r="W915">
        <v>4000</v>
      </c>
      <c r="X915" t="s">
        <v>49</v>
      </c>
      <c r="Y915" t="s">
        <v>50</v>
      </c>
      <c r="Z915" t="s">
        <v>51</v>
      </c>
      <c r="AA915" t="s">
        <v>37</v>
      </c>
      <c r="AB915" t="s">
        <v>52</v>
      </c>
      <c r="AC915" t="s">
        <v>53</v>
      </c>
      <c r="AD915" t="s">
        <v>54</v>
      </c>
      <c r="AE915">
        <v>35.141958876399997</v>
      </c>
      <c r="AF915">
        <v>2559</v>
      </c>
      <c r="AG915">
        <v>2558.5240081699999</v>
      </c>
      <c r="AH915">
        <v>351425.24032899999</v>
      </c>
      <c r="AI915">
        <v>52</v>
      </c>
      <c r="AJ915">
        <v>190579.03664959301</v>
      </c>
      <c r="AK915" s="1">
        <f>intersection_ss_Lden___surface[[#This Row],[surf m2 bout ss]]/intersection_ss_Lden___surface[[#This Row],[Shape_Area]]</f>
        <v>0.54230321211753385</v>
      </c>
      <c r="AL915">
        <v>2095</v>
      </c>
      <c r="AM915">
        <f>intersection_ss_Lden___surface[[#This Row],[Population totale 2024 ss]]*intersection_ss_Lden___surface[[#This Row],[Part de la surface du qs dans le noise contour]]</f>
        <v>1136.1252293862335</v>
      </c>
    </row>
    <row r="916" spans="1:39" x14ac:dyDescent="0.3">
      <c r="A916">
        <v>946</v>
      </c>
      <c r="B916" t="s">
        <v>1336</v>
      </c>
      <c r="C916" t="s">
        <v>1337</v>
      </c>
      <c r="D916" t="s">
        <v>1338</v>
      </c>
      <c r="E916" t="s">
        <v>1338</v>
      </c>
      <c r="F916" t="s">
        <v>1329</v>
      </c>
      <c r="G916" t="s">
        <v>1248</v>
      </c>
      <c r="H916" t="s">
        <v>1249</v>
      </c>
      <c r="I916" t="s">
        <v>1250</v>
      </c>
      <c r="J916" t="s">
        <v>36</v>
      </c>
      <c r="K916">
        <v>21018</v>
      </c>
      <c r="L916" t="s">
        <v>1251</v>
      </c>
      <c r="M916" t="s">
        <v>1252</v>
      </c>
      <c r="N916" t="s">
        <v>1252</v>
      </c>
      <c r="O916">
        <v>21000</v>
      </c>
      <c r="P916" t="s">
        <v>46</v>
      </c>
      <c r="Q916" t="s">
        <v>47</v>
      </c>
      <c r="R916" t="s">
        <v>48</v>
      </c>
      <c r="T916" t="s">
        <v>36</v>
      </c>
      <c r="U916" t="s">
        <v>36</v>
      </c>
      <c r="V916" t="s">
        <v>36</v>
      </c>
      <c r="W916">
        <v>4000</v>
      </c>
      <c r="X916" t="s">
        <v>49</v>
      </c>
      <c r="Y916" t="s">
        <v>50</v>
      </c>
      <c r="Z916" t="s">
        <v>51</v>
      </c>
      <c r="AA916" t="s">
        <v>37</v>
      </c>
      <c r="AB916" t="s">
        <v>52</v>
      </c>
      <c r="AC916" t="s">
        <v>53</v>
      </c>
      <c r="AD916" t="s">
        <v>54</v>
      </c>
      <c r="AE916">
        <v>35.141958876399997</v>
      </c>
      <c r="AF916">
        <v>2559</v>
      </c>
      <c r="AG916">
        <v>2558.5240081699999</v>
      </c>
      <c r="AH916">
        <v>351425.24032899999</v>
      </c>
      <c r="AI916">
        <v>53</v>
      </c>
      <c r="AJ916">
        <v>46338.0016279388</v>
      </c>
      <c r="AK916" s="1">
        <f>intersection_ss_Lden___surface[[#This Row],[surf m2 bout ss]]/intersection_ss_Lden___surface[[#This Row],[Shape_Area]]</f>
        <v>0.13185735203469656</v>
      </c>
      <c r="AL916">
        <v>2095</v>
      </c>
      <c r="AM916">
        <f>intersection_ss_Lden___surface[[#This Row],[Population totale 2024 ss]]*intersection_ss_Lden___surface[[#This Row],[Part de la surface du qs dans le noise contour]]</f>
        <v>276.24115251268933</v>
      </c>
    </row>
    <row r="917" spans="1:39" x14ac:dyDescent="0.3">
      <c r="A917">
        <v>947</v>
      </c>
      <c r="B917" t="s">
        <v>1339</v>
      </c>
      <c r="C917" t="s">
        <v>1340</v>
      </c>
      <c r="D917" t="s">
        <v>1341</v>
      </c>
      <c r="E917" t="s">
        <v>1341</v>
      </c>
      <c r="F917" t="s">
        <v>1329</v>
      </c>
      <c r="G917" t="s">
        <v>1248</v>
      </c>
      <c r="H917" t="s">
        <v>1249</v>
      </c>
      <c r="I917" t="s">
        <v>1250</v>
      </c>
      <c r="J917" t="s">
        <v>36</v>
      </c>
      <c r="K917">
        <v>21018</v>
      </c>
      <c r="L917" t="s">
        <v>1251</v>
      </c>
      <c r="M917" t="s">
        <v>1252</v>
      </c>
      <c r="N917" t="s">
        <v>1252</v>
      </c>
      <c r="O917">
        <v>21000</v>
      </c>
      <c r="P917" t="s">
        <v>46</v>
      </c>
      <c r="Q917" t="s">
        <v>47</v>
      </c>
      <c r="R917" t="s">
        <v>48</v>
      </c>
      <c r="T917" t="s">
        <v>36</v>
      </c>
      <c r="U917" t="s">
        <v>36</v>
      </c>
      <c r="V917" t="s">
        <v>36</v>
      </c>
      <c r="W917">
        <v>4000</v>
      </c>
      <c r="X917" t="s">
        <v>49</v>
      </c>
      <c r="Y917" t="s">
        <v>50</v>
      </c>
      <c r="Z917" t="s">
        <v>51</v>
      </c>
      <c r="AA917" t="s">
        <v>37</v>
      </c>
      <c r="AB917" t="s">
        <v>52</v>
      </c>
      <c r="AC917" t="s">
        <v>53</v>
      </c>
      <c r="AD917" t="s">
        <v>54</v>
      </c>
      <c r="AE917">
        <v>12.399104101200001</v>
      </c>
      <c r="AF917">
        <v>1636</v>
      </c>
      <c r="AG917">
        <v>1635.9210393799999</v>
      </c>
      <c r="AH917">
        <v>123993.040137</v>
      </c>
      <c r="AI917">
        <v>52</v>
      </c>
      <c r="AJ917">
        <v>45460.0593463611</v>
      </c>
      <c r="AK917" s="1">
        <f>intersection_ss_Lden___surface[[#This Row],[surf m2 bout ss]]/intersection_ss_Lden___surface[[#This Row],[Shape_Area]]</f>
        <v>0.36663396022980199</v>
      </c>
      <c r="AL917">
        <v>1942</v>
      </c>
      <c r="AM917">
        <f>intersection_ss_Lden___surface[[#This Row],[Population totale 2024 ss]]*intersection_ss_Lden___surface[[#This Row],[Part de la surface du qs dans le noise contour]]</f>
        <v>712.00315076627544</v>
      </c>
    </row>
    <row r="918" spans="1:39" x14ac:dyDescent="0.3">
      <c r="A918">
        <v>948</v>
      </c>
      <c r="B918" t="s">
        <v>1339</v>
      </c>
      <c r="C918" t="s">
        <v>1340</v>
      </c>
      <c r="D918" t="s">
        <v>1341</v>
      </c>
      <c r="E918" t="s">
        <v>1341</v>
      </c>
      <c r="F918" t="s">
        <v>1329</v>
      </c>
      <c r="G918" t="s">
        <v>1248</v>
      </c>
      <c r="H918" t="s">
        <v>1249</v>
      </c>
      <c r="I918" t="s">
        <v>1250</v>
      </c>
      <c r="J918" t="s">
        <v>36</v>
      </c>
      <c r="K918">
        <v>21018</v>
      </c>
      <c r="L918" t="s">
        <v>1251</v>
      </c>
      <c r="M918" t="s">
        <v>1252</v>
      </c>
      <c r="N918" t="s">
        <v>1252</v>
      </c>
      <c r="O918">
        <v>21000</v>
      </c>
      <c r="P918" t="s">
        <v>46</v>
      </c>
      <c r="Q918" t="s">
        <v>47</v>
      </c>
      <c r="R918" t="s">
        <v>48</v>
      </c>
      <c r="T918" t="s">
        <v>36</v>
      </c>
      <c r="U918" t="s">
        <v>36</v>
      </c>
      <c r="V918" t="s">
        <v>36</v>
      </c>
      <c r="W918">
        <v>4000</v>
      </c>
      <c r="X918" t="s">
        <v>49</v>
      </c>
      <c r="Y918" t="s">
        <v>50</v>
      </c>
      <c r="Z918" t="s">
        <v>51</v>
      </c>
      <c r="AA918" t="s">
        <v>37</v>
      </c>
      <c r="AB918" t="s">
        <v>52</v>
      </c>
      <c r="AC918" t="s">
        <v>53</v>
      </c>
      <c r="AD918" t="s">
        <v>54</v>
      </c>
      <c r="AE918">
        <v>12.399104101200001</v>
      </c>
      <c r="AF918">
        <v>1636</v>
      </c>
      <c r="AG918">
        <v>1635.9210393799999</v>
      </c>
      <c r="AH918">
        <v>123993.040137</v>
      </c>
      <c r="AI918">
        <v>53</v>
      </c>
      <c r="AJ918">
        <v>78545.043884320199</v>
      </c>
      <c r="AK918" s="1">
        <f>intersection_ss_Lden___surface[[#This Row],[surf m2 bout ss]]/intersection_ss_Lden___surface[[#This Row],[Shape_Area]]</f>
        <v>0.63346332824435725</v>
      </c>
      <c r="AL918">
        <v>1942</v>
      </c>
      <c r="AM918">
        <f>intersection_ss_Lden___surface[[#This Row],[Population totale 2024 ss]]*intersection_ss_Lden___surface[[#This Row],[Part de la surface du qs dans le noise contour]]</f>
        <v>1230.1857834505417</v>
      </c>
    </row>
    <row r="919" spans="1:39" x14ac:dyDescent="0.3">
      <c r="A919">
        <v>949</v>
      </c>
      <c r="B919" t="s">
        <v>1342</v>
      </c>
      <c r="C919" t="s">
        <v>1343</v>
      </c>
      <c r="D919" t="s">
        <v>1344</v>
      </c>
      <c r="E919" t="s">
        <v>1344</v>
      </c>
      <c r="F919" t="s">
        <v>1345</v>
      </c>
      <c r="G919" t="s">
        <v>1248</v>
      </c>
      <c r="H919" t="s">
        <v>1249</v>
      </c>
      <c r="I919" t="s">
        <v>1250</v>
      </c>
      <c r="J919" t="s">
        <v>36</v>
      </c>
      <c r="K919">
        <v>21018</v>
      </c>
      <c r="L919" t="s">
        <v>1251</v>
      </c>
      <c r="M919" t="s">
        <v>1252</v>
      </c>
      <c r="N919" t="s">
        <v>1252</v>
      </c>
      <c r="O919">
        <v>21000</v>
      </c>
      <c r="P919" t="s">
        <v>46</v>
      </c>
      <c r="Q919" t="s">
        <v>47</v>
      </c>
      <c r="R919" t="s">
        <v>48</v>
      </c>
      <c r="T919" t="s">
        <v>36</v>
      </c>
      <c r="U919" t="s">
        <v>36</v>
      </c>
      <c r="V919" t="s">
        <v>36</v>
      </c>
      <c r="W919">
        <v>4000</v>
      </c>
      <c r="X919" t="s">
        <v>49</v>
      </c>
      <c r="Y919" t="s">
        <v>50</v>
      </c>
      <c r="Z919" t="s">
        <v>51</v>
      </c>
      <c r="AA919" t="s">
        <v>37</v>
      </c>
      <c r="AB919" t="s">
        <v>52</v>
      </c>
      <c r="AC919" t="s">
        <v>53</v>
      </c>
      <c r="AD919" t="s">
        <v>54</v>
      </c>
      <c r="AE919">
        <v>22.094611553499998</v>
      </c>
      <c r="AF919">
        <v>2119</v>
      </c>
      <c r="AG919">
        <v>2118.61328228</v>
      </c>
      <c r="AH919">
        <v>220949.67823399999</v>
      </c>
      <c r="AI919">
        <v>46</v>
      </c>
      <c r="AJ919">
        <v>66915.370234633301</v>
      </c>
      <c r="AK919" s="1">
        <f>intersection_ss_Lden___surface[[#This Row],[surf m2 bout ss]]/intersection_ss_Lden___surface[[#This Row],[Shape_Area]]</f>
        <v>0.30285344051854918</v>
      </c>
      <c r="AL919">
        <v>2592</v>
      </c>
      <c r="AM919">
        <f>intersection_ss_Lden___surface[[#This Row],[Population totale 2024 ss]]*intersection_ss_Lden___surface[[#This Row],[Part de la surface du qs dans le noise contour]]</f>
        <v>784.99611782407942</v>
      </c>
    </row>
    <row r="920" spans="1:39" x14ac:dyDescent="0.3">
      <c r="A920">
        <v>950</v>
      </c>
      <c r="B920" t="s">
        <v>1342</v>
      </c>
      <c r="C920" t="s">
        <v>1343</v>
      </c>
      <c r="D920" t="s">
        <v>1344</v>
      </c>
      <c r="E920" t="s">
        <v>1344</v>
      </c>
      <c r="F920" t="s">
        <v>1345</v>
      </c>
      <c r="G920" t="s">
        <v>1248</v>
      </c>
      <c r="H920" t="s">
        <v>1249</v>
      </c>
      <c r="I920" t="s">
        <v>1250</v>
      </c>
      <c r="J920" t="s">
        <v>36</v>
      </c>
      <c r="K920">
        <v>21018</v>
      </c>
      <c r="L920" t="s">
        <v>1251</v>
      </c>
      <c r="M920" t="s">
        <v>1252</v>
      </c>
      <c r="N920" t="s">
        <v>1252</v>
      </c>
      <c r="O920">
        <v>21000</v>
      </c>
      <c r="P920" t="s">
        <v>46</v>
      </c>
      <c r="Q920" t="s">
        <v>47</v>
      </c>
      <c r="R920" t="s">
        <v>48</v>
      </c>
      <c r="T920" t="s">
        <v>36</v>
      </c>
      <c r="U920" t="s">
        <v>36</v>
      </c>
      <c r="V920" t="s">
        <v>36</v>
      </c>
      <c r="W920">
        <v>4000</v>
      </c>
      <c r="X920" t="s">
        <v>49</v>
      </c>
      <c r="Y920" t="s">
        <v>50</v>
      </c>
      <c r="Z920" t="s">
        <v>51</v>
      </c>
      <c r="AA920" t="s">
        <v>37</v>
      </c>
      <c r="AB920" t="s">
        <v>52</v>
      </c>
      <c r="AC920" t="s">
        <v>53</v>
      </c>
      <c r="AD920" t="s">
        <v>54</v>
      </c>
      <c r="AE920">
        <v>22.094611553499998</v>
      </c>
      <c r="AF920">
        <v>2119</v>
      </c>
      <c r="AG920">
        <v>2118.61328228</v>
      </c>
      <c r="AH920">
        <v>220949.67823399999</v>
      </c>
      <c r="AI920">
        <v>47</v>
      </c>
      <c r="AJ920">
        <v>141108.196350593</v>
      </c>
      <c r="AK920" s="1">
        <f>intersection_ss_Lden___surface[[#This Row],[surf m2 bout ss]]/intersection_ss_Lden___surface[[#This Row],[Shape_Area]]</f>
        <v>0.63864404546066056</v>
      </c>
      <c r="AL920">
        <v>2592</v>
      </c>
      <c r="AM920">
        <f>intersection_ss_Lden___surface[[#This Row],[Population totale 2024 ss]]*intersection_ss_Lden___surface[[#This Row],[Part de la surface du qs dans le noise contour]]</f>
        <v>1655.3653658340322</v>
      </c>
    </row>
    <row r="921" spans="1:39" x14ac:dyDescent="0.3">
      <c r="A921">
        <v>951</v>
      </c>
      <c r="B921" t="s">
        <v>1342</v>
      </c>
      <c r="C921" t="s">
        <v>1343</v>
      </c>
      <c r="D921" t="s">
        <v>1344</v>
      </c>
      <c r="E921" t="s">
        <v>1344</v>
      </c>
      <c r="F921" t="s">
        <v>1345</v>
      </c>
      <c r="G921" t="s">
        <v>1248</v>
      </c>
      <c r="H921" t="s">
        <v>1249</v>
      </c>
      <c r="I921" t="s">
        <v>1250</v>
      </c>
      <c r="J921" t="s">
        <v>36</v>
      </c>
      <c r="K921">
        <v>21018</v>
      </c>
      <c r="L921" t="s">
        <v>1251</v>
      </c>
      <c r="M921" t="s">
        <v>1252</v>
      </c>
      <c r="N921" t="s">
        <v>1252</v>
      </c>
      <c r="O921">
        <v>21000</v>
      </c>
      <c r="P921" t="s">
        <v>46</v>
      </c>
      <c r="Q921" t="s">
        <v>47</v>
      </c>
      <c r="R921" t="s">
        <v>48</v>
      </c>
      <c r="T921" t="s">
        <v>36</v>
      </c>
      <c r="U921" t="s">
        <v>36</v>
      </c>
      <c r="V921" t="s">
        <v>36</v>
      </c>
      <c r="W921">
        <v>4000</v>
      </c>
      <c r="X921" t="s">
        <v>49</v>
      </c>
      <c r="Y921" t="s">
        <v>50</v>
      </c>
      <c r="Z921" t="s">
        <v>51</v>
      </c>
      <c r="AA921" t="s">
        <v>37</v>
      </c>
      <c r="AB921" t="s">
        <v>52</v>
      </c>
      <c r="AC921" t="s">
        <v>53</v>
      </c>
      <c r="AD921" t="s">
        <v>54</v>
      </c>
      <c r="AE921">
        <v>22.094611553499998</v>
      </c>
      <c r="AF921">
        <v>2119</v>
      </c>
      <c r="AG921">
        <v>2118.61328228</v>
      </c>
      <c r="AH921">
        <v>220949.67823399999</v>
      </c>
      <c r="AI921">
        <v>48</v>
      </c>
      <c r="AJ921">
        <v>12948.121722571599</v>
      </c>
      <c r="AK921" s="1">
        <f>intersection_ss_Lden___surface[[#This Row],[surf m2 bout ss]]/intersection_ss_Lden___surface[[#This Row],[Shape_Area]]</f>
        <v>5.8602129797440582E-2</v>
      </c>
      <c r="AL921">
        <v>2592</v>
      </c>
      <c r="AM921">
        <f>intersection_ss_Lden___surface[[#This Row],[Population totale 2024 ss]]*intersection_ss_Lden___surface[[#This Row],[Part de la surface du qs dans le noise contour]]</f>
        <v>151.896720434966</v>
      </c>
    </row>
    <row r="922" spans="1:39" x14ac:dyDescent="0.3">
      <c r="A922">
        <v>952</v>
      </c>
      <c r="B922" t="s">
        <v>1346</v>
      </c>
      <c r="C922" t="s">
        <v>1347</v>
      </c>
      <c r="D922" t="s">
        <v>1348</v>
      </c>
      <c r="E922" t="s">
        <v>1348</v>
      </c>
      <c r="F922" t="s">
        <v>1349</v>
      </c>
      <c r="G922" t="s">
        <v>1248</v>
      </c>
      <c r="H922" t="s">
        <v>1249</v>
      </c>
      <c r="I922" t="s">
        <v>1250</v>
      </c>
      <c r="J922" t="s">
        <v>36</v>
      </c>
      <c r="K922">
        <v>21018</v>
      </c>
      <c r="L922" t="s">
        <v>1251</v>
      </c>
      <c r="M922" t="s">
        <v>1252</v>
      </c>
      <c r="N922" t="s">
        <v>1252</v>
      </c>
      <c r="O922">
        <v>21000</v>
      </c>
      <c r="P922" t="s">
        <v>46</v>
      </c>
      <c r="Q922" t="s">
        <v>47</v>
      </c>
      <c r="R922" t="s">
        <v>48</v>
      </c>
      <c r="T922" t="s">
        <v>36</v>
      </c>
      <c r="U922" t="s">
        <v>36</v>
      </c>
      <c r="V922" t="s">
        <v>36</v>
      </c>
      <c r="W922">
        <v>4000</v>
      </c>
      <c r="X922" t="s">
        <v>49</v>
      </c>
      <c r="Y922" t="s">
        <v>50</v>
      </c>
      <c r="Z922" t="s">
        <v>51</v>
      </c>
      <c r="AA922" t="s">
        <v>37</v>
      </c>
      <c r="AB922" t="s">
        <v>52</v>
      </c>
      <c r="AC922" t="s">
        <v>53</v>
      </c>
      <c r="AD922" t="s">
        <v>54</v>
      </c>
      <c r="AE922">
        <v>15.9004271885</v>
      </c>
      <c r="AF922">
        <v>2443</v>
      </c>
      <c r="AG922">
        <v>2442.6150367</v>
      </c>
      <c r="AH922">
        <v>159006.86215599999</v>
      </c>
      <c r="AI922">
        <v>52</v>
      </c>
      <c r="AJ922">
        <v>67797.860590696306</v>
      </c>
      <c r="AK922" s="1">
        <f>intersection_ss_Lden___surface[[#This Row],[surf m2 bout ss]]/intersection_ss_Lden___surface[[#This Row],[Shape_Area]]</f>
        <v>0.42638323699627834</v>
      </c>
      <c r="AL922">
        <v>678</v>
      </c>
      <c r="AM922">
        <f>intersection_ss_Lden___surface[[#This Row],[Population totale 2024 ss]]*intersection_ss_Lden___surface[[#This Row],[Part de la surface du qs dans le noise contour]]</f>
        <v>289.08783468347673</v>
      </c>
    </row>
    <row r="923" spans="1:39" x14ac:dyDescent="0.3">
      <c r="A923">
        <v>953</v>
      </c>
      <c r="B923" t="s">
        <v>1346</v>
      </c>
      <c r="C923" t="s">
        <v>1347</v>
      </c>
      <c r="D923" t="s">
        <v>1348</v>
      </c>
      <c r="E923" t="s">
        <v>1348</v>
      </c>
      <c r="F923" t="s">
        <v>1349</v>
      </c>
      <c r="G923" t="s">
        <v>1248</v>
      </c>
      <c r="H923" t="s">
        <v>1249</v>
      </c>
      <c r="I923" t="s">
        <v>1250</v>
      </c>
      <c r="J923" t="s">
        <v>36</v>
      </c>
      <c r="K923">
        <v>21018</v>
      </c>
      <c r="L923" t="s">
        <v>1251</v>
      </c>
      <c r="M923" t="s">
        <v>1252</v>
      </c>
      <c r="N923" t="s">
        <v>1252</v>
      </c>
      <c r="O923">
        <v>21000</v>
      </c>
      <c r="P923" t="s">
        <v>46</v>
      </c>
      <c r="Q923" t="s">
        <v>47</v>
      </c>
      <c r="R923" t="s">
        <v>48</v>
      </c>
      <c r="T923" t="s">
        <v>36</v>
      </c>
      <c r="U923" t="s">
        <v>36</v>
      </c>
      <c r="V923" t="s">
        <v>36</v>
      </c>
      <c r="W923">
        <v>4000</v>
      </c>
      <c r="X923" t="s">
        <v>49</v>
      </c>
      <c r="Y923" t="s">
        <v>50</v>
      </c>
      <c r="Z923" t="s">
        <v>51</v>
      </c>
      <c r="AA923" t="s">
        <v>37</v>
      </c>
      <c r="AB923" t="s">
        <v>52</v>
      </c>
      <c r="AC923" t="s">
        <v>53</v>
      </c>
      <c r="AD923" t="s">
        <v>54</v>
      </c>
      <c r="AE923">
        <v>15.9004271885</v>
      </c>
      <c r="AF923">
        <v>2443</v>
      </c>
      <c r="AG923">
        <v>2442.6150367</v>
      </c>
      <c r="AH923">
        <v>159006.86215599999</v>
      </c>
      <c r="AI923">
        <v>53</v>
      </c>
      <c r="AJ923">
        <v>91224.728808714106</v>
      </c>
      <c r="AK923" s="1">
        <f>intersection_ss_Lden___surface[[#This Row],[surf m2 bout ss]]/intersection_ss_Lden___surface[[#This Row],[Shape_Area]]</f>
        <v>0.57371567221554542</v>
      </c>
      <c r="AL923">
        <v>678</v>
      </c>
      <c r="AM923">
        <f>intersection_ss_Lden___surface[[#This Row],[Population totale 2024 ss]]*intersection_ss_Lden___surface[[#This Row],[Part de la surface du qs dans le noise contour]]</f>
        <v>388.97922576213978</v>
      </c>
    </row>
    <row r="924" spans="1:39" x14ac:dyDescent="0.3">
      <c r="A924">
        <v>954</v>
      </c>
      <c r="B924" t="s">
        <v>1350</v>
      </c>
      <c r="C924" t="s">
        <v>1351</v>
      </c>
      <c r="D924" t="s">
        <v>1352</v>
      </c>
      <c r="E924" t="s">
        <v>1352</v>
      </c>
      <c r="F924" t="s">
        <v>1349</v>
      </c>
      <c r="G924" t="s">
        <v>1248</v>
      </c>
      <c r="H924" t="s">
        <v>1249</v>
      </c>
      <c r="I924" t="s">
        <v>1250</v>
      </c>
      <c r="J924" t="s">
        <v>36</v>
      </c>
      <c r="K924">
        <v>21018</v>
      </c>
      <c r="L924" t="s">
        <v>1251</v>
      </c>
      <c r="M924" t="s">
        <v>1252</v>
      </c>
      <c r="N924" t="s">
        <v>1252</v>
      </c>
      <c r="O924">
        <v>21000</v>
      </c>
      <c r="P924" t="s">
        <v>46</v>
      </c>
      <c r="Q924" t="s">
        <v>47</v>
      </c>
      <c r="R924" t="s">
        <v>48</v>
      </c>
      <c r="T924" t="s">
        <v>36</v>
      </c>
      <c r="U924" t="s">
        <v>36</v>
      </c>
      <c r="V924" t="s">
        <v>36</v>
      </c>
      <c r="W924">
        <v>4000</v>
      </c>
      <c r="X924" t="s">
        <v>49</v>
      </c>
      <c r="Y924" t="s">
        <v>50</v>
      </c>
      <c r="Z924" t="s">
        <v>51</v>
      </c>
      <c r="AA924" t="s">
        <v>37</v>
      </c>
      <c r="AB924" t="s">
        <v>52</v>
      </c>
      <c r="AC924" t="s">
        <v>53</v>
      </c>
      <c r="AD924" t="s">
        <v>54</v>
      </c>
      <c r="AE924">
        <v>19.855177275799999</v>
      </c>
      <c r="AF924">
        <v>2070</v>
      </c>
      <c r="AG924">
        <v>2070.2779182200002</v>
      </c>
      <c r="AH924">
        <v>198554.95837000001</v>
      </c>
      <c r="AI924">
        <v>52</v>
      </c>
      <c r="AJ924">
        <v>167103.88786969701</v>
      </c>
      <c r="AK924" s="1">
        <f>intersection_ss_Lden___surface[[#This Row],[surf m2 bout ss]]/intersection_ss_Lden___surface[[#This Row],[Shape_Area]]</f>
        <v>0.84160017579769997</v>
      </c>
      <c r="AL924">
        <v>612</v>
      </c>
      <c r="AM924">
        <f>intersection_ss_Lden___surface[[#This Row],[Population totale 2024 ss]]*intersection_ss_Lden___surface[[#This Row],[Part de la surface du qs dans le noise contour]]</f>
        <v>515.05930758819238</v>
      </c>
    </row>
    <row r="925" spans="1:39" x14ac:dyDescent="0.3">
      <c r="A925">
        <v>955</v>
      </c>
      <c r="B925" t="s">
        <v>1350</v>
      </c>
      <c r="C925" t="s">
        <v>1351</v>
      </c>
      <c r="D925" t="s">
        <v>1352</v>
      </c>
      <c r="E925" t="s">
        <v>1352</v>
      </c>
      <c r="F925" t="s">
        <v>1349</v>
      </c>
      <c r="G925" t="s">
        <v>1248</v>
      </c>
      <c r="H925" t="s">
        <v>1249</v>
      </c>
      <c r="I925" t="s">
        <v>1250</v>
      </c>
      <c r="J925" t="s">
        <v>36</v>
      </c>
      <c r="K925">
        <v>21018</v>
      </c>
      <c r="L925" t="s">
        <v>1251</v>
      </c>
      <c r="M925" t="s">
        <v>1252</v>
      </c>
      <c r="N925" t="s">
        <v>1252</v>
      </c>
      <c r="O925">
        <v>21000</v>
      </c>
      <c r="P925" t="s">
        <v>46</v>
      </c>
      <c r="Q925" t="s">
        <v>47</v>
      </c>
      <c r="R925" t="s">
        <v>48</v>
      </c>
      <c r="T925" t="s">
        <v>36</v>
      </c>
      <c r="U925" t="s">
        <v>36</v>
      </c>
      <c r="V925" t="s">
        <v>36</v>
      </c>
      <c r="W925">
        <v>4000</v>
      </c>
      <c r="X925" t="s">
        <v>49</v>
      </c>
      <c r="Y925" t="s">
        <v>50</v>
      </c>
      <c r="Z925" t="s">
        <v>51</v>
      </c>
      <c r="AA925" t="s">
        <v>37</v>
      </c>
      <c r="AB925" t="s">
        <v>52</v>
      </c>
      <c r="AC925" t="s">
        <v>53</v>
      </c>
      <c r="AD925" t="s">
        <v>54</v>
      </c>
      <c r="AE925">
        <v>19.855177275799999</v>
      </c>
      <c r="AF925">
        <v>2070</v>
      </c>
      <c r="AG925">
        <v>2070.2779182200002</v>
      </c>
      <c r="AH925">
        <v>198554.95837000001</v>
      </c>
      <c r="AI925">
        <v>53</v>
      </c>
      <c r="AJ925">
        <v>31470.693976864201</v>
      </c>
      <c r="AK925" s="1">
        <f>intersection_ss_Lden___surface[[#This Row],[surf m2 bout ss]]/intersection_ss_Lden___surface[[#This Row],[Shape_Area]]</f>
        <v>0.15849865566298121</v>
      </c>
      <c r="AL925">
        <v>612</v>
      </c>
      <c r="AM925">
        <f>intersection_ss_Lden___surface[[#This Row],[Population totale 2024 ss]]*intersection_ss_Lden___surface[[#This Row],[Part de la surface du qs dans le noise contour]]</f>
        <v>97.001177265744502</v>
      </c>
    </row>
    <row r="926" spans="1:39" x14ac:dyDescent="0.3">
      <c r="A926">
        <v>956</v>
      </c>
      <c r="B926" t="s">
        <v>1353</v>
      </c>
      <c r="C926" t="s">
        <v>1354</v>
      </c>
      <c r="D926" t="s">
        <v>1354</v>
      </c>
      <c r="E926" t="s">
        <v>1354</v>
      </c>
      <c r="F926" t="s">
        <v>1349</v>
      </c>
      <c r="G926" t="s">
        <v>1248</v>
      </c>
      <c r="H926" t="s">
        <v>1249</v>
      </c>
      <c r="I926" t="s">
        <v>1250</v>
      </c>
      <c r="J926" t="s">
        <v>36</v>
      </c>
      <c r="K926">
        <v>21018</v>
      </c>
      <c r="L926" t="s">
        <v>1251</v>
      </c>
      <c r="M926" t="s">
        <v>1252</v>
      </c>
      <c r="N926" t="s">
        <v>1252</v>
      </c>
      <c r="O926">
        <v>21000</v>
      </c>
      <c r="P926" t="s">
        <v>46</v>
      </c>
      <c r="Q926" t="s">
        <v>47</v>
      </c>
      <c r="R926" t="s">
        <v>48</v>
      </c>
      <c r="T926" t="s">
        <v>36</v>
      </c>
      <c r="U926" t="s">
        <v>36</v>
      </c>
      <c r="V926" t="s">
        <v>36</v>
      </c>
      <c r="W926">
        <v>4000</v>
      </c>
      <c r="X926" t="s">
        <v>49</v>
      </c>
      <c r="Y926" t="s">
        <v>50</v>
      </c>
      <c r="Z926" t="s">
        <v>51</v>
      </c>
      <c r="AA926" t="s">
        <v>37</v>
      </c>
      <c r="AB926" t="s">
        <v>52</v>
      </c>
      <c r="AC926" t="s">
        <v>53</v>
      </c>
      <c r="AD926" t="s">
        <v>54</v>
      </c>
      <c r="AE926">
        <v>19.674086131900001</v>
      </c>
      <c r="AF926">
        <v>2114</v>
      </c>
      <c r="AG926">
        <v>2114.0706142200002</v>
      </c>
      <c r="AH926">
        <v>196744.039307</v>
      </c>
      <c r="AI926">
        <v>52</v>
      </c>
      <c r="AJ926">
        <v>19659.296085784001</v>
      </c>
      <c r="AK926" s="1">
        <f>intersection_ss_Lden___surface[[#This Row],[surf m2 bout ss]]/intersection_ss_Lden___surface[[#This Row],[Shape_Area]]</f>
        <v>9.9923210660057535E-2</v>
      </c>
      <c r="AL926">
        <v>1056</v>
      </c>
      <c r="AM926">
        <f>intersection_ss_Lden___surface[[#This Row],[Population totale 2024 ss]]*intersection_ss_Lden___surface[[#This Row],[Part de la surface du qs dans le noise contour]]</f>
        <v>105.51891045702075</v>
      </c>
    </row>
    <row r="927" spans="1:39" x14ac:dyDescent="0.3">
      <c r="A927">
        <v>957</v>
      </c>
      <c r="B927" t="s">
        <v>1353</v>
      </c>
      <c r="C927" t="s">
        <v>1354</v>
      </c>
      <c r="D927" t="s">
        <v>1354</v>
      </c>
      <c r="E927" t="s">
        <v>1354</v>
      </c>
      <c r="F927" t="s">
        <v>1349</v>
      </c>
      <c r="G927" t="s">
        <v>1248</v>
      </c>
      <c r="H927" t="s">
        <v>1249</v>
      </c>
      <c r="I927" t="s">
        <v>1250</v>
      </c>
      <c r="J927" t="s">
        <v>36</v>
      </c>
      <c r="K927">
        <v>21018</v>
      </c>
      <c r="L927" t="s">
        <v>1251</v>
      </c>
      <c r="M927" t="s">
        <v>1252</v>
      </c>
      <c r="N927" t="s">
        <v>1252</v>
      </c>
      <c r="O927">
        <v>21000</v>
      </c>
      <c r="P927" t="s">
        <v>46</v>
      </c>
      <c r="Q927" t="s">
        <v>47</v>
      </c>
      <c r="R927" t="s">
        <v>48</v>
      </c>
      <c r="T927" t="s">
        <v>36</v>
      </c>
      <c r="U927" t="s">
        <v>36</v>
      </c>
      <c r="V927" t="s">
        <v>36</v>
      </c>
      <c r="W927">
        <v>4000</v>
      </c>
      <c r="X927" t="s">
        <v>49</v>
      </c>
      <c r="Y927" t="s">
        <v>50</v>
      </c>
      <c r="Z927" t="s">
        <v>51</v>
      </c>
      <c r="AA927" t="s">
        <v>37</v>
      </c>
      <c r="AB927" t="s">
        <v>52</v>
      </c>
      <c r="AC927" t="s">
        <v>53</v>
      </c>
      <c r="AD927" t="s">
        <v>54</v>
      </c>
      <c r="AE927">
        <v>19.674086131900001</v>
      </c>
      <c r="AF927">
        <v>2114</v>
      </c>
      <c r="AG927">
        <v>2114.0706142200002</v>
      </c>
      <c r="AH927">
        <v>196744.039307</v>
      </c>
      <c r="AI927">
        <v>53</v>
      </c>
      <c r="AJ927">
        <v>177104.06222933301</v>
      </c>
      <c r="AK927" s="1">
        <f>intersection_ss_Lden___surface[[#This Row],[surf m2 bout ss]]/intersection_ss_Lden___surface[[#This Row],[Shape_Area]]</f>
        <v>0.90017498295325371</v>
      </c>
      <c r="AL927">
        <v>1056</v>
      </c>
      <c r="AM927">
        <f>intersection_ss_Lden___surface[[#This Row],[Population totale 2024 ss]]*intersection_ss_Lden___surface[[#This Row],[Part de la surface du qs dans le noise contour]]</f>
        <v>950.58478199863589</v>
      </c>
    </row>
    <row r="928" spans="1:39" x14ac:dyDescent="0.3">
      <c r="A928">
        <v>958</v>
      </c>
      <c r="B928" t="s">
        <v>1355</v>
      </c>
      <c r="C928" t="s">
        <v>1356</v>
      </c>
      <c r="D928" t="s">
        <v>1357</v>
      </c>
      <c r="E928" t="s">
        <v>1357</v>
      </c>
      <c r="F928" t="s">
        <v>1349</v>
      </c>
      <c r="G928" t="s">
        <v>1248</v>
      </c>
      <c r="H928" t="s">
        <v>1249</v>
      </c>
      <c r="I928" t="s">
        <v>1250</v>
      </c>
      <c r="J928" t="s">
        <v>36</v>
      </c>
      <c r="K928">
        <v>21018</v>
      </c>
      <c r="L928" t="s">
        <v>1251</v>
      </c>
      <c r="M928" t="s">
        <v>1252</v>
      </c>
      <c r="N928" t="s">
        <v>1252</v>
      </c>
      <c r="O928">
        <v>21000</v>
      </c>
      <c r="P928" t="s">
        <v>46</v>
      </c>
      <c r="Q928" t="s">
        <v>47</v>
      </c>
      <c r="R928" t="s">
        <v>48</v>
      </c>
      <c r="T928" t="s">
        <v>36</v>
      </c>
      <c r="U928" t="s">
        <v>36</v>
      </c>
      <c r="V928" t="s">
        <v>36</v>
      </c>
      <c r="W928">
        <v>4000</v>
      </c>
      <c r="X928" t="s">
        <v>49</v>
      </c>
      <c r="Y928" t="s">
        <v>50</v>
      </c>
      <c r="Z928" t="s">
        <v>51</v>
      </c>
      <c r="AA928" t="s">
        <v>37</v>
      </c>
      <c r="AB928" t="s">
        <v>52</v>
      </c>
      <c r="AC928" t="s">
        <v>53</v>
      </c>
      <c r="AD928" t="s">
        <v>54</v>
      </c>
      <c r="AE928">
        <v>19.303843825800001</v>
      </c>
      <c r="AF928">
        <v>2437</v>
      </c>
      <c r="AG928">
        <v>2436.65266303</v>
      </c>
      <c r="AH928">
        <v>193041.561112</v>
      </c>
      <c r="AI928">
        <v>53</v>
      </c>
      <c r="AJ928">
        <v>193060.571809521</v>
      </c>
      <c r="AK928" s="1">
        <f>intersection_ss_Lden___surface[[#This Row],[surf m2 bout ss]]/intersection_ss_Lden___surface[[#This Row],[Shape_Area]]</f>
        <v>1.0000984798165302</v>
      </c>
      <c r="AL928">
        <v>917</v>
      </c>
      <c r="AM928">
        <f>intersection_ss_Lden___surface[[#This Row],[Population totale 2024 ss]]*intersection_ss_Lden___surface[[#This Row],[Part de la surface du qs dans le noise contour]]</f>
        <v>917.09030599175821</v>
      </c>
    </row>
    <row r="929" spans="1:39" x14ac:dyDescent="0.3">
      <c r="A929">
        <v>959</v>
      </c>
      <c r="B929" t="s">
        <v>1358</v>
      </c>
      <c r="C929" t="s">
        <v>1359</v>
      </c>
      <c r="D929" t="s">
        <v>1360</v>
      </c>
      <c r="E929" t="s">
        <v>1360</v>
      </c>
      <c r="F929" t="s">
        <v>1349</v>
      </c>
      <c r="G929" t="s">
        <v>1248</v>
      </c>
      <c r="H929" t="s">
        <v>1249</v>
      </c>
      <c r="I929" t="s">
        <v>1250</v>
      </c>
      <c r="J929" t="s">
        <v>36</v>
      </c>
      <c r="K929">
        <v>21018</v>
      </c>
      <c r="L929" t="s">
        <v>1251</v>
      </c>
      <c r="M929" t="s">
        <v>1252</v>
      </c>
      <c r="N929" t="s">
        <v>1252</v>
      </c>
      <c r="O929">
        <v>21000</v>
      </c>
      <c r="P929" t="s">
        <v>46</v>
      </c>
      <c r="Q929" t="s">
        <v>47</v>
      </c>
      <c r="R929" t="s">
        <v>48</v>
      </c>
      <c r="T929" t="s">
        <v>36</v>
      </c>
      <c r="U929" t="s">
        <v>36</v>
      </c>
      <c r="V929" t="s">
        <v>36</v>
      </c>
      <c r="W929">
        <v>4000</v>
      </c>
      <c r="X929" t="s">
        <v>49</v>
      </c>
      <c r="Y929" t="s">
        <v>50</v>
      </c>
      <c r="Z929" t="s">
        <v>51</v>
      </c>
      <c r="AA929" t="s">
        <v>37</v>
      </c>
      <c r="AB929" t="s">
        <v>52</v>
      </c>
      <c r="AC929" t="s">
        <v>53</v>
      </c>
      <c r="AD929" t="s">
        <v>54</v>
      </c>
      <c r="AE929">
        <v>60.065963037000003</v>
      </c>
      <c r="AF929">
        <v>4192</v>
      </c>
      <c r="AG929">
        <v>4191.7591494799999</v>
      </c>
      <c r="AH929">
        <v>600669.26913999999</v>
      </c>
      <c r="AI929">
        <v>53</v>
      </c>
      <c r="AJ929">
        <v>599838.84545912803</v>
      </c>
      <c r="AK929" s="1">
        <f>intersection_ss_Lden___surface[[#This Row],[surf m2 bout ss]]/intersection_ss_Lden___surface[[#This Row],[Shape_Area]]</f>
        <v>0.99861750263658255</v>
      </c>
      <c r="AL929">
        <v>1291</v>
      </c>
      <c r="AM929">
        <f>intersection_ss_Lden___surface[[#This Row],[Population totale 2024 ss]]*intersection_ss_Lden___surface[[#This Row],[Part de la surface du qs dans le noise contour]]</f>
        <v>1289.2151959038281</v>
      </c>
    </row>
    <row r="930" spans="1:39" x14ac:dyDescent="0.3">
      <c r="A930">
        <v>960</v>
      </c>
      <c r="B930" t="s">
        <v>1358</v>
      </c>
      <c r="C930" t="s">
        <v>1359</v>
      </c>
      <c r="D930" t="s">
        <v>1360</v>
      </c>
      <c r="E930" t="s">
        <v>1360</v>
      </c>
      <c r="F930" t="s">
        <v>1349</v>
      </c>
      <c r="G930" t="s">
        <v>1248</v>
      </c>
      <c r="H930" t="s">
        <v>1249</v>
      </c>
      <c r="I930" t="s">
        <v>1250</v>
      </c>
      <c r="J930" t="s">
        <v>36</v>
      </c>
      <c r="K930">
        <v>21018</v>
      </c>
      <c r="L930" t="s">
        <v>1251</v>
      </c>
      <c r="M930" t="s">
        <v>1252</v>
      </c>
      <c r="N930" t="s">
        <v>1252</v>
      </c>
      <c r="O930">
        <v>21000</v>
      </c>
      <c r="P930" t="s">
        <v>46</v>
      </c>
      <c r="Q930" t="s">
        <v>47</v>
      </c>
      <c r="R930" t="s">
        <v>48</v>
      </c>
      <c r="T930" t="s">
        <v>36</v>
      </c>
      <c r="U930" t="s">
        <v>36</v>
      </c>
      <c r="V930" t="s">
        <v>36</v>
      </c>
      <c r="W930">
        <v>4000</v>
      </c>
      <c r="X930" t="s">
        <v>49</v>
      </c>
      <c r="Y930" t="s">
        <v>50</v>
      </c>
      <c r="Z930" t="s">
        <v>51</v>
      </c>
      <c r="AA930" t="s">
        <v>37</v>
      </c>
      <c r="AB930" t="s">
        <v>52</v>
      </c>
      <c r="AC930" t="s">
        <v>53</v>
      </c>
      <c r="AD930" t="s">
        <v>54</v>
      </c>
      <c r="AE930">
        <v>60.065963037000003</v>
      </c>
      <c r="AF930">
        <v>4192</v>
      </c>
      <c r="AG930">
        <v>4191.7591494799999</v>
      </c>
      <c r="AH930">
        <v>600669.26913999999</v>
      </c>
      <c r="AI930">
        <v>54</v>
      </c>
      <c r="AJ930">
        <v>889.087176039116</v>
      </c>
      <c r="AK930" s="1">
        <f>intersection_ss_Lden___surface[[#This Row],[surf m2 bout ss]]/intersection_ss_Lden___surface[[#This Row],[Shape_Area]]</f>
        <v>1.4801609166922331E-3</v>
      </c>
      <c r="AL930">
        <v>1291</v>
      </c>
      <c r="AM930">
        <f>intersection_ss_Lden___surface[[#This Row],[Population totale 2024 ss]]*intersection_ss_Lden___surface[[#This Row],[Part de la surface du qs dans le noise contour]]</f>
        <v>1.9108877434496729</v>
      </c>
    </row>
    <row r="931" spans="1:39" x14ac:dyDescent="0.3">
      <c r="A931">
        <v>961</v>
      </c>
      <c r="B931" t="s">
        <v>1361</v>
      </c>
      <c r="C931" t="s">
        <v>246</v>
      </c>
      <c r="D931" t="s">
        <v>247</v>
      </c>
      <c r="E931" t="s">
        <v>247</v>
      </c>
      <c r="F931" t="s">
        <v>1362</v>
      </c>
      <c r="G931" t="s">
        <v>1363</v>
      </c>
      <c r="H931" t="s">
        <v>1364</v>
      </c>
      <c r="I931" t="s">
        <v>1365</v>
      </c>
      <c r="J931" t="s">
        <v>36</v>
      </c>
      <c r="K931">
        <v>21019</v>
      </c>
      <c r="L931" t="s">
        <v>1366</v>
      </c>
      <c r="M931" t="s">
        <v>1367</v>
      </c>
      <c r="N931" t="s">
        <v>1367</v>
      </c>
      <c r="O931">
        <v>21000</v>
      </c>
      <c r="P931" t="s">
        <v>46</v>
      </c>
      <c r="Q931" t="s">
        <v>47</v>
      </c>
      <c r="R931" t="s">
        <v>48</v>
      </c>
      <c r="T931" t="s">
        <v>36</v>
      </c>
      <c r="U931" t="s">
        <v>36</v>
      </c>
      <c r="V931" t="s">
        <v>36</v>
      </c>
      <c r="W931">
        <v>4000</v>
      </c>
      <c r="X931" t="s">
        <v>49</v>
      </c>
      <c r="Y931" t="s">
        <v>50</v>
      </c>
      <c r="Z931" t="s">
        <v>51</v>
      </c>
      <c r="AA931" t="s">
        <v>37</v>
      </c>
      <c r="AB931" t="s">
        <v>52</v>
      </c>
      <c r="AC931" t="s">
        <v>53</v>
      </c>
      <c r="AD931" t="s">
        <v>54</v>
      </c>
      <c r="AE931">
        <v>15.4094844399</v>
      </c>
      <c r="AF931">
        <v>1909</v>
      </c>
      <c r="AG931">
        <v>1908.5655687599999</v>
      </c>
      <c r="AH931">
        <v>154097.32383499999</v>
      </c>
      <c r="AI931">
        <v>48</v>
      </c>
      <c r="AJ931">
        <v>24109.7594081387</v>
      </c>
      <c r="AK931" s="1">
        <f>intersection_ss_Lden___surface[[#This Row],[surf m2 bout ss]]/intersection_ss_Lden___surface[[#This Row],[Shape_Area]]</f>
        <v>0.15645800204781149</v>
      </c>
      <c r="AL931">
        <v>1746</v>
      </c>
      <c r="AM931">
        <f>intersection_ss_Lden___surface[[#This Row],[Population totale 2024 ss]]*intersection_ss_Lden___surface[[#This Row],[Part de la surface du qs dans le noise contour]]</f>
        <v>273.17567157547887</v>
      </c>
    </row>
    <row r="932" spans="1:39" x14ac:dyDescent="0.3">
      <c r="A932">
        <v>962</v>
      </c>
      <c r="B932" t="s">
        <v>1361</v>
      </c>
      <c r="C932" t="s">
        <v>246</v>
      </c>
      <c r="D932" t="s">
        <v>247</v>
      </c>
      <c r="E932" t="s">
        <v>247</v>
      </c>
      <c r="F932" t="s">
        <v>1362</v>
      </c>
      <c r="G932" t="s">
        <v>1363</v>
      </c>
      <c r="H932" t="s">
        <v>1364</v>
      </c>
      <c r="I932" t="s">
        <v>1365</v>
      </c>
      <c r="J932" t="s">
        <v>36</v>
      </c>
      <c r="K932">
        <v>21019</v>
      </c>
      <c r="L932" t="s">
        <v>1366</v>
      </c>
      <c r="M932" t="s">
        <v>1367</v>
      </c>
      <c r="N932" t="s">
        <v>1367</v>
      </c>
      <c r="O932">
        <v>21000</v>
      </c>
      <c r="P932" t="s">
        <v>46</v>
      </c>
      <c r="Q932" t="s">
        <v>47</v>
      </c>
      <c r="R932" t="s">
        <v>48</v>
      </c>
      <c r="T932" t="s">
        <v>36</v>
      </c>
      <c r="U932" t="s">
        <v>36</v>
      </c>
      <c r="V932" t="s">
        <v>36</v>
      </c>
      <c r="W932">
        <v>4000</v>
      </c>
      <c r="X932" t="s">
        <v>49</v>
      </c>
      <c r="Y932" t="s">
        <v>50</v>
      </c>
      <c r="Z932" t="s">
        <v>51</v>
      </c>
      <c r="AA932" t="s">
        <v>37</v>
      </c>
      <c r="AB932" t="s">
        <v>52</v>
      </c>
      <c r="AC932" t="s">
        <v>53</v>
      </c>
      <c r="AD932" t="s">
        <v>54</v>
      </c>
      <c r="AE932">
        <v>15.4094844399</v>
      </c>
      <c r="AF932">
        <v>1909</v>
      </c>
      <c r="AG932">
        <v>1908.5655687599999</v>
      </c>
      <c r="AH932">
        <v>154097.32383499999</v>
      </c>
      <c r="AI932">
        <v>49</v>
      </c>
      <c r="AJ932">
        <v>88476.067545430706</v>
      </c>
      <c r="AK932" s="1">
        <f>intersection_ss_Lden___surface[[#This Row],[surf m2 bout ss]]/intersection_ss_Lden___surface[[#This Row],[Shape_Area]]</f>
        <v>0.57415706738792316</v>
      </c>
      <c r="AL932">
        <v>1746</v>
      </c>
      <c r="AM932">
        <f>intersection_ss_Lden___surface[[#This Row],[Population totale 2024 ss]]*intersection_ss_Lden___surface[[#This Row],[Part de la surface du qs dans le noise contour]]</f>
        <v>1002.4782396593139</v>
      </c>
    </row>
    <row r="933" spans="1:39" x14ac:dyDescent="0.3">
      <c r="A933">
        <v>963</v>
      </c>
      <c r="B933" t="s">
        <v>1361</v>
      </c>
      <c r="C933" t="s">
        <v>246</v>
      </c>
      <c r="D933" t="s">
        <v>247</v>
      </c>
      <c r="E933" t="s">
        <v>247</v>
      </c>
      <c r="F933" t="s">
        <v>1362</v>
      </c>
      <c r="G933" t="s">
        <v>1363</v>
      </c>
      <c r="H933" t="s">
        <v>1364</v>
      </c>
      <c r="I933" t="s">
        <v>1365</v>
      </c>
      <c r="J933" t="s">
        <v>36</v>
      </c>
      <c r="K933">
        <v>21019</v>
      </c>
      <c r="L933" t="s">
        <v>1366</v>
      </c>
      <c r="M933" t="s">
        <v>1367</v>
      </c>
      <c r="N933" t="s">
        <v>1367</v>
      </c>
      <c r="O933">
        <v>21000</v>
      </c>
      <c r="P933" t="s">
        <v>46</v>
      </c>
      <c r="Q933" t="s">
        <v>47</v>
      </c>
      <c r="R933" t="s">
        <v>48</v>
      </c>
      <c r="T933" t="s">
        <v>36</v>
      </c>
      <c r="U933" t="s">
        <v>36</v>
      </c>
      <c r="V933" t="s">
        <v>36</v>
      </c>
      <c r="W933">
        <v>4000</v>
      </c>
      <c r="X933" t="s">
        <v>49</v>
      </c>
      <c r="Y933" t="s">
        <v>50</v>
      </c>
      <c r="Z933" t="s">
        <v>51</v>
      </c>
      <c r="AA933" t="s">
        <v>37</v>
      </c>
      <c r="AB933" t="s">
        <v>52</v>
      </c>
      <c r="AC933" t="s">
        <v>53</v>
      </c>
      <c r="AD933" t="s">
        <v>54</v>
      </c>
      <c r="AE933">
        <v>15.4094844399</v>
      </c>
      <c r="AF933">
        <v>1909</v>
      </c>
      <c r="AG933">
        <v>1908.5655687599999</v>
      </c>
      <c r="AH933">
        <v>154097.32383499999</v>
      </c>
      <c r="AI933">
        <v>50</v>
      </c>
      <c r="AJ933">
        <v>41526.997664719798</v>
      </c>
      <c r="AK933" s="1">
        <f>intersection_ss_Lden___surface[[#This Row],[surf m2 bout ss]]/intersection_ss_Lden___surface[[#This Row],[Shape_Area]]</f>
        <v>0.26948552143050136</v>
      </c>
      <c r="AL933">
        <v>1746</v>
      </c>
      <c r="AM933">
        <f>intersection_ss_Lden___surface[[#This Row],[Population totale 2024 ss]]*intersection_ss_Lden___surface[[#This Row],[Part de la surface du qs dans le noise contour]]</f>
        <v>470.52172041765539</v>
      </c>
    </row>
    <row r="934" spans="1:39" x14ac:dyDescent="0.3">
      <c r="A934">
        <v>964</v>
      </c>
      <c r="B934" t="s">
        <v>1368</v>
      </c>
      <c r="C934" t="s">
        <v>1369</v>
      </c>
      <c r="D934" t="s">
        <v>1370</v>
      </c>
      <c r="E934" t="s">
        <v>1370</v>
      </c>
      <c r="F934" t="s">
        <v>1362</v>
      </c>
      <c r="G934" t="s">
        <v>1363</v>
      </c>
      <c r="H934" t="s">
        <v>1364</v>
      </c>
      <c r="I934" t="s">
        <v>1365</v>
      </c>
      <c r="J934" t="s">
        <v>36</v>
      </c>
      <c r="K934">
        <v>21019</v>
      </c>
      <c r="L934" t="s">
        <v>1366</v>
      </c>
      <c r="M934" t="s">
        <v>1367</v>
      </c>
      <c r="N934" t="s">
        <v>1367</v>
      </c>
      <c r="O934">
        <v>21000</v>
      </c>
      <c r="P934" t="s">
        <v>46</v>
      </c>
      <c r="Q934" t="s">
        <v>47</v>
      </c>
      <c r="R934" t="s">
        <v>48</v>
      </c>
      <c r="T934" t="s">
        <v>36</v>
      </c>
      <c r="U934" t="s">
        <v>36</v>
      </c>
      <c r="V934" t="s">
        <v>36</v>
      </c>
      <c r="W934">
        <v>4000</v>
      </c>
      <c r="X934" t="s">
        <v>49</v>
      </c>
      <c r="Y934" t="s">
        <v>50</v>
      </c>
      <c r="Z934" t="s">
        <v>51</v>
      </c>
      <c r="AA934" t="s">
        <v>37</v>
      </c>
      <c r="AB934" t="s">
        <v>52</v>
      </c>
      <c r="AC934" t="s">
        <v>53</v>
      </c>
      <c r="AD934" t="s">
        <v>54</v>
      </c>
      <c r="AE934">
        <v>23.597011190500002</v>
      </c>
      <c r="AF934">
        <v>2478</v>
      </c>
      <c r="AG934">
        <v>2477.8607502200002</v>
      </c>
      <c r="AH934">
        <v>235973.90358700001</v>
      </c>
      <c r="AI934">
        <v>47</v>
      </c>
      <c r="AJ934">
        <v>656.15501766465604</v>
      </c>
      <c r="AK934" s="1">
        <f>intersection_ss_Lden___surface[[#This Row],[surf m2 bout ss]]/intersection_ss_Lden___surface[[#This Row],[Shape_Area]]</f>
        <v>2.7806253475089952E-3</v>
      </c>
      <c r="AL934">
        <v>733</v>
      </c>
      <c r="AM934">
        <f>intersection_ss_Lden___surface[[#This Row],[Population totale 2024 ss]]*intersection_ss_Lden___surface[[#This Row],[Part de la surface du qs dans le noise contour]]</f>
        <v>2.0381983797240935</v>
      </c>
    </row>
    <row r="935" spans="1:39" x14ac:dyDescent="0.3">
      <c r="A935">
        <v>965</v>
      </c>
      <c r="B935" t="s">
        <v>1368</v>
      </c>
      <c r="C935" t="s">
        <v>1369</v>
      </c>
      <c r="D935" t="s">
        <v>1370</v>
      </c>
      <c r="E935" t="s">
        <v>1370</v>
      </c>
      <c r="F935" t="s">
        <v>1362</v>
      </c>
      <c r="G935" t="s">
        <v>1363</v>
      </c>
      <c r="H935" t="s">
        <v>1364</v>
      </c>
      <c r="I935" t="s">
        <v>1365</v>
      </c>
      <c r="J935" t="s">
        <v>36</v>
      </c>
      <c r="K935">
        <v>21019</v>
      </c>
      <c r="L935" t="s">
        <v>1366</v>
      </c>
      <c r="M935" t="s">
        <v>1367</v>
      </c>
      <c r="N935" t="s">
        <v>1367</v>
      </c>
      <c r="O935">
        <v>21000</v>
      </c>
      <c r="P935" t="s">
        <v>46</v>
      </c>
      <c r="Q935" t="s">
        <v>47</v>
      </c>
      <c r="R935" t="s">
        <v>48</v>
      </c>
      <c r="T935" t="s">
        <v>36</v>
      </c>
      <c r="U935" t="s">
        <v>36</v>
      </c>
      <c r="V935" t="s">
        <v>36</v>
      </c>
      <c r="W935">
        <v>4000</v>
      </c>
      <c r="X935" t="s">
        <v>49</v>
      </c>
      <c r="Y935" t="s">
        <v>50</v>
      </c>
      <c r="Z935" t="s">
        <v>51</v>
      </c>
      <c r="AA935" t="s">
        <v>37</v>
      </c>
      <c r="AB935" t="s">
        <v>52</v>
      </c>
      <c r="AC935" t="s">
        <v>53</v>
      </c>
      <c r="AD935" t="s">
        <v>54</v>
      </c>
      <c r="AE935">
        <v>23.597011190500002</v>
      </c>
      <c r="AF935">
        <v>2478</v>
      </c>
      <c r="AG935">
        <v>2477.8607502200002</v>
      </c>
      <c r="AH935">
        <v>235973.90358700001</v>
      </c>
      <c r="AI935">
        <v>48</v>
      </c>
      <c r="AJ935">
        <v>106183.159946678</v>
      </c>
      <c r="AK935" s="1">
        <f>intersection_ss_Lden___surface[[#This Row],[surf m2 bout ss]]/intersection_ss_Lden___surface[[#This Row],[Shape_Area]]</f>
        <v>0.44997840156307739</v>
      </c>
      <c r="AL935">
        <v>733</v>
      </c>
      <c r="AM935">
        <f>intersection_ss_Lden___surface[[#This Row],[Population totale 2024 ss]]*intersection_ss_Lden___surface[[#This Row],[Part de la surface du qs dans le noise contour]]</f>
        <v>329.83416834573575</v>
      </c>
    </row>
    <row r="936" spans="1:39" x14ac:dyDescent="0.3">
      <c r="A936">
        <v>966</v>
      </c>
      <c r="B936" t="s">
        <v>1368</v>
      </c>
      <c r="C936" t="s">
        <v>1369</v>
      </c>
      <c r="D936" t="s">
        <v>1370</v>
      </c>
      <c r="E936" t="s">
        <v>1370</v>
      </c>
      <c r="F936" t="s">
        <v>1362</v>
      </c>
      <c r="G936" t="s">
        <v>1363</v>
      </c>
      <c r="H936" t="s">
        <v>1364</v>
      </c>
      <c r="I936" t="s">
        <v>1365</v>
      </c>
      <c r="J936" t="s">
        <v>36</v>
      </c>
      <c r="K936">
        <v>21019</v>
      </c>
      <c r="L936" t="s">
        <v>1366</v>
      </c>
      <c r="M936" t="s">
        <v>1367</v>
      </c>
      <c r="N936" t="s">
        <v>1367</v>
      </c>
      <c r="O936">
        <v>21000</v>
      </c>
      <c r="P936" t="s">
        <v>46</v>
      </c>
      <c r="Q936" t="s">
        <v>47</v>
      </c>
      <c r="R936" t="s">
        <v>48</v>
      </c>
      <c r="T936" t="s">
        <v>36</v>
      </c>
      <c r="U936" t="s">
        <v>36</v>
      </c>
      <c r="V936" t="s">
        <v>36</v>
      </c>
      <c r="W936">
        <v>4000</v>
      </c>
      <c r="X936" t="s">
        <v>49</v>
      </c>
      <c r="Y936" t="s">
        <v>50</v>
      </c>
      <c r="Z936" t="s">
        <v>51</v>
      </c>
      <c r="AA936" t="s">
        <v>37</v>
      </c>
      <c r="AB936" t="s">
        <v>52</v>
      </c>
      <c r="AC936" t="s">
        <v>53</v>
      </c>
      <c r="AD936" t="s">
        <v>54</v>
      </c>
      <c r="AE936">
        <v>23.597011190500002</v>
      </c>
      <c r="AF936">
        <v>2478</v>
      </c>
      <c r="AG936">
        <v>2477.8607502200002</v>
      </c>
      <c r="AH936">
        <v>235973.90358700001</v>
      </c>
      <c r="AI936">
        <v>49</v>
      </c>
      <c r="AJ936">
        <v>121993.976118262</v>
      </c>
      <c r="AK936" s="1">
        <f>intersection_ss_Lden___surface[[#This Row],[surf m2 bout ss]]/intersection_ss_Lden___surface[[#This Row],[Shape_Area]]</f>
        <v>0.51698079433298294</v>
      </c>
      <c r="AL936">
        <v>733</v>
      </c>
      <c r="AM936">
        <f>intersection_ss_Lden___surface[[#This Row],[Population totale 2024 ss]]*intersection_ss_Lden___surface[[#This Row],[Part de la surface du qs dans le noise contour]]</f>
        <v>378.9469222460765</v>
      </c>
    </row>
    <row r="937" spans="1:39" x14ac:dyDescent="0.3">
      <c r="A937">
        <v>967</v>
      </c>
      <c r="B937" t="s">
        <v>1368</v>
      </c>
      <c r="C937" t="s">
        <v>1369</v>
      </c>
      <c r="D937" t="s">
        <v>1370</v>
      </c>
      <c r="E937" t="s">
        <v>1370</v>
      </c>
      <c r="F937" t="s">
        <v>1362</v>
      </c>
      <c r="G937" t="s">
        <v>1363</v>
      </c>
      <c r="H937" t="s">
        <v>1364</v>
      </c>
      <c r="I937" t="s">
        <v>1365</v>
      </c>
      <c r="J937" t="s">
        <v>36</v>
      </c>
      <c r="K937">
        <v>21019</v>
      </c>
      <c r="L937" t="s">
        <v>1366</v>
      </c>
      <c r="M937" t="s">
        <v>1367</v>
      </c>
      <c r="N937" t="s">
        <v>1367</v>
      </c>
      <c r="O937">
        <v>21000</v>
      </c>
      <c r="P937" t="s">
        <v>46</v>
      </c>
      <c r="Q937" t="s">
        <v>47</v>
      </c>
      <c r="R937" t="s">
        <v>48</v>
      </c>
      <c r="T937" t="s">
        <v>36</v>
      </c>
      <c r="U937" t="s">
        <v>36</v>
      </c>
      <c r="V937" t="s">
        <v>36</v>
      </c>
      <c r="W937">
        <v>4000</v>
      </c>
      <c r="X937" t="s">
        <v>49</v>
      </c>
      <c r="Y937" t="s">
        <v>50</v>
      </c>
      <c r="Z937" t="s">
        <v>51</v>
      </c>
      <c r="AA937" t="s">
        <v>37</v>
      </c>
      <c r="AB937" t="s">
        <v>52</v>
      </c>
      <c r="AC937" t="s">
        <v>53</v>
      </c>
      <c r="AD937" t="s">
        <v>54</v>
      </c>
      <c r="AE937">
        <v>23.597011190500002</v>
      </c>
      <c r="AF937">
        <v>2478</v>
      </c>
      <c r="AG937">
        <v>2477.8607502200002</v>
      </c>
      <c r="AH937">
        <v>235973.90358700001</v>
      </c>
      <c r="AI937">
        <v>50</v>
      </c>
      <c r="AJ937">
        <v>7164.4974918235102</v>
      </c>
      <c r="AK937" s="1">
        <f>intersection_ss_Lden___surface[[#This Row],[surf m2 bout ss]]/intersection_ss_Lden___surface[[#This Row],[Shape_Area]]</f>
        <v>3.0361397522849675E-2</v>
      </c>
      <c r="AL937">
        <v>733</v>
      </c>
      <c r="AM937">
        <f>intersection_ss_Lden___surface[[#This Row],[Population totale 2024 ss]]*intersection_ss_Lden___surface[[#This Row],[Part de la surface du qs dans le noise contour]]</f>
        <v>22.25490438424881</v>
      </c>
    </row>
    <row r="938" spans="1:39" x14ac:dyDescent="0.3">
      <c r="A938">
        <v>968</v>
      </c>
      <c r="B938" t="s">
        <v>1371</v>
      </c>
      <c r="C938" t="s">
        <v>1372</v>
      </c>
      <c r="D938" t="s">
        <v>1373</v>
      </c>
      <c r="E938" t="s">
        <v>1373</v>
      </c>
      <c r="F938" t="s">
        <v>1362</v>
      </c>
      <c r="G938" t="s">
        <v>1363</v>
      </c>
      <c r="H938" t="s">
        <v>1364</v>
      </c>
      <c r="I938" t="s">
        <v>1365</v>
      </c>
      <c r="J938" t="s">
        <v>36</v>
      </c>
      <c r="K938">
        <v>21019</v>
      </c>
      <c r="L938" t="s">
        <v>1366</v>
      </c>
      <c r="M938" t="s">
        <v>1367</v>
      </c>
      <c r="N938" t="s">
        <v>1367</v>
      </c>
      <c r="O938">
        <v>21000</v>
      </c>
      <c r="P938" t="s">
        <v>46</v>
      </c>
      <c r="Q938" t="s">
        <v>47</v>
      </c>
      <c r="R938" t="s">
        <v>48</v>
      </c>
      <c r="T938" t="s">
        <v>36</v>
      </c>
      <c r="U938" t="s">
        <v>36</v>
      </c>
      <c r="V938" t="s">
        <v>36</v>
      </c>
      <c r="W938">
        <v>4000</v>
      </c>
      <c r="X938" t="s">
        <v>49</v>
      </c>
      <c r="Y938" t="s">
        <v>50</v>
      </c>
      <c r="Z938" t="s">
        <v>51</v>
      </c>
      <c r="AA938" t="s">
        <v>37</v>
      </c>
      <c r="AB938" t="s">
        <v>52</v>
      </c>
      <c r="AC938" t="s">
        <v>53</v>
      </c>
      <c r="AD938" t="s">
        <v>54</v>
      </c>
      <c r="AE938">
        <v>11.6438822142</v>
      </c>
      <c r="AF938">
        <v>1537</v>
      </c>
      <c r="AG938">
        <v>1536.7048175100001</v>
      </c>
      <c r="AH938">
        <v>116440.694409</v>
      </c>
      <c r="AI938">
        <v>47</v>
      </c>
      <c r="AJ938">
        <v>57796.561155406802</v>
      </c>
      <c r="AK938" s="1">
        <f>intersection_ss_Lden___surface[[#This Row],[surf m2 bout ss]]/intersection_ss_Lden___surface[[#This Row],[Shape_Area]]</f>
        <v>0.49636049878228444</v>
      </c>
      <c r="AL938">
        <v>348</v>
      </c>
      <c r="AM938">
        <f>intersection_ss_Lden___surface[[#This Row],[Population totale 2024 ss]]*intersection_ss_Lden___surface[[#This Row],[Part de la surface du qs dans le noise contour]]</f>
        <v>172.73345357623498</v>
      </c>
    </row>
    <row r="939" spans="1:39" x14ac:dyDescent="0.3">
      <c r="A939">
        <v>969</v>
      </c>
      <c r="B939" t="s">
        <v>1371</v>
      </c>
      <c r="C939" t="s">
        <v>1372</v>
      </c>
      <c r="D939" t="s">
        <v>1373</v>
      </c>
      <c r="E939" t="s">
        <v>1373</v>
      </c>
      <c r="F939" t="s">
        <v>1362</v>
      </c>
      <c r="G939" t="s">
        <v>1363</v>
      </c>
      <c r="H939" t="s">
        <v>1364</v>
      </c>
      <c r="I939" t="s">
        <v>1365</v>
      </c>
      <c r="J939" t="s">
        <v>36</v>
      </c>
      <c r="K939">
        <v>21019</v>
      </c>
      <c r="L939" t="s">
        <v>1366</v>
      </c>
      <c r="M939" t="s">
        <v>1367</v>
      </c>
      <c r="N939" t="s">
        <v>1367</v>
      </c>
      <c r="O939">
        <v>21000</v>
      </c>
      <c r="P939" t="s">
        <v>46</v>
      </c>
      <c r="Q939" t="s">
        <v>47</v>
      </c>
      <c r="R939" t="s">
        <v>48</v>
      </c>
      <c r="T939" t="s">
        <v>36</v>
      </c>
      <c r="U939" t="s">
        <v>36</v>
      </c>
      <c r="V939" t="s">
        <v>36</v>
      </c>
      <c r="W939">
        <v>4000</v>
      </c>
      <c r="X939" t="s">
        <v>49</v>
      </c>
      <c r="Y939" t="s">
        <v>50</v>
      </c>
      <c r="Z939" t="s">
        <v>51</v>
      </c>
      <c r="AA939" t="s">
        <v>37</v>
      </c>
      <c r="AB939" t="s">
        <v>52</v>
      </c>
      <c r="AC939" t="s">
        <v>53</v>
      </c>
      <c r="AD939" t="s">
        <v>54</v>
      </c>
      <c r="AE939">
        <v>11.6438822142</v>
      </c>
      <c r="AF939">
        <v>1537</v>
      </c>
      <c r="AG939">
        <v>1536.7048175100001</v>
      </c>
      <c r="AH939">
        <v>116440.694409</v>
      </c>
      <c r="AI939">
        <v>48</v>
      </c>
      <c r="AJ939">
        <v>58655.885096164398</v>
      </c>
      <c r="AK939" s="1">
        <f>intersection_ss_Lden___surface[[#This Row],[surf m2 bout ss]]/intersection_ss_Lden___surface[[#This Row],[Shape_Area]]</f>
        <v>0.50374042678013031</v>
      </c>
      <c r="AL939">
        <v>348</v>
      </c>
      <c r="AM939">
        <f>intersection_ss_Lden___surface[[#This Row],[Population totale 2024 ss]]*intersection_ss_Lden___surface[[#This Row],[Part de la surface du qs dans le noise contour]]</f>
        <v>175.30166851948536</v>
      </c>
    </row>
    <row r="940" spans="1:39" x14ac:dyDescent="0.3">
      <c r="A940">
        <v>970</v>
      </c>
      <c r="B940" t="s">
        <v>1374</v>
      </c>
      <c r="C940" t="s">
        <v>1375</v>
      </c>
      <c r="D940" t="s">
        <v>1376</v>
      </c>
      <c r="E940" t="s">
        <v>1376</v>
      </c>
      <c r="F940" t="s">
        <v>1362</v>
      </c>
      <c r="G940" t="s">
        <v>1363</v>
      </c>
      <c r="H940" t="s">
        <v>1364</v>
      </c>
      <c r="I940" t="s">
        <v>1365</v>
      </c>
      <c r="J940" t="s">
        <v>36</v>
      </c>
      <c r="K940">
        <v>21019</v>
      </c>
      <c r="L940" t="s">
        <v>1366</v>
      </c>
      <c r="M940" t="s">
        <v>1367</v>
      </c>
      <c r="N940" t="s">
        <v>1367</v>
      </c>
      <c r="O940">
        <v>21000</v>
      </c>
      <c r="P940" t="s">
        <v>46</v>
      </c>
      <c r="Q940" t="s">
        <v>47</v>
      </c>
      <c r="R940" t="s">
        <v>48</v>
      </c>
      <c r="T940" t="s">
        <v>36</v>
      </c>
      <c r="U940" t="s">
        <v>36</v>
      </c>
      <c r="V940" t="s">
        <v>36</v>
      </c>
      <c r="W940">
        <v>4000</v>
      </c>
      <c r="X940" t="s">
        <v>49</v>
      </c>
      <c r="Y940" t="s">
        <v>50</v>
      </c>
      <c r="Z940" t="s">
        <v>51</v>
      </c>
      <c r="AA940" t="s">
        <v>37</v>
      </c>
      <c r="AB940" t="s">
        <v>52</v>
      </c>
      <c r="AC940" t="s">
        <v>53</v>
      </c>
      <c r="AD940" t="s">
        <v>54</v>
      </c>
      <c r="AE940">
        <v>8.5695903554899999</v>
      </c>
      <c r="AF940">
        <v>1360</v>
      </c>
      <c r="AG940">
        <v>1359.5863838600001</v>
      </c>
      <c r="AH940">
        <v>85697.276879099998</v>
      </c>
      <c r="AI940">
        <v>48</v>
      </c>
      <c r="AJ940">
        <v>72254.819025947101</v>
      </c>
      <c r="AK940" s="1">
        <f>intersection_ss_Lden___surface[[#This Row],[surf m2 bout ss]]/intersection_ss_Lden___surface[[#This Row],[Shape_Area]]</f>
        <v>0.84314019835055842</v>
      </c>
      <c r="AL940">
        <v>1147</v>
      </c>
      <c r="AM940">
        <f>intersection_ss_Lden___surface[[#This Row],[Population totale 2024 ss]]*intersection_ss_Lden___surface[[#This Row],[Part de la surface du qs dans le noise contour]]</f>
        <v>967.08180750809049</v>
      </c>
    </row>
    <row r="941" spans="1:39" x14ac:dyDescent="0.3">
      <c r="A941">
        <v>971</v>
      </c>
      <c r="B941" t="s">
        <v>1374</v>
      </c>
      <c r="C941" t="s">
        <v>1375</v>
      </c>
      <c r="D941" t="s">
        <v>1376</v>
      </c>
      <c r="E941" t="s">
        <v>1376</v>
      </c>
      <c r="F941" t="s">
        <v>1362</v>
      </c>
      <c r="G941" t="s">
        <v>1363</v>
      </c>
      <c r="H941" t="s">
        <v>1364</v>
      </c>
      <c r="I941" t="s">
        <v>1365</v>
      </c>
      <c r="J941" t="s">
        <v>36</v>
      </c>
      <c r="K941">
        <v>21019</v>
      </c>
      <c r="L941" t="s">
        <v>1366</v>
      </c>
      <c r="M941" t="s">
        <v>1367</v>
      </c>
      <c r="N941" t="s">
        <v>1367</v>
      </c>
      <c r="O941">
        <v>21000</v>
      </c>
      <c r="P941" t="s">
        <v>46</v>
      </c>
      <c r="Q941" t="s">
        <v>47</v>
      </c>
      <c r="R941" t="s">
        <v>48</v>
      </c>
      <c r="T941" t="s">
        <v>36</v>
      </c>
      <c r="U941" t="s">
        <v>36</v>
      </c>
      <c r="V941" t="s">
        <v>36</v>
      </c>
      <c r="W941">
        <v>4000</v>
      </c>
      <c r="X941" t="s">
        <v>49</v>
      </c>
      <c r="Y941" t="s">
        <v>50</v>
      </c>
      <c r="Z941" t="s">
        <v>51</v>
      </c>
      <c r="AA941" t="s">
        <v>37</v>
      </c>
      <c r="AB941" t="s">
        <v>52</v>
      </c>
      <c r="AC941" t="s">
        <v>53</v>
      </c>
      <c r="AD941" t="s">
        <v>54</v>
      </c>
      <c r="AE941">
        <v>8.5695903554899999</v>
      </c>
      <c r="AF941">
        <v>1360</v>
      </c>
      <c r="AG941">
        <v>1359.5863838600001</v>
      </c>
      <c r="AH941">
        <v>85697.276879099998</v>
      </c>
      <c r="AI941">
        <v>49</v>
      </c>
      <c r="AJ941">
        <v>13451.068459460501</v>
      </c>
      <c r="AK941" s="1">
        <f>intersection_ss_Lden___surface[[#This Row],[surf m2 bout ss]]/intersection_ss_Lden___surface[[#This Row],[Shape_Area]]</f>
        <v>0.15696027866132781</v>
      </c>
      <c r="AL941">
        <v>1147</v>
      </c>
      <c r="AM941">
        <f>intersection_ss_Lden___surface[[#This Row],[Population totale 2024 ss]]*intersection_ss_Lden___surface[[#This Row],[Part de la surface du qs dans le noise contour]]</f>
        <v>180.03343962454301</v>
      </c>
    </row>
    <row r="942" spans="1:39" x14ac:dyDescent="0.3">
      <c r="A942">
        <v>972</v>
      </c>
      <c r="B942" t="s">
        <v>1377</v>
      </c>
      <c r="C942" t="s">
        <v>1378</v>
      </c>
      <c r="D942" t="s">
        <v>1379</v>
      </c>
      <c r="E942" t="s">
        <v>1379</v>
      </c>
      <c r="F942" t="s">
        <v>1362</v>
      </c>
      <c r="G942" t="s">
        <v>1363</v>
      </c>
      <c r="H942" t="s">
        <v>1364</v>
      </c>
      <c r="I942" t="s">
        <v>1365</v>
      </c>
      <c r="J942" t="s">
        <v>36</v>
      </c>
      <c r="K942">
        <v>21019</v>
      </c>
      <c r="L942" t="s">
        <v>1366</v>
      </c>
      <c r="M942" t="s">
        <v>1367</v>
      </c>
      <c r="N942" t="s">
        <v>1367</v>
      </c>
      <c r="O942">
        <v>21000</v>
      </c>
      <c r="P942" t="s">
        <v>46</v>
      </c>
      <c r="Q942" t="s">
        <v>47</v>
      </c>
      <c r="R942" t="s">
        <v>48</v>
      </c>
      <c r="T942" t="s">
        <v>36</v>
      </c>
      <c r="U942" t="s">
        <v>36</v>
      </c>
      <c r="V942" t="s">
        <v>36</v>
      </c>
      <c r="W942">
        <v>4000</v>
      </c>
      <c r="X942" t="s">
        <v>49</v>
      </c>
      <c r="Y942" t="s">
        <v>50</v>
      </c>
      <c r="Z942" t="s">
        <v>51</v>
      </c>
      <c r="AA942" t="s">
        <v>37</v>
      </c>
      <c r="AB942" t="s">
        <v>52</v>
      </c>
      <c r="AC942" t="s">
        <v>53</v>
      </c>
      <c r="AD942" t="s">
        <v>54</v>
      </c>
      <c r="AE942">
        <v>8.5774902082200004</v>
      </c>
      <c r="AF942">
        <v>1163</v>
      </c>
      <c r="AG942">
        <v>1163.35741936</v>
      </c>
      <c r="AH942">
        <v>85776.293802100001</v>
      </c>
      <c r="AI942">
        <v>47</v>
      </c>
      <c r="AJ942">
        <v>57405.412815346397</v>
      </c>
      <c r="AK942" s="1">
        <f>intersection_ss_Lden___surface[[#This Row],[surf m2 bout ss]]/intersection_ss_Lden___surface[[#This Row],[Shape_Area]]</f>
        <v>0.66924566533254648</v>
      </c>
      <c r="AL942">
        <v>1051</v>
      </c>
      <c r="AM942">
        <f>intersection_ss_Lden___surface[[#This Row],[Population totale 2024 ss]]*intersection_ss_Lden___surface[[#This Row],[Part de la surface du qs dans le noise contour]]</f>
        <v>703.37719426450633</v>
      </c>
    </row>
    <row r="943" spans="1:39" x14ac:dyDescent="0.3">
      <c r="A943">
        <v>973</v>
      </c>
      <c r="B943" t="s">
        <v>1377</v>
      </c>
      <c r="C943" t="s">
        <v>1378</v>
      </c>
      <c r="D943" t="s">
        <v>1379</v>
      </c>
      <c r="E943" t="s">
        <v>1379</v>
      </c>
      <c r="F943" t="s">
        <v>1362</v>
      </c>
      <c r="G943" t="s">
        <v>1363</v>
      </c>
      <c r="H943" t="s">
        <v>1364</v>
      </c>
      <c r="I943" t="s">
        <v>1365</v>
      </c>
      <c r="J943" t="s">
        <v>36</v>
      </c>
      <c r="K943">
        <v>21019</v>
      </c>
      <c r="L943" t="s">
        <v>1366</v>
      </c>
      <c r="M943" t="s">
        <v>1367</v>
      </c>
      <c r="N943" t="s">
        <v>1367</v>
      </c>
      <c r="O943">
        <v>21000</v>
      </c>
      <c r="P943" t="s">
        <v>46</v>
      </c>
      <c r="Q943" t="s">
        <v>47</v>
      </c>
      <c r="R943" t="s">
        <v>48</v>
      </c>
      <c r="T943" t="s">
        <v>36</v>
      </c>
      <c r="U943" t="s">
        <v>36</v>
      </c>
      <c r="V943" t="s">
        <v>36</v>
      </c>
      <c r="W943">
        <v>4000</v>
      </c>
      <c r="X943" t="s">
        <v>49</v>
      </c>
      <c r="Y943" t="s">
        <v>50</v>
      </c>
      <c r="Z943" t="s">
        <v>51</v>
      </c>
      <c r="AA943" t="s">
        <v>37</v>
      </c>
      <c r="AB943" t="s">
        <v>52</v>
      </c>
      <c r="AC943" t="s">
        <v>53</v>
      </c>
      <c r="AD943" t="s">
        <v>54</v>
      </c>
      <c r="AE943">
        <v>8.5774902082200004</v>
      </c>
      <c r="AF943">
        <v>1163</v>
      </c>
      <c r="AG943">
        <v>1163.35741936</v>
      </c>
      <c r="AH943">
        <v>85776.293802100001</v>
      </c>
      <c r="AI943">
        <v>48</v>
      </c>
      <c r="AJ943">
        <v>28379.5137961533</v>
      </c>
      <c r="AK943" s="1">
        <f>intersection_ss_Lden___surface[[#This Row],[surf m2 bout ss]]/intersection_ss_Lden___surface[[#This Row],[Shape_Area]]</f>
        <v>0.3308549779689654</v>
      </c>
      <c r="AL943">
        <v>1051</v>
      </c>
      <c r="AM943">
        <f>intersection_ss_Lden___surface[[#This Row],[Population totale 2024 ss]]*intersection_ss_Lden___surface[[#This Row],[Part de la surface du qs dans le noise contour]]</f>
        <v>347.72858184538262</v>
      </c>
    </row>
    <row r="944" spans="1:39" x14ac:dyDescent="0.3">
      <c r="A944">
        <v>974</v>
      </c>
      <c r="B944" t="s">
        <v>1380</v>
      </c>
      <c r="C944" t="s">
        <v>1381</v>
      </c>
      <c r="D944" t="s">
        <v>1381</v>
      </c>
      <c r="E944" t="s">
        <v>1381</v>
      </c>
      <c r="F944" t="s">
        <v>1362</v>
      </c>
      <c r="G944" t="s">
        <v>1363</v>
      </c>
      <c r="H944" t="s">
        <v>1364</v>
      </c>
      <c r="I944" t="s">
        <v>1365</v>
      </c>
      <c r="J944" t="s">
        <v>36</v>
      </c>
      <c r="K944">
        <v>21019</v>
      </c>
      <c r="L944" t="s">
        <v>1366</v>
      </c>
      <c r="M944" t="s">
        <v>1367</v>
      </c>
      <c r="N944" t="s">
        <v>1367</v>
      </c>
      <c r="O944">
        <v>21000</v>
      </c>
      <c r="P944" t="s">
        <v>46</v>
      </c>
      <c r="Q944" t="s">
        <v>47</v>
      </c>
      <c r="R944" t="s">
        <v>48</v>
      </c>
      <c r="T944" t="s">
        <v>36</v>
      </c>
      <c r="U944" t="s">
        <v>36</v>
      </c>
      <c r="V944" t="s">
        <v>36</v>
      </c>
      <c r="W944">
        <v>4000</v>
      </c>
      <c r="X944" t="s">
        <v>49</v>
      </c>
      <c r="Y944" t="s">
        <v>50</v>
      </c>
      <c r="Z944" t="s">
        <v>51</v>
      </c>
      <c r="AA944" t="s">
        <v>37</v>
      </c>
      <c r="AB944" t="s">
        <v>52</v>
      </c>
      <c r="AC944" t="s">
        <v>53</v>
      </c>
      <c r="AD944" t="s">
        <v>54</v>
      </c>
      <c r="AE944">
        <v>12.0036611434</v>
      </c>
      <c r="AF944">
        <v>1925</v>
      </c>
      <c r="AG944">
        <v>1924.9961749199999</v>
      </c>
      <c r="AH944">
        <v>120038.536269</v>
      </c>
      <c r="AI944">
        <v>48</v>
      </c>
      <c r="AJ944">
        <v>37230.939300013699</v>
      </c>
      <c r="AK944" s="1">
        <f>intersection_ss_Lden___surface[[#This Row],[surf m2 bout ss]]/intersection_ss_Lden___surface[[#This Row],[Shape_Area]]</f>
        <v>0.31015822466029691</v>
      </c>
      <c r="AL944">
        <v>1037</v>
      </c>
      <c r="AM944">
        <f>intersection_ss_Lden___surface[[#This Row],[Population totale 2024 ss]]*intersection_ss_Lden___surface[[#This Row],[Part de la surface du qs dans le noise contour]]</f>
        <v>321.63407897272788</v>
      </c>
    </row>
    <row r="945" spans="1:39" x14ac:dyDescent="0.3">
      <c r="A945">
        <v>975</v>
      </c>
      <c r="B945" t="s">
        <v>1380</v>
      </c>
      <c r="C945" t="s">
        <v>1381</v>
      </c>
      <c r="D945" t="s">
        <v>1381</v>
      </c>
      <c r="E945" t="s">
        <v>1381</v>
      </c>
      <c r="F945" t="s">
        <v>1362</v>
      </c>
      <c r="G945" t="s">
        <v>1363</v>
      </c>
      <c r="H945" t="s">
        <v>1364</v>
      </c>
      <c r="I945" t="s">
        <v>1365</v>
      </c>
      <c r="J945" t="s">
        <v>36</v>
      </c>
      <c r="K945">
        <v>21019</v>
      </c>
      <c r="L945" t="s">
        <v>1366</v>
      </c>
      <c r="M945" t="s">
        <v>1367</v>
      </c>
      <c r="N945" t="s">
        <v>1367</v>
      </c>
      <c r="O945">
        <v>21000</v>
      </c>
      <c r="P945" t="s">
        <v>46</v>
      </c>
      <c r="Q945" t="s">
        <v>47</v>
      </c>
      <c r="R945" t="s">
        <v>48</v>
      </c>
      <c r="T945" t="s">
        <v>36</v>
      </c>
      <c r="U945" t="s">
        <v>36</v>
      </c>
      <c r="V945" t="s">
        <v>36</v>
      </c>
      <c r="W945">
        <v>4000</v>
      </c>
      <c r="X945" t="s">
        <v>49</v>
      </c>
      <c r="Y945" t="s">
        <v>50</v>
      </c>
      <c r="Z945" t="s">
        <v>51</v>
      </c>
      <c r="AA945" t="s">
        <v>37</v>
      </c>
      <c r="AB945" t="s">
        <v>52</v>
      </c>
      <c r="AC945" t="s">
        <v>53</v>
      </c>
      <c r="AD945" t="s">
        <v>54</v>
      </c>
      <c r="AE945">
        <v>12.0036611434</v>
      </c>
      <c r="AF945">
        <v>1925</v>
      </c>
      <c r="AG945">
        <v>1924.9961749199999</v>
      </c>
      <c r="AH945">
        <v>120038.536269</v>
      </c>
      <c r="AI945">
        <v>49</v>
      </c>
      <c r="AJ945">
        <v>75841.327152825907</v>
      </c>
      <c r="AK945" s="1">
        <f>intersection_ss_Lden___surface[[#This Row],[surf m2 bout ss]]/intersection_ss_Lden___surface[[#This Row],[Shape_Area]]</f>
        <v>0.63180816352899793</v>
      </c>
      <c r="AL945">
        <v>1037</v>
      </c>
      <c r="AM945">
        <f>intersection_ss_Lden___surface[[#This Row],[Population totale 2024 ss]]*intersection_ss_Lden___surface[[#This Row],[Part de la surface du qs dans le noise contour]]</f>
        <v>655.18506557957085</v>
      </c>
    </row>
    <row r="946" spans="1:39" x14ac:dyDescent="0.3">
      <c r="A946">
        <v>976</v>
      </c>
      <c r="B946" t="s">
        <v>1380</v>
      </c>
      <c r="C946" t="s">
        <v>1381</v>
      </c>
      <c r="D946" t="s">
        <v>1381</v>
      </c>
      <c r="E946" t="s">
        <v>1381</v>
      </c>
      <c r="F946" t="s">
        <v>1362</v>
      </c>
      <c r="G946" t="s">
        <v>1363</v>
      </c>
      <c r="H946" t="s">
        <v>1364</v>
      </c>
      <c r="I946" t="s">
        <v>1365</v>
      </c>
      <c r="J946" t="s">
        <v>36</v>
      </c>
      <c r="K946">
        <v>21019</v>
      </c>
      <c r="L946" t="s">
        <v>1366</v>
      </c>
      <c r="M946" t="s">
        <v>1367</v>
      </c>
      <c r="N946" t="s">
        <v>1367</v>
      </c>
      <c r="O946">
        <v>21000</v>
      </c>
      <c r="P946" t="s">
        <v>46</v>
      </c>
      <c r="Q946" t="s">
        <v>47</v>
      </c>
      <c r="R946" t="s">
        <v>48</v>
      </c>
      <c r="T946" t="s">
        <v>36</v>
      </c>
      <c r="U946" t="s">
        <v>36</v>
      </c>
      <c r="V946" t="s">
        <v>36</v>
      </c>
      <c r="W946">
        <v>4000</v>
      </c>
      <c r="X946" t="s">
        <v>49</v>
      </c>
      <c r="Y946" t="s">
        <v>50</v>
      </c>
      <c r="Z946" t="s">
        <v>51</v>
      </c>
      <c r="AA946" t="s">
        <v>37</v>
      </c>
      <c r="AB946" t="s">
        <v>52</v>
      </c>
      <c r="AC946" t="s">
        <v>53</v>
      </c>
      <c r="AD946" t="s">
        <v>54</v>
      </c>
      <c r="AE946">
        <v>12.0036611434</v>
      </c>
      <c r="AF946">
        <v>1925</v>
      </c>
      <c r="AG946">
        <v>1924.9961749199999</v>
      </c>
      <c r="AH946">
        <v>120038.536269</v>
      </c>
      <c r="AI946">
        <v>50</v>
      </c>
      <c r="AJ946">
        <v>6978.3335738468304</v>
      </c>
      <c r="AK946" s="1">
        <f>intersection_ss_Lden___surface[[#This Row],[surf m2 bout ss]]/intersection_ss_Lden___surface[[#This Row],[Shape_Area]]</f>
        <v>5.8134110850941688E-2</v>
      </c>
      <c r="AL946">
        <v>1037</v>
      </c>
      <c r="AM946">
        <f>intersection_ss_Lden___surface[[#This Row],[Population totale 2024 ss]]*intersection_ss_Lden___surface[[#This Row],[Part de la surface du qs dans le noise contour]]</f>
        <v>60.285072952426532</v>
      </c>
    </row>
    <row r="947" spans="1:39" x14ac:dyDescent="0.3">
      <c r="A947">
        <v>977</v>
      </c>
      <c r="B947" t="s">
        <v>1382</v>
      </c>
      <c r="C947" t="s">
        <v>1383</v>
      </c>
      <c r="D947" t="s">
        <v>1384</v>
      </c>
      <c r="E947" t="s">
        <v>1384</v>
      </c>
      <c r="F947" t="s">
        <v>1362</v>
      </c>
      <c r="G947" t="s">
        <v>1363</v>
      </c>
      <c r="H947" t="s">
        <v>1364</v>
      </c>
      <c r="I947" t="s">
        <v>1365</v>
      </c>
      <c r="J947" t="s">
        <v>36</v>
      </c>
      <c r="K947">
        <v>21019</v>
      </c>
      <c r="L947" t="s">
        <v>1366</v>
      </c>
      <c r="M947" t="s">
        <v>1367</v>
      </c>
      <c r="N947" t="s">
        <v>1367</v>
      </c>
      <c r="O947">
        <v>21000</v>
      </c>
      <c r="P947" t="s">
        <v>46</v>
      </c>
      <c r="Q947" t="s">
        <v>47</v>
      </c>
      <c r="R947" t="s">
        <v>48</v>
      </c>
      <c r="T947" t="s">
        <v>36</v>
      </c>
      <c r="U947" t="s">
        <v>36</v>
      </c>
      <c r="V947" t="s">
        <v>36</v>
      </c>
      <c r="W947">
        <v>4000</v>
      </c>
      <c r="X947" t="s">
        <v>49</v>
      </c>
      <c r="Y947" t="s">
        <v>50</v>
      </c>
      <c r="Z947" t="s">
        <v>51</v>
      </c>
      <c r="AA947" t="s">
        <v>37</v>
      </c>
      <c r="AB947" t="s">
        <v>52</v>
      </c>
      <c r="AC947" t="s">
        <v>53</v>
      </c>
      <c r="AD947" t="s">
        <v>54</v>
      </c>
      <c r="AE947">
        <v>60.723825879300001</v>
      </c>
      <c r="AF947">
        <v>3827</v>
      </c>
      <c r="AG947">
        <v>3826.8096696500002</v>
      </c>
      <c r="AH947">
        <v>607248.04474599997</v>
      </c>
      <c r="AI947">
        <v>45</v>
      </c>
      <c r="AJ947">
        <v>65572.091232023202</v>
      </c>
      <c r="AK947" s="1">
        <f>intersection_ss_Lden___surface[[#This Row],[surf m2 bout ss]]/intersection_ss_Lden___surface[[#This Row],[Shape_Area]]</f>
        <v>0.1079823834746981</v>
      </c>
      <c r="AL947">
        <v>1</v>
      </c>
      <c r="AM947">
        <f>intersection_ss_Lden___surface[[#This Row],[Population totale 2024 ss]]*intersection_ss_Lden___surface[[#This Row],[Part de la surface du qs dans le noise contour]]</f>
        <v>0.1079823834746981</v>
      </c>
    </row>
    <row r="948" spans="1:39" x14ac:dyDescent="0.3">
      <c r="A948">
        <v>978</v>
      </c>
      <c r="B948" t="s">
        <v>1382</v>
      </c>
      <c r="C948" t="s">
        <v>1383</v>
      </c>
      <c r="D948" t="s">
        <v>1384</v>
      </c>
      <c r="E948" t="s">
        <v>1384</v>
      </c>
      <c r="F948" t="s">
        <v>1362</v>
      </c>
      <c r="G948" t="s">
        <v>1363</v>
      </c>
      <c r="H948" t="s">
        <v>1364</v>
      </c>
      <c r="I948" t="s">
        <v>1365</v>
      </c>
      <c r="J948" t="s">
        <v>36</v>
      </c>
      <c r="K948">
        <v>21019</v>
      </c>
      <c r="L948" t="s">
        <v>1366</v>
      </c>
      <c r="M948" t="s">
        <v>1367</v>
      </c>
      <c r="N948" t="s">
        <v>1367</v>
      </c>
      <c r="O948">
        <v>21000</v>
      </c>
      <c r="P948" t="s">
        <v>46</v>
      </c>
      <c r="Q948" t="s">
        <v>47</v>
      </c>
      <c r="R948" t="s">
        <v>48</v>
      </c>
      <c r="T948" t="s">
        <v>36</v>
      </c>
      <c r="U948" t="s">
        <v>36</v>
      </c>
      <c r="V948" t="s">
        <v>36</v>
      </c>
      <c r="W948">
        <v>4000</v>
      </c>
      <c r="X948" t="s">
        <v>49</v>
      </c>
      <c r="Y948" t="s">
        <v>50</v>
      </c>
      <c r="Z948" t="s">
        <v>51</v>
      </c>
      <c r="AA948" t="s">
        <v>37</v>
      </c>
      <c r="AB948" t="s">
        <v>52</v>
      </c>
      <c r="AC948" t="s">
        <v>53</v>
      </c>
      <c r="AD948" t="s">
        <v>54</v>
      </c>
      <c r="AE948">
        <v>60.723825879300001</v>
      </c>
      <c r="AF948">
        <v>3827</v>
      </c>
      <c r="AG948">
        <v>3826.8096696500002</v>
      </c>
      <c r="AH948">
        <v>607248.04474599997</v>
      </c>
      <c r="AI948">
        <v>46</v>
      </c>
      <c r="AJ948">
        <v>194571.40142261999</v>
      </c>
      <c r="AK948" s="1">
        <f>intersection_ss_Lden___surface[[#This Row],[surf m2 bout ss]]/intersection_ss_Lden___surface[[#This Row],[Shape_Area]]</f>
        <v>0.32041503156095863</v>
      </c>
      <c r="AL948">
        <v>1</v>
      </c>
      <c r="AM948">
        <f>intersection_ss_Lden___surface[[#This Row],[Population totale 2024 ss]]*intersection_ss_Lden___surface[[#This Row],[Part de la surface du qs dans le noise contour]]</f>
        <v>0.32041503156095863</v>
      </c>
    </row>
    <row r="949" spans="1:39" x14ac:dyDescent="0.3">
      <c r="A949">
        <v>979</v>
      </c>
      <c r="B949" t="s">
        <v>1382</v>
      </c>
      <c r="C949" t="s">
        <v>1383</v>
      </c>
      <c r="D949" t="s">
        <v>1384</v>
      </c>
      <c r="E949" t="s">
        <v>1384</v>
      </c>
      <c r="F949" t="s">
        <v>1362</v>
      </c>
      <c r="G949" t="s">
        <v>1363</v>
      </c>
      <c r="H949" t="s">
        <v>1364</v>
      </c>
      <c r="I949" t="s">
        <v>1365</v>
      </c>
      <c r="J949" t="s">
        <v>36</v>
      </c>
      <c r="K949">
        <v>21019</v>
      </c>
      <c r="L949" t="s">
        <v>1366</v>
      </c>
      <c r="M949" t="s">
        <v>1367</v>
      </c>
      <c r="N949" t="s">
        <v>1367</v>
      </c>
      <c r="O949">
        <v>21000</v>
      </c>
      <c r="P949" t="s">
        <v>46</v>
      </c>
      <c r="Q949" t="s">
        <v>47</v>
      </c>
      <c r="R949" t="s">
        <v>48</v>
      </c>
      <c r="T949" t="s">
        <v>36</v>
      </c>
      <c r="U949" t="s">
        <v>36</v>
      </c>
      <c r="V949" t="s">
        <v>36</v>
      </c>
      <c r="W949">
        <v>4000</v>
      </c>
      <c r="X949" t="s">
        <v>49</v>
      </c>
      <c r="Y949" t="s">
        <v>50</v>
      </c>
      <c r="Z949" t="s">
        <v>51</v>
      </c>
      <c r="AA949" t="s">
        <v>37</v>
      </c>
      <c r="AB949" t="s">
        <v>52</v>
      </c>
      <c r="AC949" t="s">
        <v>53</v>
      </c>
      <c r="AD949" t="s">
        <v>54</v>
      </c>
      <c r="AE949">
        <v>60.723825879300001</v>
      </c>
      <c r="AF949">
        <v>3827</v>
      </c>
      <c r="AG949">
        <v>3826.8096696500002</v>
      </c>
      <c r="AH949">
        <v>607248.04474599997</v>
      </c>
      <c r="AI949">
        <v>47</v>
      </c>
      <c r="AJ949">
        <v>247538.67368596201</v>
      </c>
      <c r="AK949" s="1">
        <f>intersection_ss_Lden___surface[[#This Row],[surf m2 bout ss]]/intersection_ss_Lden___surface[[#This Row],[Shape_Area]]</f>
        <v>0.4076401329369494</v>
      </c>
      <c r="AL949">
        <v>1</v>
      </c>
      <c r="AM949">
        <f>intersection_ss_Lden___surface[[#This Row],[Population totale 2024 ss]]*intersection_ss_Lden___surface[[#This Row],[Part de la surface du qs dans le noise contour]]</f>
        <v>0.4076401329369494</v>
      </c>
    </row>
    <row r="950" spans="1:39" x14ac:dyDescent="0.3">
      <c r="A950">
        <v>980</v>
      </c>
      <c r="B950" t="s">
        <v>1382</v>
      </c>
      <c r="C950" t="s">
        <v>1383</v>
      </c>
      <c r="D950" t="s">
        <v>1384</v>
      </c>
      <c r="E950" t="s">
        <v>1384</v>
      </c>
      <c r="F950" t="s">
        <v>1362</v>
      </c>
      <c r="G950" t="s">
        <v>1363</v>
      </c>
      <c r="H950" t="s">
        <v>1364</v>
      </c>
      <c r="I950" t="s">
        <v>1365</v>
      </c>
      <c r="J950" t="s">
        <v>36</v>
      </c>
      <c r="K950">
        <v>21019</v>
      </c>
      <c r="L950" t="s">
        <v>1366</v>
      </c>
      <c r="M950" t="s">
        <v>1367</v>
      </c>
      <c r="N950" t="s">
        <v>1367</v>
      </c>
      <c r="O950">
        <v>21000</v>
      </c>
      <c r="P950" t="s">
        <v>46</v>
      </c>
      <c r="Q950" t="s">
        <v>47</v>
      </c>
      <c r="R950" t="s">
        <v>48</v>
      </c>
      <c r="T950" t="s">
        <v>36</v>
      </c>
      <c r="U950" t="s">
        <v>36</v>
      </c>
      <c r="V950" t="s">
        <v>36</v>
      </c>
      <c r="W950">
        <v>4000</v>
      </c>
      <c r="X950" t="s">
        <v>49</v>
      </c>
      <c r="Y950" t="s">
        <v>50</v>
      </c>
      <c r="Z950" t="s">
        <v>51</v>
      </c>
      <c r="AA950" t="s">
        <v>37</v>
      </c>
      <c r="AB950" t="s">
        <v>52</v>
      </c>
      <c r="AC950" t="s">
        <v>53</v>
      </c>
      <c r="AD950" t="s">
        <v>54</v>
      </c>
      <c r="AE950">
        <v>60.723825879300001</v>
      </c>
      <c r="AF950">
        <v>3827</v>
      </c>
      <c r="AG950">
        <v>3826.8096696500002</v>
      </c>
      <c r="AH950">
        <v>607248.04474599997</v>
      </c>
      <c r="AI950">
        <v>48</v>
      </c>
      <c r="AJ950">
        <v>97332.968375649303</v>
      </c>
      <c r="AK950" s="1">
        <f>intersection_ss_Lden___surface[[#This Row],[surf m2 bout ss]]/intersection_ss_Lden___surface[[#This Row],[Shape_Area]]</f>
        <v>0.16028535491845311</v>
      </c>
      <c r="AL950">
        <v>1</v>
      </c>
      <c r="AM950">
        <f>intersection_ss_Lden___surface[[#This Row],[Population totale 2024 ss]]*intersection_ss_Lden___surface[[#This Row],[Part de la surface du qs dans le noise contour]]</f>
        <v>0.16028535491845311</v>
      </c>
    </row>
    <row r="951" spans="1:39" x14ac:dyDescent="0.3">
      <c r="A951">
        <v>981</v>
      </c>
      <c r="B951" t="s">
        <v>1385</v>
      </c>
      <c r="C951" t="s">
        <v>1386</v>
      </c>
      <c r="D951" t="s">
        <v>1387</v>
      </c>
      <c r="E951" t="s">
        <v>1387</v>
      </c>
      <c r="F951" t="s">
        <v>1388</v>
      </c>
      <c r="G951" t="s">
        <v>1363</v>
      </c>
      <c r="H951" t="s">
        <v>1364</v>
      </c>
      <c r="I951" t="s">
        <v>1365</v>
      </c>
      <c r="J951" t="s">
        <v>36</v>
      </c>
      <c r="K951">
        <v>21019</v>
      </c>
      <c r="L951" t="s">
        <v>1366</v>
      </c>
      <c r="M951" t="s">
        <v>1367</v>
      </c>
      <c r="N951" t="s">
        <v>1367</v>
      </c>
      <c r="O951">
        <v>21000</v>
      </c>
      <c r="P951" t="s">
        <v>46</v>
      </c>
      <c r="Q951" t="s">
        <v>47</v>
      </c>
      <c r="R951" t="s">
        <v>48</v>
      </c>
      <c r="T951" t="s">
        <v>36</v>
      </c>
      <c r="U951" t="s">
        <v>36</v>
      </c>
      <c r="V951" t="s">
        <v>36</v>
      </c>
      <c r="W951">
        <v>4000</v>
      </c>
      <c r="X951" t="s">
        <v>49</v>
      </c>
      <c r="Y951" t="s">
        <v>50</v>
      </c>
      <c r="Z951" t="s">
        <v>51</v>
      </c>
      <c r="AA951" t="s">
        <v>37</v>
      </c>
      <c r="AB951" t="s">
        <v>52</v>
      </c>
      <c r="AC951" t="s">
        <v>53</v>
      </c>
      <c r="AD951" t="s">
        <v>54</v>
      </c>
      <c r="AE951">
        <v>26.391712234100002</v>
      </c>
      <c r="AF951">
        <v>2184</v>
      </c>
      <c r="AG951">
        <v>2184.18527167</v>
      </c>
      <c r="AH951">
        <v>263921.374305</v>
      </c>
      <c r="AI951">
        <v>52</v>
      </c>
      <c r="AJ951">
        <v>1079.7806444540599</v>
      </c>
      <c r="AK951" s="1">
        <f>intersection_ss_Lden___surface[[#This Row],[surf m2 bout ss]]/intersection_ss_Lden___surface[[#This Row],[Shape_Area]]</f>
        <v>4.0912966874983546E-3</v>
      </c>
      <c r="AL951">
        <v>2533</v>
      </c>
      <c r="AM951">
        <f>intersection_ss_Lden___surface[[#This Row],[Population totale 2024 ss]]*intersection_ss_Lden___surface[[#This Row],[Part de la surface du qs dans le noise contour]]</f>
        <v>10.363254509433332</v>
      </c>
    </row>
    <row r="952" spans="1:39" x14ac:dyDescent="0.3">
      <c r="A952">
        <v>982</v>
      </c>
      <c r="B952" t="s">
        <v>1385</v>
      </c>
      <c r="C952" t="s">
        <v>1386</v>
      </c>
      <c r="D952" t="s">
        <v>1387</v>
      </c>
      <c r="E952" t="s">
        <v>1387</v>
      </c>
      <c r="F952" t="s">
        <v>1388</v>
      </c>
      <c r="G952" t="s">
        <v>1363</v>
      </c>
      <c r="H952" t="s">
        <v>1364</v>
      </c>
      <c r="I952" t="s">
        <v>1365</v>
      </c>
      <c r="J952" t="s">
        <v>36</v>
      </c>
      <c r="K952">
        <v>21019</v>
      </c>
      <c r="L952" t="s">
        <v>1366</v>
      </c>
      <c r="M952" t="s">
        <v>1367</v>
      </c>
      <c r="N952" t="s">
        <v>1367</v>
      </c>
      <c r="O952">
        <v>21000</v>
      </c>
      <c r="P952" t="s">
        <v>46</v>
      </c>
      <c r="Q952" t="s">
        <v>47</v>
      </c>
      <c r="R952" t="s">
        <v>48</v>
      </c>
      <c r="T952" t="s">
        <v>36</v>
      </c>
      <c r="U952" t="s">
        <v>36</v>
      </c>
      <c r="V952" t="s">
        <v>36</v>
      </c>
      <c r="W952">
        <v>4000</v>
      </c>
      <c r="X952" t="s">
        <v>49</v>
      </c>
      <c r="Y952" t="s">
        <v>50</v>
      </c>
      <c r="Z952" t="s">
        <v>51</v>
      </c>
      <c r="AA952" t="s">
        <v>37</v>
      </c>
      <c r="AB952" t="s">
        <v>52</v>
      </c>
      <c r="AC952" t="s">
        <v>53</v>
      </c>
      <c r="AD952" t="s">
        <v>54</v>
      </c>
      <c r="AE952">
        <v>26.391712234100002</v>
      </c>
      <c r="AF952">
        <v>2184</v>
      </c>
      <c r="AG952">
        <v>2184.18527167</v>
      </c>
      <c r="AH952">
        <v>263921.374305</v>
      </c>
      <c r="AI952">
        <v>53</v>
      </c>
      <c r="AJ952">
        <v>148227.866397498</v>
      </c>
      <c r="AK952" s="1">
        <f>intersection_ss_Lden___surface[[#This Row],[surf m2 bout ss]]/intersection_ss_Lden___surface[[#This Row],[Shape_Area]]</f>
        <v>0.56163646005495138</v>
      </c>
      <c r="AL952">
        <v>2533</v>
      </c>
      <c r="AM952">
        <f>intersection_ss_Lden___surface[[#This Row],[Population totale 2024 ss]]*intersection_ss_Lden___surface[[#This Row],[Part de la surface du qs dans le noise contour]]</f>
        <v>1422.6251533191919</v>
      </c>
    </row>
    <row r="953" spans="1:39" x14ac:dyDescent="0.3">
      <c r="A953">
        <v>983</v>
      </c>
      <c r="B953" t="s">
        <v>1385</v>
      </c>
      <c r="C953" t="s">
        <v>1386</v>
      </c>
      <c r="D953" t="s">
        <v>1387</v>
      </c>
      <c r="E953" t="s">
        <v>1387</v>
      </c>
      <c r="F953" t="s">
        <v>1388</v>
      </c>
      <c r="G953" t="s">
        <v>1363</v>
      </c>
      <c r="H953" t="s">
        <v>1364</v>
      </c>
      <c r="I953" t="s">
        <v>1365</v>
      </c>
      <c r="J953" t="s">
        <v>36</v>
      </c>
      <c r="K953">
        <v>21019</v>
      </c>
      <c r="L953" t="s">
        <v>1366</v>
      </c>
      <c r="M953" t="s">
        <v>1367</v>
      </c>
      <c r="N953" t="s">
        <v>1367</v>
      </c>
      <c r="O953">
        <v>21000</v>
      </c>
      <c r="P953" t="s">
        <v>46</v>
      </c>
      <c r="Q953" t="s">
        <v>47</v>
      </c>
      <c r="R953" t="s">
        <v>48</v>
      </c>
      <c r="T953" t="s">
        <v>36</v>
      </c>
      <c r="U953" t="s">
        <v>36</v>
      </c>
      <c r="V953" t="s">
        <v>36</v>
      </c>
      <c r="W953">
        <v>4000</v>
      </c>
      <c r="X953" t="s">
        <v>49</v>
      </c>
      <c r="Y953" t="s">
        <v>50</v>
      </c>
      <c r="Z953" t="s">
        <v>51</v>
      </c>
      <c r="AA953" t="s">
        <v>37</v>
      </c>
      <c r="AB953" t="s">
        <v>52</v>
      </c>
      <c r="AC953" t="s">
        <v>53</v>
      </c>
      <c r="AD953" t="s">
        <v>54</v>
      </c>
      <c r="AE953">
        <v>26.391712234100002</v>
      </c>
      <c r="AF953">
        <v>2184</v>
      </c>
      <c r="AG953">
        <v>2184.18527167</v>
      </c>
      <c r="AH953">
        <v>263921.374305</v>
      </c>
      <c r="AI953">
        <v>54</v>
      </c>
      <c r="AJ953">
        <v>104917.81837412799</v>
      </c>
      <c r="AK953" s="1">
        <f>intersection_ss_Lden___surface[[#This Row],[surf m2 bout ss]]/intersection_ss_Lden___surface[[#This Row],[Shape_Area]]</f>
        <v>0.39753437420676663</v>
      </c>
      <c r="AL953">
        <v>2533</v>
      </c>
      <c r="AM953">
        <f>intersection_ss_Lden___surface[[#This Row],[Population totale 2024 ss]]*intersection_ss_Lden___surface[[#This Row],[Part de la surface du qs dans le noise contour]]</f>
        <v>1006.9545698657398</v>
      </c>
    </row>
    <row r="954" spans="1:39" x14ac:dyDescent="0.3">
      <c r="A954">
        <v>984</v>
      </c>
      <c r="B954" t="s">
        <v>1385</v>
      </c>
      <c r="C954" t="s">
        <v>1386</v>
      </c>
      <c r="D954" t="s">
        <v>1387</v>
      </c>
      <c r="E954" t="s">
        <v>1387</v>
      </c>
      <c r="F954" t="s">
        <v>1388</v>
      </c>
      <c r="G954" t="s">
        <v>1363</v>
      </c>
      <c r="H954" t="s">
        <v>1364</v>
      </c>
      <c r="I954" t="s">
        <v>1365</v>
      </c>
      <c r="J954" t="s">
        <v>36</v>
      </c>
      <c r="K954">
        <v>21019</v>
      </c>
      <c r="L954" t="s">
        <v>1366</v>
      </c>
      <c r="M954" t="s">
        <v>1367</v>
      </c>
      <c r="N954" t="s">
        <v>1367</v>
      </c>
      <c r="O954">
        <v>21000</v>
      </c>
      <c r="P954" t="s">
        <v>46</v>
      </c>
      <c r="Q954" t="s">
        <v>47</v>
      </c>
      <c r="R954" t="s">
        <v>48</v>
      </c>
      <c r="T954" t="s">
        <v>36</v>
      </c>
      <c r="U954" t="s">
        <v>36</v>
      </c>
      <c r="V954" t="s">
        <v>36</v>
      </c>
      <c r="W954">
        <v>4000</v>
      </c>
      <c r="X954" t="s">
        <v>49</v>
      </c>
      <c r="Y954" t="s">
        <v>50</v>
      </c>
      <c r="Z954" t="s">
        <v>51</v>
      </c>
      <c r="AA954" t="s">
        <v>37</v>
      </c>
      <c r="AB954" t="s">
        <v>52</v>
      </c>
      <c r="AC954" t="s">
        <v>53</v>
      </c>
      <c r="AD954" t="s">
        <v>54</v>
      </c>
      <c r="AE954">
        <v>26.391712234100002</v>
      </c>
      <c r="AF954">
        <v>2184</v>
      </c>
      <c r="AG954">
        <v>2184.18527167</v>
      </c>
      <c r="AH954">
        <v>263921.374305</v>
      </c>
      <c r="AI954">
        <v>55</v>
      </c>
      <c r="AJ954">
        <v>9722.2612408096902</v>
      </c>
      <c r="AK954" s="1">
        <f>intersection_ss_Lden___surface[[#This Row],[surf m2 bout ss]]/intersection_ss_Lden___surface[[#This Row],[Shape_Area]]</f>
        <v>3.6837718303081378E-2</v>
      </c>
      <c r="AL954">
        <v>2533</v>
      </c>
      <c r="AM954">
        <f>intersection_ss_Lden___surface[[#This Row],[Population totale 2024 ss]]*intersection_ss_Lden___surface[[#This Row],[Part de la surface du qs dans le noise contour]]</f>
        <v>93.309940461705125</v>
      </c>
    </row>
    <row r="955" spans="1:39" x14ac:dyDescent="0.3">
      <c r="A955">
        <v>985</v>
      </c>
      <c r="B955" t="s">
        <v>1389</v>
      </c>
      <c r="C955" t="s">
        <v>1390</v>
      </c>
      <c r="D955" t="s">
        <v>1391</v>
      </c>
      <c r="E955" t="s">
        <v>1391</v>
      </c>
      <c r="F955" t="s">
        <v>1388</v>
      </c>
      <c r="G955" t="s">
        <v>1363</v>
      </c>
      <c r="H955" t="s">
        <v>1364</v>
      </c>
      <c r="I955" t="s">
        <v>1365</v>
      </c>
      <c r="J955" t="s">
        <v>36</v>
      </c>
      <c r="K955">
        <v>21019</v>
      </c>
      <c r="L955" t="s">
        <v>1366</v>
      </c>
      <c r="M955" t="s">
        <v>1367</v>
      </c>
      <c r="N955" t="s">
        <v>1367</v>
      </c>
      <c r="O955">
        <v>21000</v>
      </c>
      <c r="P955" t="s">
        <v>46</v>
      </c>
      <c r="Q955" t="s">
        <v>47</v>
      </c>
      <c r="R955" t="s">
        <v>48</v>
      </c>
      <c r="T955" t="s">
        <v>36</v>
      </c>
      <c r="U955" t="s">
        <v>36</v>
      </c>
      <c r="V955" t="s">
        <v>36</v>
      </c>
      <c r="W955">
        <v>4000</v>
      </c>
      <c r="X955" t="s">
        <v>49</v>
      </c>
      <c r="Y955" t="s">
        <v>50</v>
      </c>
      <c r="Z955" t="s">
        <v>51</v>
      </c>
      <c r="AA955" t="s">
        <v>37</v>
      </c>
      <c r="AB955" t="s">
        <v>52</v>
      </c>
      <c r="AC955" t="s">
        <v>53</v>
      </c>
      <c r="AD955" t="s">
        <v>54</v>
      </c>
      <c r="AE955">
        <v>32.2304247346</v>
      </c>
      <c r="AF955">
        <v>2547</v>
      </c>
      <c r="AG955">
        <v>2547.2314379700001</v>
      </c>
      <c r="AH955">
        <v>322309.43720099999</v>
      </c>
      <c r="AI955">
        <v>52</v>
      </c>
      <c r="AJ955">
        <v>74010.496278470993</v>
      </c>
      <c r="AK955" s="1">
        <f>intersection_ss_Lden___surface[[#This Row],[surf m2 bout ss]]/intersection_ss_Lden___surface[[#This Row],[Shape_Area]]</f>
        <v>0.22962559495990262</v>
      </c>
      <c r="AL955">
        <v>1091</v>
      </c>
      <c r="AM955">
        <f>intersection_ss_Lden___surface[[#This Row],[Population totale 2024 ss]]*intersection_ss_Lden___surface[[#This Row],[Part de la surface du qs dans le noise contour]]</f>
        <v>250.52152410125376</v>
      </c>
    </row>
    <row r="956" spans="1:39" x14ac:dyDescent="0.3">
      <c r="A956">
        <v>986</v>
      </c>
      <c r="B956" t="s">
        <v>1389</v>
      </c>
      <c r="C956" t="s">
        <v>1390</v>
      </c>
      <c r="D956" t="s">
        <v>1391</v>
      </c>
      <c r="E956" t="s">
        <v>1391</v>
      </c>
      <c r="F956" t="s">
        <v>1388</v>
      </c>
      <c r="G956" t="s">
        <v>1363</v>
      </c>
      <c r="H956" t="s">
        <v>1364</v>
      </c>
      <c r="I956" t="s">
        <v>1365</v>
      </c>
      <c r="J956" t="s">
        <v>36</v>
      </c>
      <c r="K956">
        <v>21019</v>
      </c>
      <c r="L956" t="s">
        <v>1366</v>
      </c>
      <c r="M956" t="s">
        <v>1367</v>
      </c>
      <c r="N956" t="s">
        <v>1367</v>
      </c>
      <c r="O956">
        <v>21000</v>
      </c>
      <c r="P956" t="s">
        <v>46</v>
      </c>
      <c r="Q956" t="s">
        <v>47</v>
      </c>
      <c r="R956" t="s">
        <v>48</v>
      </c>
      <c r="T956" t="s">
        <v>36</v>
      </c>
      <c r="U956" t="s">
        <v>36</v>
      </c>
      <c r="V956" t="s">
        <v>36</v>
      </c>
      <c r="W956">
        <v>4000</v>
      </c>
      <c r="X956" t="s">
        <v>49</v>
      </c>
      <c r="Y956" t="s">
        <v>50</v>
      </c>
      <c r="Z956" t="s">
        <v>51</v>
      </c>
      <c r="AA956" t="s">
        <v>37</v>
      </c>
      <c r="AB956" t="s">
        <v>52</v>
      </c>
      <c r="AC956" t="s">
        <v>53</v>
      </c>
      <c r="AD956" t="s">
        <v>54</v>
      </c>
      <c r="AE956">
        <v>32.2304247346</v>
      </c>
      <c r="AF956">
        <v>2547</v>
      </c>
      <c r="AG956">
        <v>2547.2314379700001</v>
      </c>
      <c r="AH956">
        <v>322309.43720099999</v>
      </c>
      <c r="AI956">
        <v>53</v>
      </c>
      <c r="AJ956">
        <v>126732.126057751</v>
      </c>
      <c r="AK956" s="1">
        <f>intersection_ss_Lden___surface[[#This Row],[surf m2 bout ss]]/intersection_ss_Lden___surface[[#This Row],[Shape_Area]]</f>
        <v>0.39320017173036659</v>
      </c>
      <c r="AL956">
        <v>1091</v>
      </c>
      <c r="AM956">
        <f>intersection_ss_Lden___surface[[#This Row],[Population totale 2024 ss]]*intersection_ss_Lden___surface[[#This Row],[Part de la surface du qs dans le noise contour]]</f>
        <v>428.98138735782993</v>
      </c>
    </row>
    <row r="957" spans="1:39" x14ac:dyDescent="0.3">
      <c r="A957">
        <v>987</v>
      </c>
      <c r="B957" t="s">
        <v>1389</v>
      </c>
      <c r="C957" t="s">
        <v>1390</v>
      </c>
      <c r="D957" t="s">
        <v>1391</v>
      </c>
      <c r="E957" t="s">
        <v>1391</v>
      </c>
      <c r="F957" t="s">
        <v>1388</v>
      </c>
      <c r="G957" t="s">
        <v>1363</v>
      </c>
      <c r="H957" t="s">
        <v>1364</v>
      </c>
      <c r="I957" t="s">
        <v>1365</v>
      </c>
      <c r="J957" t="s">
        <v>36</v>
      </c>
      <c r="K957">
        <v>21019</v>
      </c>
      <c r="L957" t="s">
        <v>1366</v>
      </c>
      <c r="M957" t="s">
        <v>1367</v>
      </c>
      <c r="N957" t="s">
        <v>1367</v>
      </c>
      <c r="O957">
        <v>21000</v>
      </c>
      <c r="P957" t="s">
        <v>46</v>
      </c>
      <c r="Q957" t="s">
        <v>47</v>
      </c>
      <c r="R957" t="s">
        <v>48</v>
      </c>
      <c r="T957" t="s">
        <v>36</v>
      </c>
      <c r="U957" t="s">
        <v>36</v>
      </c>
      <c r="V957" t="s">
        <v>36</v>
      </c>
      <c r="W957">
        <v>4000</v>
      </c>
      <c r="X957" t="s">
        <v>49</v>
      </c>
      <c r="Y957" t="s">
        <v>50</v>
      </c>
      <c r="Z957" t="s">
        <v>51</v>
      </c>
      <c r="AA957" t="s">
        <v>37</v>
      </c>
      <c r="AB957" t="s">
        <v>52</v>
      </c>
      <c r="AC957" t="s">
        <v>53</v>
      </c>
      <c r="AD957" t="s">
        <v>54</v>
      </c>
      <c r="AE957">
        <v>32.2304247346</v>
      </c>
      <c r="AF957">
        <v>2547</v>
      </c>
      <c r="AG957">
        <v>2547.2314379700001</v>
      </c>
      <c r="AH957">
        <v>322309.43720099999</v>
      </c>
      <c r="AI957">
        <v>54</v>
      </c>
      <c r="AJ957">
        <v>80641.923222266603</v>
      </c>
      <c r="AK957" s="1">
        <f>intersection_ss_Lden___surface[[#This Row],[surf m2 bout ss]]/intersection_ss_Lden___surface[[#This Row],[Shape_Area]]</f>
        <v>0.25020031657334418</v>
      </c>
      <c r="AL957">
        <v>1091</v>
      </c>
      <c r="AM957">
        <f>intersection_ss_Lden___surface[[#This Row],[Population totale 2024 ss]]*intersection_ss_Lden___surface[[#This Row],[Part de la surface du qs dans le noise contour]]</f>
        <v>272.96854538151848</v>
      </c>
    </row>
    <row r="958" spans="1:39" x14ac:dyDescent="0.3">
      <c r="A958">
        <v>988</v>
      </c>
      <c r="B958" t="s">
        <v>1389</v>
      </c>
      <c r="C958" t="s">
        <v>1390</v>
      </c>
      <c r="D958" t="s">
        <v>1391</v>
      </c>
      <c r="E958" t="s">
        <v>1391</v>
      </c>
      <c r="F958" t="s">
        <v>1388</v>
      </c>
      <c r="G958" t="s">
        <v>1363</v>
      </c>
      <c r="H958" t="s">
        <v>1364</v>
      </c>
      <c r="I958" t="s">
        <v>1365</v>
      </c>
      <c r="J958" t="s">
        <v>36</v>
      </c>
      <c r="K958">
        <v>21019</v>
      </c>
      <c r="L958" t="s">
        <v>1366</v>
      </c>
      <c r="M958" t="s">
        <v>1367</v>
      </c>
      <c r="N958" t="s">
        <v>1367</v>
      </c>
      <c r="O958">
        <v>21000</v>
      </c>
      <c r="P958" t="s">
        <v>46</v>
      </c>
      <c r="Q958" t="s">
        <v>47</v>
      </c>
      <c r="R958" t="s">
        <v>48</v>
      </c>
      <c r="T958" t="s">
        <v>36</v>
      </c>
      <c r="U958" t="s">
        <v>36</v>
      </c>
      <c r="V958" t="s">
        <v>36</v>
      </c>
      <c r="W958">
        <v>4000</v>
      </c>
      <c r="X958" t="s">
        <v>49</v>
      </c>
      <c r="Y958" t="s">
        <v>50</v>
      </c>
      <c r="Z958" t="s">
        <v>51</v>
      </c>
      <c r="AA958" t="s">
        <v>37</v>
      </c>
      <c r="AB958" t="s">
        <v>52</v>
      </c>
      <c r="AC958" t="s">
        <v>53</v>
      </c>
      <c r="AD958" t="s">
        <v>54</v>
      </c>
      <c r="AE958">
        <v>32.2304247346</v>
      </c>
      <c r="AF958">
        <v>2547</v>
      </c>
      <c r="AG958">
        <v>2547.2314379700001</v>
      </c>
      <c r="AH958">
        <v>322309.43720099999</v>
      </c>
      <c r="AI958">
        <v>55</v>
      </c>
      <c r="AJ958">
        <v>40957.442990502801</v>
      </c>
      <c r="AK958" s="1">
        <f>intersection_ss_Lden___surface[[#This Row],[surf m2 bout ss]]/intersection_ss_Lden___surface[[#This Row],[Shape_Area]]</f>
        <v>0.12707491082540268</v>
      </c>
      <c r="AL958">
        <v>1091</v>
      </c>
      <c r="AM958">
        <f>intersection_ss_Lden___surface[[#This Row],[Population totale 2024 ss]]*intersection_ss_Lden___surface[[#This Row],[Part de la surface du qs dans le noise contour]]</f>
        <v>138.63872771051433</v>
      </c>
    </row>
    <row r="959" spans="1:39" x14ac:dyDescent="0.3">
      <c r="A959">
        <v>989</v>
      </c>
      <c r="B959" t="s">
        <v>1392</v>
      </c>
      <c r="C959" t="s">
        <v>1393</v>
      </c>
      <c r="D959" t="s">
        <v>1394</v>
      </c>
      <c r="E959" t="s">
        <v>1394</v>
      </c>
      <c r="F959" t="s">
        <v>1388</v>
      </c>
      <c r="G959" t="s">
        <v>1363</v>
      </c>
      <c r="H959" t="s">
        <v>1364</v>
      </c>
      <c r="I959" t="s">
        <v>1365</v>
      </c>
      <c r="J959" t="s">
        <v>36</v>
      </c>
      <c r="K959">
        <v>21019</v>
      </c>
      <c r="L959" t="s">
        <v>1366</v>
      </c>
      <c r="M959" t="s">
        <v>1367</v>
      </c>
      <c r="N959" t="s">
        <v>1367</v>
      </c>
      <c r="O959">
        <v>21000</v>
      </c>
      <c r="P959" t="s">
        <v>46</v>
      </c>
      <c r="Q959" t="s">
        <v>47</v>
      </c>
      <c r="R959" t="s">
        <v>48</v>
      </c>
      <c r="T959" t="s">
        <v>36</v>
      </c>
      <c r="U959" t="s">
        <v>36</v>
      </c>
      <c r="V959" t="s">
        <v>36</v>
      </c>
      <c r="W959">
        <v>4000</v>
      </c>
      <c r="X959" t="s">
        <v>49</v>
      </c>
      <c r="Y959" t="s">
        <v>50</v>
      </c>
      <c r="Z959" t="s">
        <v>51</v>
      </c>
      <c r="AA959" t="s">
        <v>37</v>
      </c>
      <c r="AB959" t="s">
        <v>52</v>
      </c>
      <c r="AC959" t="s">
        <v>53</v>
      </c>
      <c r="AD959" t="s">
        <v>54</v>
      </c>
      <c r="AE959">
        <v>21.386016987200001</v>
      </c>
      <c r="AF959">
        <v>1937</v>
      </c>
      <c r="AG959">
        <v>1937.17759671</v>
      </c>
      <c r="AH959">
        <v>213863.60789000001</v>
      </c>
      <c r="AI959">
        <v>52</v>
      </c>
      <c r="AJ959">
        <v>163049.11182316599</v>
      </c>
      <c r="AK959" s="1">
        <f>intersection_ss_Lden___surface[[#This Row],[surf m2 bout ss]]/intersection_ss_Lden___surface[[#This Row],[Shape_Area]]</f>
        <v>0.76239764881844563</v>
      </c>
      <c r="AL959">
        <v>582</v>
      </c>
      <c r="AM959">
        <f>intersection_ss_Lden___surface[[#This Row],[Population totale 2024 ss]]*intersection_ss_Lden___surface[[#This Row],[Part de la surface du qs dans le noise contour]]</f>
        <v>443.71543161233535</v>
      </c>
    </row>
    <row r="960" spans="1:39" x14ac:dyDescent="0.3">
      <c r="A960">
        <v>990</v>
      </c>
      <c r="B960" t="s">
        <v>1392</v>
      </c>
      <c r="C960" t="s">
        <v>1393</v>
      </c>
      <c r="D960" t="s">
        <v>1394</v>
      </c>
      <c r="E960" t="s">
        <v>1394</v>
      </c>
      <c r="F960" t="s">
        <v>1388</v>
      </c>
      <c r="G960" t="s">
        <v>1363</v>
      </c>
      <c r="H960" t="s">
        <v>1364</v>
      </c>
      <c r="I960" t="s">
        <v>1365</v>
      </c>
      <c r="J960" t="s">
        <v>36</v>
      </c>
      <c r="K960">
        <v>21019</v>
      </c>
      <c r="L960" t="s">
        <v>1366</v>
      </c>
      <c r="M960" t="s">
        <v>1367</v>
      </c>
      <c r="N960" t="s">
        <v>1367</v>
      </c>
      <c r="O960">
        <v>21000</v>
      </c>
      <c r="P960" t="s">
        <v>46</v>
      </c>
      <c r="Q960" t="s">
        <v>47</v>
      </c>
      <c r="R960" t="s">
        <v>48</v>
      </c>
      <c r="T960" t="s">
        <v>36</v>
      </c>
      <c r="U960" t="s">
        <v>36</v>
      </c>
      <c r="V960" t="s">
        <v>36</v>
      </c>
      <c r="W960">
        <v>4000</v>
      </c>
      <c r="X960" t="s">
        <v>49</v>
      </c>
      <c r="Y960" t="s">
        <v>50</v>
      </c>
      <c r="Z960" t="s">
        <v>51</v>
      </c>
      <c r="AA960" t="s">
        <v>37</v>
      </c>
      <c r="AB960" t="s">
        <v>52</v>
      </c>
      <c r="AC960" t="s">
        <v>53</v>
      </c>
      <c r="AD960" t="s">
        <v>54</v>
      </c>
      <c r="AE960">
        <v>21.386016987200001</v>
      </c>
      <c r="AF960">
        <v>1937</v>
      </c>
      <c r="AG960">
        <v>1937.17759671</v>
      </c>
      <c r="AH960">
        <v>213863.60789000001</v>
      </c>
      <c r="AI960">
        <v>53</v>
      </c>
      <c r="AJ960">
        <v>50835.994166307202</v>
      </c>
      <c r="AK960" s="1">
        <f>intersection_ss_Lden___surface[[#This Row],[surf m2 bout ss]]/intersection_ss_Lden___surface[[#This Row],[Shape_Area]]</f>
        <v>0.23770287365793677</v>
      </c>
      <c r="AL960">
        <v>582</v>
      </c>
      <c r="AM960">
        <f>intersection_ss_Lden___surface[[#This Row],[Population totale 2024 ss]]*intersection_ss_Lden___surface[[#This Row],[Part de la surface du qs dans le noise contour]]</f>
        <v>138.34307246891919</v>
      </c>
    </row>
    <row r="961" spans="1:39" x14ac:dyDescent="0.3">
      <c r="A961">
        <v>991</v>
      </c>
      <c r="B961" t="s">
        <v>1395</v>
      </c>
      <c r="C961" t="s">
        <v>1396</v>
      </c>
      <c r="D961" t="s">
        <v>1396</v>
      </c>
      <c r="E961" t="s">
        <v>1396</v>
      </c>
      <c r="F961" t="s">
        <v>1388</v>
      </c>
      <c r="G961" t="s">
        <v>1363</v>
      </c>
      <c r="H961" t="s">
        <v>1364</v>
      </c>
      <c r="I961" t="s">
        <v>1365</v>
      </c>
      <c r="J961" t="s">
        <v>36</v>
      </c>
      <c r="K961">
        <v>21019</v>
      </c>
      <c r="L961" t="s">
        <v>1366</v>
      </c>
      <c r="M961" t="s">
        <v>1367</v>
      </c>
      <c r="N961" t="s">
        <v>1367</v>
      </c>
      <c r="O961">
        <v>21000</v>
      </c>
      <c r="P961" t="s">
        <v>46</v>
      </c>
      <c r="Q961" t="s">
        <v>47</v>
      </c>
      <c r="R961" t="s">
        <v>48</v>
      </c>
      <c r="T961" t="s">
        <v>36</v>
      </c>
      <c r="U961" t="s">
        <v>36</v>
      </c>
      <c r="V961" t="s">
        <v>36</v>
      </c>
      <c r="W961">
        <v>4000</v>
      </c>
      <c r="X961" t="s">
        <v>49</v>
      </c>
      <c r="Y961" t="s">
        <v>50</v>
      </c>
      <c r="Z961" t="s">
        <v>51</v>
      </c>
      <c r="AA961" t="s">
        <v>37</v>
      </c>
      <c r="AB961" t="s">
        <v>52</v>
      </c>
      <c r="AC961" t="s">
        <v>53</v>
      </c>
      <c r="AD961" t="s">
        <v>54</v>
      </c>
      <c r="AE961">
        <v>27.465124213900001</v>
      </c>
      <c r="AF961">
        <v>2554</v>
      </c>
      <c r="AG961">
        <v>2554.0049551900001</v>
      </c>
      <c r="AH961">
        <v>274655.66463499999</v>
      </c>
      <c r="AI961">
        <v>51</v>
      </c>
      <c r="AJ961">
        <v>197433.00214066601</v>
      </c>
      <c r="AK961" s="1">
        <f>intersection_ss_Lden___surface[[#This Row],[surf m2 bout ss]]/intersection_ss_Lden___surface[[#This Row],[Shape_Area]]</f>
        <v>0.71883826755600322</v>
      </c>
      <c r="AL961">
        <v>1844</v>
      </c>
      <c r="AM961">
        <f>intersection_ss_Lden___surface[[#This Row],[Population totale 2024 ss]]*intersection_ss_Lden___surface[[#This Row],[Part de la surface du qs dans le noise contour]]</f>
        <v>1325.5377653732698</v>
      </c>
    </row>
    <row r="962" spans="1:39" x14ac:dyDescent="0.3">
      <c r="A962">
        <v>992</v>
      </c>
      <c r="B962" t="s">
        <v>1395</v>
      </c>
      <c r="C962" t="s">
        <v>1396</v>
      </c>
      <c r="D962" t="s">
        <v>1396</v>
      </c>
      <c r="E962" t="s">
        <v>1396</v>
      </c>
      <c r="F962" t="s">
        <v>1388</v>
      </c>
      <c r="G962" t="s">
        <v>1363</v>
      </c>
      <c r="H962" t="s">
        <v>1364</v>
      </c>
      <c r="I962" t="s">
        <v>1365</v>
      </c>
      <c r="J962" t="s">
        <v>36</v>
      </c>
      <c r="K962">
        <v>21019</v>
      </c>
      <c r="L962" t="s">
        <v>1366</v>
      </c>
      <c r="M962" t="s">
        <v>1367</v>
      </c>
      <c r="N962" t="s">
        <v>1367</v>
      </c>
      <c r="O962">
        <v>21000</v>
      </c>
      <c r="P962" t="s">
        <v>46</v>
      </c>
      <c r="Q962" t="s">
        <v>47</v>
      </c>
      <c r="R962" t="s">
        <v>48</v>
      </c>
      <c r="T962" t="s">
        <v>36</v>
      </c>
      <c r="U962" t="s">
        <v>36</v>
      </c>
      <c r="V962" t="s">
        <v>36</v>
      </c>
      <c r="W962">
        <v>4000</v>
      </c>
      <c r="X962" t="s">
        <v>49</v>
      </c>
      <c r="Y962" t="s">
        <v>50</v>
      </c>
      <c r="Z962" t="s">
        <v>51</v>
      </c>
      <c r="AA962" t="s">
        <v>37</v>
      </c>
      <c r="AB962" t="s">
        <v>52</v>
      </c>
      <c r="AC962" t="s">
        <v>53</v>
      </c>
      <c r="AD962" t="s">
        <v>54</v>
      </c>
      <c r="AE962">
        <v>27.465124213900001</v>
      </c>
      <c r="AF962">
        <v>2554</v>
      </c>
      <c r="AG962">
        <v>2554.0049551900001</v>
      </c>
      <c r="AH962">
        <v>274655.66463499999</v>
      </c>
      <c r="AI962">
        <v>52</v>
      </c>
      <c r="AJ962">
        <v>77250.259001325394</v>
      </c>
      <c r="AK962" s="1">
        <f>intersection_ss_Lden___surface[[#This Row],[surf m2 bout ss]]/intersection_ss_Lden___surface[[#This Row],[Shape_Area]]</f>
        <v>0.28126220918831624</v>
      </c>
      <c r="AL962">
        <v>1844</v>
      </c>
      <c r="AM962">
        <f>intersection_ss_Lden___surface[[#This Row],[Population totale 2024 ss]]*intersection_ss_Lden___surface[[#This Row],[Part de la surface du qs dans le noise contour]]</f>
        <v>518.6475137432551</v>
      </c>
    </row>
    <row r="963" spans="1:39" x14ac:dyDescent="0.3">
      <c r="A963">
        <v>993</v>
      </c>
      <c r="B963" t="s">
        <v>1397</v>
      </c>
      <c r="C963" t="s">
        <v>1398</v>
      </c>
      <c r="D963" t="s">
        <v>1399</v>
      </c>
      <c r="E963" t="s">
        <v>1399</v>
      </c>
      <c r="F963" t="s">
        <v>1388</v>
      </c>
      <c r="G963" t="s">
        <v>1363</v>
      </c>
      <c r="H963" t="s">
        <v>1364</v>
      </c>
      <c r="I963" t="s">
        <v>1365</v>
      </c>
      <c r="J963" t="s">
        <v>36</v>
      </c>
      <c r="K963">
        <v>21019</v>
      </c>
      <c r="L963" t="s">
        <v>1366</v>
      </c>
      <c r="M963" t="s">
        <v>1367</v>
      </c>
      <c r="N963" t="s">
        <v>1367</v>
      </c>
      <c r="O963">
        <v>21000</v>
      </c>
      <c r="P963" t="s">
        <v>46</v>
      </c>
      <c r="Q963" t="s">
        <v>47</v>
      </c>
      <c r="R963" t="s">
        <v>48</v>
      </c>
      <c r="T963" t="s">
        <v>36</v>
      </c>
      <c r="U963" t="s">
        <v>36</v>
      </c>
      <c r="V963" t="s">
        <v>36</v>
      </c>
      <c r="W963">
        <v>4000</v>
      </c>
      <c r="X963" t="s">
        <v>49</v>
      </c>
      <c r="Y963" t="s">
        <v>50</v>
      </c>
      <c r="Z963" t="s">
        <v>51</v>
      </c>
      <c r="AA963" t="s">
        <v>37</v>
      </c>
      <c r="AB963" t="s">
        <v>52</v>
      </c>
      <c r="AC963" t="s">
        <v>53</v>
      </c>
      <c r="AD963" t="s">
        <v>54</v>
      </c>
      <c r="AE963">
        <v>27.021679370200001</v>
      </c>
      <c r="AF963">
        <v>2406</v>
      </c>
      <c r="AG963">
        <v>2405.9105198500001</v>
      </c>
      <c r="AH963">
        <v>270221.15723299998</v>
      </c>
      <c r="AI963">
        <v>52</v>
      </c>
      <c r="AJ963">
        <v>165801.44118612501</v>
      </c>
      <c r="AK963" s="1">
        <f>intersection_ss_Lden___surface[[#This Row],[surf m2 bout ss]]/intersection_ss_Lden___surface[[#This Row],[Shape_Area]]</f>
        <v>0.61357683048911538</v>
      </c>
      <c r="AL963">
        <v>1632</v>
      </c>
      <c r="AM963">
        <f>intersection_ss_Lden___surface[[#This Row],[Population totale 2024 ss]]*intersection_ss_Lden___surface[[#This Row],[Part de la surface du qs dans le noise contour]]</f>
        <v>1001.3573873582363</v>
      </c>
    </row>
    <row r="964" spans="1:39" x14ac:dyDescent="0.3">
      <c r="A964">
        <v>994</v>
      </c>
      <c r="B964" t="s">
        <v>1397</v>
      </c>
      <c r="C964" t="s">
        <v>1398</v>
      </c>
      <c r="D964" t="s">
        <v>1399</v>
      </c>
      <c r="E964" t="s">
        <v>1399</v>
      </c>
      <c r="F964" t="s">
        <v>1388</v>
      </c>
      <c r="G964" t="s">
        <v>1363</v>
      </c>
      <c r="H964" t="s">
        <v>1364</v>
      </c>
      <c r="I964" t="s">
        <v>1365</v>
      </c>
      <c r="J964" t="s">
        <v>36</v>
      </c>
      <c r="K964">
        <v>21019</v>
      </c>
      <c r="L964" t="s">
        <v>1366</v>
      </c>
      <c r="M964" t="s">
        <v>1367</v>
      </c>
      <c r="N964" t="s">
        <v>1367</v>
      </c>
      <c r="O964">
        <v>21000</v>
      </c>
      <c r="P964" t="s">
        <v>46</v>
      </c>
      <c r="Q964" t="s">
        <v>47</v>
      </c>
      <c r="R964" t="s">
        <v>48</v>
      </c>
      <c r="T964" t="s">
        <v>36</v>
      </c>
      <c r="U964" t="s">
        <v>36</v>
      </c>
      <c r="V964" t="s">
        <v>36</v>
      </c>
      <c r="W964">
        <v>4000</v>
      </c>
      <c r="X964" t="s">
        <v>49</v>
      </c>
      <c r="Y964" t="s">
        <v>50</v>
      </c>
      <c r="Z964" t="s">
        <v>51</v>
      </c>
      <c r="AA964" t="s">
        <v>37</v>
      </c>
      <c r="AB964" t="s">
        <v>52</v>
      </c>
      <c r="AC964" t="s">
        <v>53</v>
      </c>
      <c r="AD964" t="s">
        <v>54</v>
      </c>
      <c r="AE964">
        <v>27.021679370200001</v>
      </c>
      <c r="AF964">
        <v>2406</v>
      </c>
      <c r="AG964">
        <v>2405.9105198500001</v>
      </c>
      <c r="AH964">
        <v>270221.15723299998</v>
      </c>
      <c r="AI964">
        <v>53</v>
      </c>
      <c r="AJ964">
        <v>104446.614325876</v>
      </c>
      <c r="AK964" s="1">
        <f>intersection_ss_Lden___surface[[#This Row],[surf m2 bout ss]]/intersection_ss_Lden___surface[[#This Row],[Shape_Area]]</f>
        <v>0.38652271123173459</v>
      </c>
      <c r="AL964">
        <v>1632</v>
      </c>
      <c r="AM964">
        <f>intersection_ss_Lden___surface[[#This Row],[Population totale 2024 ss]]*intersection_ss_Lden___surface[[#This Row],[Part de la surface du qs dans le noise contour]]</f>
        <v>630.80506473019091</v>
      </c>
    </row>
    <row r="965" spans="1:39" x14ac:dyDescent="0.3">
      <c r="A965">
        <v>995</v>
      </c>
      <c r="B965" t="s">
        <v>1400</v>
      </c>
      <c r="C965" t="s">
        <v>1401</v>
      </c>
      <c r="D965" t="s">
        <v>1401</v>
      </c>
      <c r="E965" t="s">
        <v>1401</v>
      </c>
      <c r="F965" t="s">
        <v>1388</v>
      </c>
      <c r="G965" t="s">
        <v>1363</v>
      </c>
      <c r="H965" t="s">
        <v>1364</v>
      </c>
      <c r="I965" t="s">
        <v>1365</v>
      </c>
      <c r="J965" t="s">
        <v>36</v>
      </c>
      <c r="K965">
        <v>21019</v>
      </c>
      <c r="L965" t="s">
        <v>1366</v>
      </c>
      <c r="M965" t="s">
        <v>1367</v>
      </c>
      <c r="N965" t="s">
        <v>1367</v>
      </c>
      <c r="O965">
        <v>21000</v>
      </c>
      <c r="P965" t="s">
        <v>46</v>
      </c>
      <c r="Q965" t="s">
        <v>47</v>
      </c>
      <c r="R965" t="s">
        <v>48</v>
      </c>
      <c r="T965" t="s">
        <v>36</v>
      </c>
      <c r="U965" t="s">
        <v>36</v>
      </c>
      <c r="V965" t="s">
        <v>36</v>
      </c>
      <c r="W965">
        <v>4000</v>
      </c>
      <c r="X965" t="s">
        <v>49</v>
      </c>
      <c r="Y965" t="s">
        <v>50</v>
      </c>
      <c r="Z965" t="s">
        <v>51</v>
      </c>
      <c r="AA965" t="s">
        <v>37</v>
      </c>
      <c r="AB965" t="s">
        <v>52</v>
      </c>
      <c r="AC965" t="s">
        <v>53</v>
      </c>
      <c r="AD965" t="s">
        <v>54</v>
      </c>
      <c r="AE965">
        <v>25.672450619999999</v>
      </c>
      <c r="AF965">
        <v>2678</v>
      </c>
      <c r="AG965">
        <v>2678.1002389800001</v>
      </c>
      <c r="AH965">
        <v>256728.64338299999</v>
      </c>
      <c r="AI965">
        <v>53</v>
      </c>
      <c r="AJ965">
        <v>224109.40430886199</v>
      </c>
      <c r="AK965" s="1">
        <f>intersection_ss_Lden___surface[[#This Row],[surf m2 bout ss]]/intersection_ss_Lden___surface[[#This Row],[Shape_Area]]</f>
        <v>0.8729427357839652</v>
      </c>
      <c r="AL965">
        <v>1652</v>
      </c>
      <c r="AM965">
        <f>intersection_ss_Lden___surface[[#This Row],[Population totale 2024 ss]]*intersection_ss_Lden___surface[[#This Row],[Part de la surface du qs dans le noise contour]]</f>
        <v>1442.1013995151104</v>
      </c>
    </row>
    <row r="966" spans="1:39" x14ac:dyDescent="0.3">
      <c r="A966">
        <v>996</v>
      </c>
      <c r="B966" t="s">
        <v>1400</v>
      </c>
      <c r="C966" t="s">
        <v>1401</v>
      </c>
      <c r="D966" t="s">
        <v>1401</v>
      </c>
      <c r="E966" t="s">
        <v>1401</v>
      </c>
      <c r="F966" t="s">
        <v>1388</v>
      </c>
      <c r="G966" t="s">
        <v>1363</v>
      </c>
      <c r="H966" t="s">
        <v>1364</v>
      </c>
      <c r="I966" t="s">
        <v>1365</v>
      </c>
      <c r="J966" t="s">
        <v>36</v>
      </c>
      <c r="K966">
        <v>21019</v>
      </c>
      <c r="L966" t="s">
        <v>1366</v>
      </c>
      <c r="M966" t="s">
        <v>1367</v>
      </c>
      <c r="N966" t="s">
        <v>1367</v>
      </c>
      <c r="O966">
        <v>21000</v>
      </c>
      <c r="P966" t="s">
        <v>46</v>
      </c>
      <c r="Q966" t="s">
        <v>47</v>
      </c>
      <c r="R966" t="s">
        <v>48</v>
      </c>
      <c r="T966" t="s">
        <v>36</v>
      </c>
      <c r="U966" t="s">
        <v>36</v>
      </c>
      <c r="V966" t="s">
        <v>36</v>
      </c>
      <c r="W966">
        <v>4000</v>
      </c>
      <c r="X966" t="s">
        <v>49</v>
      </c>
      <c r="Y966" t="s">
        <v>50</v>
      </c>
      <c r="Z966" t="s">
        <v>51</v>
      </c>
      <c r="AA966" t="s">
        <v>37</v>
      </c>
      <c r="AB966" t="s">
        <v>52</v>
      </c>
      <c r="AC966" t="s">
        <v>53</v>
      </c>
      <c r="AD966" t="s">
        <v>54</v>
      </c>
      <c r="AE966">
        <v>25.672450619999999</v>
      </c>
      <c r="AF966">
        <v>2678</v>
      </c>
      <c r="AG966">
        <v>2678.1002389800001</v>
      </c>
      <c r="AH966">
        <v>256728.64338299999</v>
      </c>
      <c r="AI966">
        <v>54</v>
      </c>
      <c r="AJ966">
        <v>32644.619180260801</v>
      </c>
      <c r="AK966" s="1">
        <f>intersection_ss_Lden___surface[[#This Row],[surf m2 bout ss]]/intersection_ss_Lden___surface[[#This Row],[Shape_Area]]</f>
        <v>0.12715612387496633</v>
      </c>
      <c r="AL966">
        <v>1652</v>
      </c>
      <c r="AM966">
        <f>intersection_ss_Lden___surface[[#This Row],[Population totale 2024 ss]]*intersection_ss_Lden___surface[[#This Row],[Part de la surface du qs dans le noise contour]]</f>
        <v>210.06191664144438</v>
      </c>
    </row>
    <row r="967" spans="1:39" x14ac:dyDescent="0.3">
      <c r="A967">
        <v>997</v>
      </c>
      <c r="B967" t="s">
        <v>1402</v>
      </c>
      <c r="C967" t="s">
        <v>1403</v>
      </c>
      <c r="D967" t="s">
        <v>1404</v>
      </c>
      <c r="E967" t="s">
        <v>1404</v>
      </c>
      <c r="F967" t="s">
        <v>1405</v>
      </c>
      <c r="G967" t="s">
        <v>1363</v>
      </c>
      <c r="H967" t="s">
        <v>1364</v>
      </c>
      <c r="I967" t="s">
        <v>1365</v>
      </c>
      <c r="J967" t="s">
        <v>36</v>
      </c>
      <c r="K967">
        <v>21019</v>
      </c>
      <c r="L967" t="s">
        <v>1366</v>
      </c>
      <c r="M967" t="s">
        <v>1367</v>
      </c>
      <c r="N967" t="s">
        <v>1367</v>
      </c>
      <c r="O967">
        <v>21000</v>
      </c>
      <c r="P967" t="s">
        <v>46</v>
      </c>
      <c r="Q967" t="s">
        <v>47</v>
      </c>
      <c r="R967" t="s">
        <v>48</v>
      </c>
      <c r="T967" t="s">
        <v>36</v>
      </c>
      <c r="U967" t="s">
        <v>36</v>
      </c>
      <c r="V967" t="s">
        <v>36</v>
      </c>
      <c r="W967">
        <v>4000</v>
      </c>
      <c r="X967" t="s">
        <v>49</v>
      </c>
      <c r="Y967" t="s">
        <v>50</v>
      </c>
      <c r="Z967" t="s">
        <v>51</v>
      </c>
      <c r="AA967" t="s">
        <v>37</v>
      </c>
      <c r="AB967" t="s">
        <v>52</v>
      </c>
      <c r="AC967" t="s">
        <v>53</v>
      </c>
      <c r="AD967" t="s">
        <v>54</v>
      </c>
      <c r="AE967">
        <v>29.978761550400002</v>
      </c>
      <c r="AF967">
        <v>2407</v>
      </c>
      <c r="AG967">
        <v>2407.3723852399999</v>
      </c>
      <c r="AH967">
        <v>299792.42954600003</v>
      </c>
      <c r="AI967">
        <v>48</v>
      </c>
      <c r="AJ967">
        <v>65422.177228916698</v>
      </c>
      <c r="AK967" s="1">
        <f>intersection_ss_Lden___surface[[#This Row],[surf m2 bout ss]]/intersection_ss_Lden___surface[[#This Row],[Shape_Area]]</f>
        <v>0.21822491424480198</v>
      </c>
      <c r="AL967">
        <v>1243</v>
      </c>
      <c r="AM967">
        <f>intersection_ss_Lden___surface[[#This Row],[Population totale 2024 ss]]*intersection_ss_Lden___surface[[#This Row],[Part de la surface du qs dans le noise contour]]</f>
        <v>271.25356840628888</v>
      </c>
    </row>
    <row r="968" spans="1:39" x14ac:dyDescent="0.3">
      <c r="A968">
        <v>998</v>
      </c>
      <c r="B968" t="s">
        <v>1402</v>
      </c>
      <c r="C968" t="s">
        <v>1403</v>
      </c>
      <c r="D968" t="s">
        <v>1404</v>
      </c>
      <c r="E968" t="s">
        <v>1404</v>
      </c>
      <c r="F968" t="s">
        <v>1405</v>
      </c>
      <c r="G968" t="s">
        <v>1363</v>
      </c>
      <c r="H968" t="s">
        <v>1364</v>
      </c>
      <c r="I968" t="s">
        <v>1365</v>
      </c>
      <c r="J968" t="s">
        <v>36</v>
      </c>
      <c r="K968">
        <v>21019</v>
      </c>
      <c r="L968" t="s">
        <v>1366</v>
      </c>
      <c r="M968" t="s">
        <v>1367</v>
      </c>
      <c r="N968" t="s">
        <v>1367</v>
      </c>
      <c r="O968">
        <v>21000</v>
      </c>
      <c r="P968" t="s">
        <v>46</v>
      </c>
      <c r="Q968" t="s">
        <v>47</v>
      </c>
      <c r="R968" t="s">
        <v>48</v>
      </c>
      <c r="T968" t="s">
        <v>36</v>
      </c>
      <c r="U968" t="s">
        <v>36</v>
      </c>
      <c r="V968" t="s">
        <v>36</v>
      </c>
      <c r="W968">
        <v>4000</v>
      </c>
      <c r="X968" t="s">
        <v>49</v>
      </c>
      <c r="Y968" t="s">
        <v>50</v>
      </c>
      <c r="Z968" t="s">
        <v>51</v>
      </c>
      <c r="AA968" t="s">
        <v>37</v>
      </c>
      <c r="AB968" t="s">
        <v>52</v>
      </c>
      <c r="AC968" t="s">
        <v>53</v>
      </c>
      <c r="AD968" t="s">
        <v>54</v>
      </c>
      <c r="AE968">
        <v>29.978761550400002</v>
      </c>
      <c r="AF968">
        <v>2407</v>
      </c>
      <c r="AG968">
        <v>2407.3723852399999</v>
      </c>
      <c r="AH968">
        <v>299792.42954600003</v>
      </c>
      <c r="AI968">
        <v>49</v>
      </c>
      <c r="AJ968">
        <v>163347.805362557</v>
      </c>
      <c r="AK968" s="1">
        <f>intersection_ss_Lden___surface[[#This Row],[surf m2 bout ss]]/intersection_ss_Lden___surface[[#This Row],[Shape_Area]]</f>
        <v>0.54486968069850139</v>
      </c>
      <c r="AL968">
        <v>1243</v>
      </c>
      <c r="AM968">
        <f>intersection_ss_Lden___surface[[#This Row],[Population totale 2024 ss]]*intersection_ss_Lden___surface[[#This Row],[Part de la surface du qs dans le noise contour]]</f>
        <v>677.27301310823725</v>
      </c>
    </row>
    <row r="969" spans="1:39" x14ac:dyDescent="0.3">
      <c r="A969">
        <v>999</v>
      </c>
      <c r="B969" t="s">
        <v>1402</v>
      </c>
      <c r="C969" t="s">
        <v>1403</v>
      </c>
      <c r="D969" t="s">
        <v>1404</v>
      </c>
      <c r="E969" t="s">
        <v>1404</v>
      </c>
      <c r="F969" t="s">
        <v>1405</v>
      </c>
      <c r="G969" t="s">
        <v>1363</v>
      </c>
      <c r="H969" t="s">
        <v>1364</v>
      </c>
      <c r="I969" t="s">
        <v>1365</v>
      </c>
      <c r="J969" t="s">
        <v>36</v>
      </c>
      <c r="K969">
        <v>21019</v>
      </c>
      <c r="L969" t="s">
        <v>1366</v>
      </c>
      <c r="M969" t="s">
        <v>1367</v>
      </c>
      <c r="N969" t="s">
        <v>1367</v>
      </c>
      <c r="O969">
        <v>21000</v>
      </c>
      <c r="P969" t="s">
        <v>46</v>
      </c>
      <c r="Q969" t="s">
        <v>47</v>
      </c>
      <c r="R969" t="s">
        <v>48</v>
      </c>
      <c r="T969" t="s">
        <v>36</v>
      </c>
      <c r="U969" t="s">
        <v>36</v>
      </c>
      <c r="V969" t="s">
        <v>36</v>
      </c>
      <c r="W969">
        <v>4000</v>
      </c>
      <c r="X969" t="s">
        <v>49</v>
      </c>
      <c r="Y969" t="s">
        <v>50</v>
      </c>
      <c r="Z969" t="s">
        <v>51</v>
      </c>
      <c r="AA969" t="s">
        <v>37</v>
      </c>
      <c r="AB969" t="s">
        <v>52</v>
      </c>
      <c r="AC969" t="s">
        <v>53</v>
      </c>
      <c r="AD969" t="s">
        <v>54</v>
      </c>
      <c r="AE969">
        <v>29.978761550400002</v>
      </c>
      <c r="AF969">
        <v>2407</v>
      </c>
      <c r="AG969">
        <v>2407.3723852399999</v>
      </c>
      <c r="AH969">
        <v>299792.42954600003</v>
      </c>
      <c r="AI969">
        <v>50</v>
      </c>
      <c r="AJ969">
        <v>71053.044282051298</v>
      </c>
      <c r="AK969" s="1">
        <f>intersection_ss_Lden___surface[[#This Row],[surf m2 bout ss]]/intersection_ss_Lden___surface[[#This Row],[Shape_Area]]</f>
        <v>0.23700746676509704</v>
      </c>
      <c r="AL969">
        <v>1243</v>
      </c>
      <c r="AM969">
        <f>intersection_ss_Lden___surface[[#This Row],[Population totale 2024 ss]]*intersection_ss_Lden___surface[[#This Row],[Part de la surface du qs dans le noise contour]]</f>
        <v>294.60028118901562</v>
      </c>
    </row>
    <row r="970" spans="1:39" x14ac:dyDescent="0.3">
      <c r="A970">
        <v>1000</v>
      </c>
      <c r="B970" t="s">
        <v>1406</v>
      </c>
      <c r="C970" t="s">
        <v>1407</v>
      </c>
      <c r="D970" t="s">
        <v>1407</v>
      </c>
      <c r="E970" t="s">
        <v>1407</v>
      </c>
      <c r="F970" t="s">
        <v>1405</v>
      </c>
      <c r="G970" t="s">
        <v>1363</v>
      </c>
      <c r="H970" t="s">
        <v>1364</v>
      </c>
      <c r="I970" t="s">
        <v>1365</v>
      </c>
      <c r="J970" t="s">
        <v>36</v>
      </c>
      <c r="K970">
        <v>21019</v>
      </c>
      <c r="L970" t="s">
        <v>1366</v>
      </c>
      <c r="M970" t="s">
        <v>1367</v>
      </c>
      <c r="N970" t="s">
        <v>1367</v>
      </c>
      <c r="O970">
        <v>21000</v>
      </c>
      <c r="P970" t="s">
        <v>46</v>
      </c>
      <c r="Q970" t="s">
        <v>47</v>
      </c>
      <c r="R970" t="s">
        <v>48</v>
      </c>
      <c r="T970" t="s">
        <v>36</v>
      </c>
      <c r="U970" t="s">
        <v>36</v>
      </c>
      <c r="V970" t="s">
        <v>36</v>
      </c>
      <c r="W970">
        <v>4000</v>
      </c>
      <c r="X970" t="s">
        <v>49</v>
      </c>
      <c r="Y970" t="s">
        <v>50</v>
      </c>
      <c r="Z970" t="s">
        <v>51</v>
      </c>
      <c r="AA970" t="s">
        <v>37</v>
      </c>
      <c r="AB970" t="s">
        <v>52</v>
      </c>
      <c r="AC970" t="s">
        <v>53</v>
      </c>
      <c r="AD970" t="s">
        <v>54</v>
      </c>
      <c r="AE970">
        <v>49.415568246799999</v>
      </c>
      <c r="AF970">
        <v>2820</v>
      </c>
      <c r="AG970">
        <v>2819.5526886600001</v>
      </c>
      <c r="AH970">
        <v>494163.64286600001</v>
      </c>
      <c r="AI970">
        <v>48</v>
      </c>
      <c r="AJ970">
        <v>85192.599910770004</v>
      </c>
      <c r="AK970" s="1">
        <f>intersection_ss_Lden___surface[[#This Row],[surf m2 bout ss]]/intersection_ss_Lden___surface[[#This Row],[Shape_Area]]</f>
        <v>0.17239754712968894</v>
      </c>
      <c r="AL970">
        <v>1606</v>
      </c>
      <c r="AM970">
        <f>intersection_ss_Lden___surface[[#This Row],[Population totale 2024 ss]]*intersection_ss_Lden___surface[[#This Row],[Part de la surface du qs dans le noise contour]]</f>
        <v>276.87046069028042</v>
      </c>
    </row>
    <row r="971" spans="1:39" x14ac:dyDescent="0.3">
      <c r="A971">
        <v>1001</v>
      </c>
      <c r="B971" t="s">
        <v>1406</v>
      </c>
      <c r="C971" t="s">
        <v>1407</v>
      </c>
      <c r="D971" t="s">
        <v>1407</v>
      </c>
      <c r="E971" t="s">
        <v>1407</v>
      </c>
      <c r="F971" t="s">
        <v>1405</v>
      </c>
      <c r="G971" t="s">
        <v>1363</v>
      </c>
      <c r="H971" t="s">
        <v>1364</v>
      </c>
      <c r="I971" t="s">
        <v>1365</v>
      </c>
      <c r="J971" t="s">
        <v>36</v>
      </c>
      <c r="K971">
        <v>21019</v>
      </c>
      <c r="L971" t="s">
        <v>1366</v>
      </c>
      <c r="M971" t="s">
        <v>1367</v>
      </c>
      <c r="N971" t="s">
        <v>1367</v>
      </c>
      <c r="O971">
        <v>21000</v>
      </c>
      <c r="P971" t="s">
        <v>46</v>
      </c>
      <c r="Q971" t="s">
        <v>47</v>
      </c>
      <c r="R971" t="s">
        <v>48</v>
      </c>
      <c r="T971" t="s">
        <v>36</v>
      </c>
      <c r="U971" t="s">
        <v>36</v>
      </c>
      <c r="V971" t="s">
        <v>36</v>
      </c>
      <c r="W971">
        <v>4000</v>
      </c>
      <c r="X971" t="s">
        <v>49</v>
      </c>
      <c r="Y971" t="s">
        <v>50</v>
      </c>
      <c r="Z971" t="s">
        <v>51</v>
      </c>
      <c r="AA971" t="s">
        <v>37</v>
      </c>
      <c r="AB971" t="s">
        <v>52</v>
      </c>
      <c r="AC971" t="s">
        <v>53</v>
      </c>
      <c r="AD971" t="s">
        <v>54</v>
      </c>
      <c r="AE971">
        <v>49.415568246799999</v>
      </c>
      <c r="AF971">
        <v>2820</v>
      </c>
      <c r="AG971">
        <v>2819.5526886600001</v>
      </c>
      <c r="AH971">
        <v>494163.64286600001</v>
      </c>
      <c r="AI971">
        <v>49</v>
      </c>
      <c r="AJ971">
        <v>176122.08219215699</v>
      </c>
      <c r="AK971" s="1">
        <f>intersection_ss_Lden___surface[[#This Row],[surf m2 bout ss]]/intersection_ss_Lden___surface[[#This Row],[Shape_Area]]</f>
        <v>0.35640437076815701</v>
      </c>
      <c r="AL971">
        <v>1606</v>
      </c>
      <c r="AM971">
        <f>intersection_ss_Lden___surface[[#This Row],[Population totale 2024 ss]]*intersection_ss_Lden___surface[[#This Row],[Part de la surface du qs dans le noise contour]]</f>
        <v>572.38541945366012</v>
      </c>
    </row>
    <row r="972" spans="1:39" x14ac:dyDescent="0.3">
      <c r="A972">
        <v>1002</v>
      </c>
      <c r="B972" t="s">
        <v>1406</v>
      </c>
      <c r="C972" t="s">
        <v>1407</v>
      </c>
      <c r="D972" t="s">
        <v>1407</v>
      </c>
      <c r="E972" t="s">
        <v>1407</v>
      </c>
      <c r="F972" t="s">
        <v>1405</v>
      </c>
      <c r="G972" t="s">
        <v>1363</v>
      </c>
      <c r="H972" t="s">
        <v>1364</v>
      </c>
      <c r="I972" t="s">
        <v>1365</v>
      </c>
      <c r="J972" t="s">
        <v>36</v>
      </c>
      <c r="K972">
        <v>21019</v>
      </c>
      <c r="L972" t="s">
        <v>1366</v>
      </c>
      <c r="M972" t="s">
        <v>1367</v>
      </c>
      <c r="N972" t="s">
        <v>1367</v>
      </c>
      <c r="O972">
        <v>21000</v>
      </c>
      <c r="P972" t="s">
        <v>46</v>
      </c>
      <c r="Q972" t="s">
        <v>47</v>
      </c>
      <c r="R972" t="s">
        <v>48</v>
      </c>
      <c r="T972" t="s">
        <v>36</v>
      </c>
      <c r="U972" t="s">
        <v>36</v>
      </c>
      <c r="V972" t="s">
        <v>36</v>
      </c>
      <c r="W972">
        <v>4000</v>
      </c>
      <c r="X972" t="s">
        <v>49</v>
      </c>
      <c r="Y972" t="s">
        <v>50</v>
      </c>
      <c r="Z972" t="s">
        <v>51</v>
      </c>
      <c r="AA972" t="s">
        <v>37</v>
      </c>
      <c r="AB972" t="s">
        <v>52</v>
      </c>
      <c r="AC972" t="s">
        <v>53</v>
      </c>
      <c r="AD972" t="s">
        <v>54</v>
      </c>
      <c r="AE972">
        <v>49.415568246799999</v>
      </c>
      <c r="AF972">
        <v>2820</v>
      </c>
      <c r="AG972">
        <v>2819.5526886600001</v>
      </c>
      <c r="AH972">
        <v>494163.64286600001</v>
      </c>
      <c r="AI972">
        <v>50</v>
      </c>
      <c r="AJ972">
        <v>197266.68127548799</v>
      </c>
      <c r="AK972" s="1">
        <f>intersection_ss_Lden___surface[[#This Row],[surf m2 bout ss]]/intersection_ss_Lden___surface[[#This Row],[Shape_Area]]</f>
        <v>0.3991930287129194</v>
      </c>
      <c r="AL972">
        <v>1606</v>
      </c>
      <c r="AM972">
        <f>intersection_ss_Lden___surface[[#This Row],[Population totale 2024 ss]]*intersection_ss_Lden___surface[[#This Row],[Part de la surface du qs dans le noise contour]]</f>
        <v>641.10400411294859</v>
      </c>
    </row>
    <row r="973" spans="1:39" x14ac:dyDescent="0.3">
      <c r="A973">
        <v>1003</v>
      </c>
      <c r="B973" t="s">
        <v>1406</v>
      </c>
      <c r="C973" t="s">
        <v>1407</v>
      </c>
      <c r="D973" t="s">
        <v>1407</v>
      </c>
      <c r="E973" t="s">
        <v>1407</v>
      </c>
      <c r="F973" t="s">
        <v>1405</v>
      </c>
      <c r="G973" t="s">
        <v>1363</v>
      </c>
      <c r="H973" t="s">
        <v>1364</v>
      </c>
      <c r="I973" t="s">
        <v>1365</v>
      </c>
      <c r="J973" t="s">
        <v>36</v>
      </c>
      <c r="K973">
        <v>21019</v>
      </c>
      <c r="L973" t="s">
        <v>1366</v>
      </c>
      <c r="M973" t="s">
        <v>1367</v>
      </c>
      <c r="N973" t="s">
        <v>1367</v>
      </c>
      <c r="O973">
        <v>21000</v>
      </c>
      <c r="P973" t="s">
        <v>46</v>
      </c>
      <c r="Q973" t="s">
        <v>47</v>
      </c>
      <c r="R973" t="s">
        <v>48</v>
      </c>
      <c r="T973" t="s">
        <v>36</v>
      </c>
      <c r="U973" t="s">
        <v>36</v>
      </c>
      <c r="V973" t="s">
        <v>36</v>
      </c>
      <c r="W973">
        <v>4000</v>
      </c>
      <c r="X973" t="s">
        <v>49</v>
      </c>
      <c r="Y973" t="s">
        <v>50</v>
      </c>
      <c r="Z973" t="s">
        <v>51</v>
      </c>
      <c r="AA973" t="s">
        <v>37</v>
      </c>
      <c r="AB973" t="s">
        <v>52</v>
      </c>
      <c r="AC973" t="s">
        <v>53</v>
      </c>
      <c r="AD973" t="s">
        <v>54</v>
      </c>
      <c r="AE973">
        <v>49.415568246799999</v>
      </c>
      <c r="AF973">
        <v>2820</v>
      </c>
      <c r="AG973">
        <v>2819.5526886600001</v>
      </c>
      <c r="AH973">
        <v>494163.64286600001</v>
      </c>
      <c r="AI973">
        <v>51</v>
      </c>
      <c r="AJ973">
        <v>35633.049693008899</v>
      </c>
      <c r="AK973" s="1">
        <f>intersection_ss_Lden___surface[[#This Row],[surf m2 bout ss]]/intersection_ss_Lden___surface[[#This Row],[Shape_Area]]</f>
        <v>7.2107793050795815E-2</v>
      </c>
      <c r="AL973">
        <v>1606</v>
      </c>
      <c r="AM973">
        <f>intersection_ss_Lden___surface[[#This Row],[Population totale 2024 ss]]*intersection_ss_Lden___surface[[#This Row],[Part de la surface du qs dans le noise contour]]</f>
        <v>115.80511563957808</v>
      </c>
    </row>
    <row r="974" spans="1:39" x14ac:dyDescent="0.3">
      <c r="A974">
        <v>1004</v>
      </c>
      <c r="B974" t="s">
        <v>1408</v>
      </c>
      <c r="C974" t="s">
        <v>231</v>
      </c>
      <c r="D974" t="s">
        <v>231</v>
      </c>
      <c r="E974" t="s">
        <v>231</v>
      </c>
      <c r="F974" t="s">
        <v>1405</v>
      </c>
      <c r="G974" t="s">
        <v>1363</v>
      </c>
      <c r="H974" t="s">
        <v>1364</v>
      </c>
      <c r="I974" t="s">
        <v>1365</v>
      </c>
      <c r="J974" t="s">
        <v>36</v>
      </c>
      <c r="K974">
        <v>21019</v>
      </c>
      <c r="L974" t="s">
        <v>1366</v>
      </c>
      <c r="M974" t="s">
        <v>1367</v>
      </c>
      <c r="N974" t="s">
        <v>1367</v>
      </c>
      <c r="O974">
        <v>21000</v>
      </c>
      <c r="P974" t="s">
        <v>46</v>
      </c>
      <c r="Q974" t="s">
        <v>47</v>
      </c>
      <c r="R974" t="s">
        <v>48</v>
      </c>
      <c r="T974" t="s">
        <v>36</v>
      </c>
      <c r="U974" t="s">
        <v>36</v>
      </c>
      <c r="V974" t="s">
        <v>36</v>
      </c>
      <c r="W974">
        <v>4000</v>
      </c>
      <c r="X974" t="s">
        <v>49</v>
      </c>
      <c r="Y974" t="s">
        <v>50</v>
      </c>
      <c r="Z974" t="s">
        <v>51</v>
      </c>
      <c r="AA974" t="s">
        <v>37</v>
      </c>
      <c r="AB974" t="s">
        <v>52</v>
      </c>
      <c r="AC974" t="s">
        <v>53</v>
      </c>
      <c r="AD974" t="s">
        <v>54</v>
      </c>
      <c r="AE974">
        <v>45.261163595500001</v>
      </c>
      <c r="AF974">
        <v>3049</v>
      </c>
      <c r="AG974">
        <v>3048.9185416199998</v>
      </c>
      <c r="AH974">
        <v>452618.93758199998</v>
      </c>
      <c r="AI974">
        <v>46</v>
      </c>
      <c r="AJ974">
        <v>154634.20428699299</v>
      </c>
      <c r="AK974" s="1">
        <f>intersection_ss_Lden___surface[[#This Row],[surf m2 bout ss]]/intersection_ss_Lden___surface[[#This Row],[Shape_Area]]</f>
        <v>0.34164324876260449</v>
      </c>
      <c r="AL974">
        <v>682</v>
      </c>
      <c r="AM974">
        <f>intersection_ss_Lden___surface[[#This Row],[Population totale 2024 ss]]*intersection_ss_Lden___surface[[#This Row],[Part de la surface du qs dans le noise contour]]</f>
        <v>233.00069565609627</v>
      </c>
    </row>
    <row r="975" spans="1:39" x14ac:dyDescent="0.3">
      <c r="A975">
        <v>1005</v>
      </c>
      <c r="B975" t="s">
        <v>1408</v>
      </c>
      <c r="C975" t="s">
        <v>231</v>
      </c>
      <c r="D975" t="s">
        <v>231</v>
      </c>
      <c r="E975" t="s">
        <v>231</v>
      </c>
      <c r="F975" t="s">
        <v>1405</v>
      </c>
      <c r="G975" t="s">
        <v>1363</v>
      </c>
      <c r="H975" t="s">
        <v>1364</v>
      </c>
      <c r="I975" t="s">
        <v>1365</v>
      </c>
      <c r="J975" t="s">
        <v>36</v>
      </c>
      <c r="K975">
        <v>21019</v>
      </c>
      <c r="L975" t="s">
        <v>1366</v>
      </c>
      <c r="M975" t="s">
        <v>1367</v>
      </c>
      <c r="N975" t="s">
        <v>1367</v>
      </c>
      <c r="O975">
        <v>21000</v>
      </c>
      <c r="P975" t="s">
        <v>46</v>
      </c>
      <c r="Q975" t="s">
        <v>47</v>
      </c>
      <c r="R975" t="s">
        <v>48</v>
      </c>
      <c r="T975" t="s">
        <v>36</v>
      </c>
      <c r="U975" t="s">
        <v>36</v>
      </c>
      <c r="V975" t="s">
        <v>36</v>
      </c>
      <c r="W975">
        <v>4000</v>
      </c>
      <c r="X975" t="s">
        <v>49</v>
      </c>
      <c r="Y975" t="s">
        <v>50</v>
      </c>
      <c r="Z975" t="s">
        <v>51</v>
      </c>
      <c r="AA975" t="s">
        <v>37</v>
      </c>
      <c r="AB975" t="s">
        <v>52</v>
      </c>
      <c r="AC975" t="s">
        <v>53</v>
      </c>
      <c r="AD975" t="s">
        <v>54</v>
      </c>
      <c r="AE975">
        <v>45.261163595500001</v>
      </c>
      <c r="AF975">
        <v>3049</v>
      </c>
      <c r="AG975">
        <v>3048.9185416199998</v>
      </c>
      <c r="AH975">
        <v>452618.93758199998</v>
      </c>
      <c r="AI975">
        <v>47</v>
      </c>
      <c r="AJ975">
        <v>215396.61008057301</v>
      </c>
      <c r="AK975" s="1">
        <f>intersection_ss_Lden___surface[[#This Row],[surf m2 bout ss]]/intersection_ss_Lden___surface[[#This Row],[Shape_Area]]</f>
        <v>0.47588952250048105</v>
      </c>
      <c r="AL975">
        <v>682</v>
      </c>
      <c r="AM975">
        <f>intersection_ss_Lden___surface[[#This Row],[Population totale 2024 ss]]*intersection_ss_Lden___surface[[#This Row],[Part de la surface du qs dans le noise contour]]</f>
        <v>324.55665434532807</v>
      </c>
    </row>
    <row r="976" spans="1:39" x14ac:dyDescent="0.3">
      <c r="A976">
        <v>1006</v>
      </c>
      <c r="B976" t="s">
        <v>1408</v>
      </c>
      <c r="C976" t="s">
        <v>231</v>
      </c>
      <c r="D976" t="s">
        <v>231</v>
      </c>
      <c r="E976" t="s">
        <v>231</v>
      </c>
      <c r="F976" t="s">
        <v>1405</v>
      </c>
      <c r="G976" t="s">
        <v>1363</v>
      </c>
      <c r="H976" t="s">
        <v>1364</v>
      </c>
      <c r="I976" t="s">
        <v>1365</v>
      </c>
      <c r="J976" t="s">
        <v>36</v>
      </c>
      <c r="K976">
        <v>21019</v>
      </c>
      <c r="L976" t="s">
        <v>1366</v>
      </c>
      <c r="M976" t="s">
        <v>1367</v>
      </c>
      <c r="N976" t="s">
        <v>1367</v>
      </c>
      <c r="O976">
        <v>21000</v>
      </c>
      <c r="P976" t="s">
        <v>46</v>
      </c>
      <c r="Q976" t="s">
        <v>47</v>
      </c>
      <c r="R976" t="s">
        <v>48</v>
      </c>
      <c r="T976" t="s">
        <v>36</v>
      </c>
      <c r="U976" t="s">
        <v>36</v>
      </c>
      <c r="V976" t="s">
        <v>36</v>
      </c>
      <c r="W976">
        <v>4000</v>
      </c>
      <c r="X976" t="s">
        <v>49</v>
      </c>
      <c r="Y976" t="s">
        <v>50</v>
      </c>
      <c r="Z976" t="s">
        <v>51</v>
      </c>
      <c r="AA976" t="s">
        <v>37</v>
      </c>
      <c r="AB976" t="s">
        <v>52</v>
      </c>
      <c r="AC976" t="s">
        <v>53</v>
      </c>
      <c r="AD976" t="s">
        <v>54</v>
      </c>
      <c r="AE976">
        <v>45.261163595500001</v>
      </c>
      <c r="AF976">
        <v>3049</v>
      </c>
      <c r="AG976">
        <v>3048.9185416199998</v>
      </c>
      <c r="AH976">
        <v>452618.93758199998</v>
      </c>
      <c r="AI976">
        <v>48</v>
      </c>
      <c r="AJ976">
        <v>82634.802152308606</v>
      </c>
      <c r="AK976" s="1">
        <f>intersection_ss_Lden___surface[[#This Row],[surf m2 bout ss]]/intersection_ss_Lden___surface[[#This Row],[Shape_Area]]</f>
        <v>0.18257035950321421</v>
      </c>
      <c r="AL976">
        <v>682</v>
      </c>
      <c r="AM976">
        <f>intersection_ss_Lden___surface[[#This Row],[Population totale 2024 ss]]*intersection_ss_Lden___surface[[#This Row],[Part de la surface du qs dans le noise contour]]</f>
        <v>124.51298518119209</v>
      </c>
    </row>
    <row r="977" spans="1:39" x14ac:dyDescent="0.3">
      <c r="A977">
        <v>1007</v>
      </c>
      <c r="B977" t="s">
        <v>1409</v>
      </c>
      <c r="C977" t="s">
        <v>1410</v>
      </c>
      <c r="D977" t="s">
        <v>1410</v>
      </c>
      <c r="E977" t="s">
        <v>1410</v>
      </c>
      <c r="F977" t="s">
        <v>1405</v>
      </c>
      <c r="G977" t="s">
        <v>1363</v>
      </c>
      <c r="H977" t="s">
        <v>1364</v>
      </c>
      <c r="I977" t="s">
        <v>1365</v>
      </c>
      <c r="J977" t="s">
        <v>36</v>
      </c>
      <c r="K977">
        <v>21019</v>
      </c>
      <c r="L977" t="s">
        <v>1366</v>
      </c>
      <c r="M977" t="s">
        <v>1367</v>
      </c>
      <c r="N977" t="s">
        <v>1367</v>
      </c>
      <c r="O977">
        <v>21000</v>
      </c>
      <c r="P977" t="s">
        <v>46</v>
      </c>
      <c r="Q977" t="s">
        <v>47</v>
      </c>
      <c r="R977" t="s">
        <v>48</v>
      </c>
      <c r="T977" t="s">
        <v>36</v>
      </c>
      <c r="U977" t="s">
        <v>36</v>
      </c>
      <c r="V977" t="s">
        <v>36</v>
      </c>
      <c r="W977">
        <v>4000</v>
      </c>
      <c r="X977" t="s">
        <v>49</v>
      </c>
      <c r="Y977" t="s">
        <v>50</v>
      </c>
      <c r="Z977" t="s">
        <v>51</v>
      </c>
      <c r="AA977" t="s">
        <v>37</v>
      </c>
      <c r="AB977" t="s">
        <v>52</v>
      </c>
      <c r="AC977" t="s">
        <v>53</v>
      </c>
      <c r="AD977" t="s">
        <v>54</v>
      </c>
      <c r="AE977">
        <v>9.736700999</v>
      </c>
      <c r="AF977">
        <v>1467</v>
      </c>
      <c r="AG977">
        <v>1466.8996834300001</v>
      </c>
      <c r="AH977">
        <v>97368.586420699998</v>
      </c>
      <c r="AI977">
        <v>48</v>
      </c>
      <c r="AJ977">
        <v>24901.742318114299</v>
      </c>
      <c r="AK977" s="1">
        <f>intersection_ss_Lden___surface[[#This Row],[surf m2 bout ss]]/intersection_ss_Lden___surface[[#This Row],[Shape_Area]]</f>
        <v>0.25574718945308972</v>
      </c>
      <c r="AL977">
        <v>1054</v>
      </c>
      <c r="AM977">
        <f>intersection_ss_Lden___surface[[#This Row],[Population totale 2024 ss]]*intersection_ss_Lden___surface[[#This Row],[Part de la surface du qs dans le noise contour]]</f>
        <v>269.55753768355657</v>
      </c>
    </row>
    <row r="978" spans="1:39" x14ac:dyDescent="0.3">
      <c r="A978">
        <v>1008</v>
      </c>
      <c r="B978" t="s">
        <v>1409</v>
      </c>
      <c r="C978" t="s">
        <v>1410</v>
      </c>
      <c r="D978" t="s">
        <v>1410</v>
      </c>
      <c r="E978" t="s">
        <v>1410</v>
      </c>
      <c r="F978" t="s">
        <v>1405</v>
      </c>
      <c r="G978" t="s">
        <v>1363</v>
      </c>
      <c r="H978" t="s">
        <v>1364</v>
      </c>
      <c r="I978" t="s">
        <v>1365</v>
      </c>
      <c r="J978" t="s">
        <v>36</v>
      </c>
      <c r="K978">
        <v>21019</v>
      </c>
      <c r="L978" t="s">
        <v>1366</v>
      </c>
      <c r="M978" t="s">
        <v>1367</v>
      </c>
      <c r="N978" t="s">
        <v>1367</v>
      </c>
      <c r="O978">
        <v>21000</v>
      </c>
      <c r="P978" t="s">
        <v>46</v>
      </c>
      <c r="Q978" t="s">
        <v>47</v>
      </c>
      <c r="R978" t="s">
        <v>48</v>
      </c>
      <c r="T978" t="s">
        <v>36</v>
      </c>
      <c r="U978" t="s">
        <v>36</v>
      </c>
      <c r="V978" t="s">
        <v>36</v>
      </c>
      <c r="W978">
        <v>4000</v>
      </c>
      <c r="X978" t="s">
        <v>49</v>
      </c>
      <c r="Y978" t="s">
        <v>50</v>
      </c>
      <c r="Z978" t="s">
        <v>51</v>
      </c>
      <c r="AA978" t="s">
        <v>37</v>
      </c>
      <c r="AB978" t="s">
        <v>52</v>
      </c>
      <c r="AC978" t="s">
        <v>53</v>
      </c>
      <c r="AD978" t="s">
        <v>54</v>
      </c>
      <c r="AE978">
        <v>9.736700999</v>
      </c>
      <c r="AF978">
        <v>1467</v>
      </c>
      <c r="AG978">
        <v>1466.8996834300001</v>
      </c>
      <c r="AH978">
        <v>97368.586420699998</v>
      </c>
      <c r="AI978">
        <v>49</v>
      </c>
      <c r="AJ978">
        <v>72476.736701098795</v>
      </c>
      <c r="AK978" s="1">
        <f>intersection_ss_Lden___surface[[#This Row],[surf m2 bout ss]]/intersection_ss_Lden___surface[[#This Row],[Shape_Area]]</f>
        <v>0.7443544100347611</v>
      </c>
      <c r="AL978">
        <v>1054</v>
      </c>
      <c r="AM978">
        <f>intersection_ss_Lden___surface[[#This Row],[Population totale 2024 ss]]*intersection_ss_Lden___surface[[#This Row],[Part de la surface du qs dans le noise contour]]</f>
        <v>784.54954817663815</v>
      </c>
    </row>
    <row r="979" spans="1:39" x14ac:dyDescent="0.3">
      <c r="A979">
        <v>1009</v>
      </c>
      <c r="B979" t="s">
        <v>1411</v>
      </c>
      <c r="C979" t="s">
        <v>1412</v>
      </c>
      <c r="D979" t="s">
        <v>1413</v>
      </c>
      <c r="E979" t="s">
        <v>1413</v>
      </c>
      <c r="F979" t="s">
        <v>1405</v>
      </c>
      <c r="G979" t="s">
        <v>1363</v>
      </c>
      <c r="H979" t="s">
        <v>1364</v>
      </c>
      <c r="I979" t="s">
        <v>1365</v>
      </c>
      <c r="J979" t="s">
        <v>36</v>
      </c>
      <c r="K979">
        <v>21019</v>
      </c>
      <c r="L979" t="s">
        <v>1366</v>
      </c>
      <c r="M979" t="s">
        <v>1367</v>
      </c>
      <c r="N979" t="s">
        <v>1367</v>
      </c>
      <c r="O979">
        <v>21000</v>
      </c>
      <c r="P979" t="s">
        <v>46</v>
      </c>
      <c r="Q979" t="s">
        <v>47</v>
      </c>
      <c r="R979" t="s">
        <v>48</v>
      </c>
      <c r="T979" t="s">
        <v>36</v>
      </c>
      <c r="U979" t="s">
        <v>36</v>
      </c>
      <c r="V979" t="s">
        <v>36</v>
      </c>
      <c r="W979">
        <v>4000</v>
      </c>
      <c r="X979" t="s">
        <v>49</v>
      </c>
      <c r="Y979" t="s">
        <v>50</v>
      </c>
      <c r="Z979" t="s">
        <v>51</v>
      </c>
      <c r="AA979" t="s">
        <v>37</v>
      </c>
      <c r="AB979" t="s">
        <v>52</v>
      </c>
      <c r="AC979" t="s">
        <v>53</v>
      </c>
      <c r="AD979" t="s">
        <v>54</v>
      </c>
      <c r="AE979">
        <v>13.235788554100001</v>
      </c>
      <c r="AF979">
        <v>1544</v>
      </c>
      <c r="AG979">
        <v>1543.5151127500001</v>
      </c>
      <c r="AH979">
        <v>132360.03413099999</v>
      </c>
      <c r="AI979">
        <v>49</v>
      </c>
      <c r="AJ979">
        <v>62306.960293215401</v>
      </c>
      <c r="AK979" s="1">
        <f>intersection_ss_Lden___surface[[#This Row],[surf m2 bout ss]]/intersection_ss_Lden___surface[[#This Row],[Shape_Area]]</f>
        <v>0.47073847254790419</v>
      </c>
      <c r="AL979">
        <v>1114</v>
      </c>
      <c r="AM979">
        <f>intersection_ss_Lden___surface[[#This Row],[Population totale 2024 ss]]*intersection_ss_Lden___surface[[#This Row],[Part de la surface du qs dans le noise contour]]</f>
        <v>524.40265841836526</v>
      </c>
    </row>
    <row r="980" spans="1:39" x14ac:dyDescent="0.3">
      <c r="A980">
        <v>1010</v>
      </c>
      <c r="B980" t="s">
        <v>1411</v>
      </c>
      <c r="C980" t="s">
        <v>1412</v>
      </c>
      <c r="D980" t="s">
        <v>1413</v>
      </c>
      <c r="E980" t="s">
        <v>1413</v>
      </c>
      <c r="F980" t="s">
        <v>1405</v>
      </c>
      <c r="G980" t="s">
        <v>1363</v>
      </c>
      <c r="H980" t="s">
        <v>1364</v>
      </c>
      <c r="I980" t="s">
        <v>1365</v>
      </c>
      <c r="J980" t="s">
        <v>36</v>
      </c>
      <c r="K980">
        <v>21019</v>
      </c>
      <c r="L980" t="s">
        <v>1366</v>
      </c>
      <c r="M980" t="s">
        <v>1367</v>
      </c>
      <c r="N980" t="s">
        <v>1367</v>
      </c>
      <c r="O980">
        <v>21000</v>
      </c>
      <c r="P980" t="s">
        <v>46</v>
      </c>
      <c r="Q980" t="s">
        <v>47</v>
      </c>
      <c r="R980" t="s">
        <v>48</v>
      </c>
      <c r="T980" t="s">
        <v>36</v>
      </c>
      <c r="U980" t="s">
        <v>36</v>
      </c>
      <c r="V980" t="s">
        <v>36</v>
      </c>
      <c r="W980">
        <v>4000</v>
      </c>
      <c r="X980" t="s">
        <v>49</v>
      </c>
      <c r="Y980" t="s">
        <v>50</v>
      </c>
      <c r="Z980" t="s">
        <v>51</v>
      </c>
      <c r="AA980" t="s">
        <v>37</v>
      </c>
      <c r="AB980" t="s">
        <v>52</v>
      </c>
      <c r="AC980" t="s">
        <v>53</v>
      </c>
      <c r="AD980" t="s">
        <v>54</v>
      </c>
      <c r="AE980">
        <v>13.235788554100001</v>
      </c>
      <c r="AF980">
        <v>1544</v>
      </c>
      <c r="AG980">
        <v>1543.5151127500001</v>
      </c>
      <c r="AH980">
        <v>132360.03413099999</v>
      </c>
      <c r="AI980">
        <v>50</v>
      </c>
      <c r="AJ980">
        <v>70066.488988767</v>
      </c>
      <c r="AK980" s="1">
        <f>intersection_ss_Lden___surface[[#This Row],[surf m2 bout ss]]/intersection_ss_Lden___surface[[#This Row],[Shape_Area]]</f>
        <v>0.52936288093897332</v>
      </c>
      <c r="AL980">
        <v>1114</v>
      </c>
      <c r="AM980">
        <f>intersection_ss_Lden___surface[[#This Row],[Population totale 2024 ss]]*intersection_ss_Lden___surface[[#This Row],[Part de la surface du qs dans le noise contour]]</f>
        <v>589.71024936601623</v>
      </c>
    </row>
    <row r="981" spans="1:39" x14ac:dyDescent="0.3">
      <c r="A981">
        <v>1011</v>
      </c>
      <c r="B981" t="s">
        <v>1414</v>
      </c>
      <c r="C981" t="s">
        <v>1415</v>
      </c>
      <c r="D981" t="s">
        <v>1415</v>
      </c>
      <c r="E981" t="s">
        <v>1415</v>
      </c>
      <c r="F981" t="s">
        <v>1405</v>
      </c>
      <c r="G981" t="s">
        <v>1363</v>
      </c>
      <c r="H981" t="s">
        <v>1364</v>
      </c>
      <c r="I981" t="s">
        <v>1365</v>
      </c>
      <c r="J981" t="s">
        <v>36</v>
      </c>
      <c r="K981">
        <v>21019</v>
      </c>
      <c r="L981" t="s">
        <v>1366</v>
      </c>
      <c r="M981" t="s">
        <v>1367</v>
      </c>
      <c r="N981" t="s">
        <v>1367</v>
      </c>
      <c r="O981">
        <v>21000</v>
      </c>
      <c r="P981" t="s">
        <v>46</v>
      </c>
      <c r="Q981" t="s">
        <v>47</v>
      </c>
      <c r="R981" t="s">
        <v>48</v>
      </c>
      <c r="T981" t="s">
        <v>36</v>
      </c>
      <c r="U981" t="s">
        <v>36</v>
      </c>
      <c r="V981" t="s">
        <v>36</v>
      </c>
      <c r="W981">
        <v>4000</v>
      </c>
      <c r="X981" t="s">
        <v>49</v>
      </c>
      <c r="Y981" t="s">
        <v>50</v>
      </c>
      <c r="Z981" t="s">
        <v>51</v>
      </c>
      <c r="AA981" t="s">
        <v>37</v>
      </c>
      <c r="AB981" t="s">
        <v>52</v>
      </c>
      <c r="AC981" t="s">
        <v>53</v>
      </c>
      <c r="AD981" t="s">
        <v>54</v>
      </c>
      <c r="AE981">
        <v>20.119373209199999</v>
      </c>
      <c r="AF981">
        <v>2076</v>
      </c>
      <c r="AG981">
        <v>2076.48644835</v>
      </c>
      <c r="AH981">
        <v>201196.96776</v>
      </c>
      <c r="AI981">
        <v>50</v>
      </c>
      <c r="AJ981">
        <v>184562.43866780499</v>
      </c>
      <c r="AK981" s="1">
        <f>intersection_ss_Lden___surface[[#This Row],[surf m2 bout ss]]/intersection_ss_Lden___surface[[#This Row],[Shape_Area]]</f>
        <v>0.91732216803566502</v>
      </c>
      <c r="AL981">
        <v>1285</v>
      </c>
      <c r="AM981">
        <f>intersection_ss_Lden___surface[[#This Row],[Population totale 2024 ss]]*intersection_ss_Lden___surface[[#This Row],[Part de la surface du qs dans le noise contour]]</f>
        <v>1178.7589859258296</v>
      </c>
    </row>
    <row r="982" spans="1:39" x14ac:dyDescent="0.3">
      <c r="A982">
        <v>1012</v>
      </c>
      <c r="B982" t="s">
        <v>1414</v>
      </c>
      <c r="C982" t="s">
        <v>1415</v>
      </c>
      <c r="D982" t="s">
        <v>1415</v>
      </c>
      <c r="E982" t="s">
        <v>1415</v>
      </c>
      <c r="F982" t="s">
        <v>1405</v>
      </c>
      <c r="G982" t="s">
        <v>1363</v>
      </c>
      <c r="H982" t="s">
        <v>1364</v>
      </c>
      <c r="I982" t="s">
        <v>1365</v>
      </c>
      <c r="J982" t="s">
        <v>36</v>
      </c>
      <c r="K982">
        <v>21019</v>
      </c>
      <c r="L982" t="s">
        <v>1366</v>
      </c>
      <c r="M982" t="s">
        <v>1367</v>
      </c>
      <c r="N982" t="s">
        <v>1367</v>
      </c>
      <c r="O982">
        <v>21000</v>
      </c>
      <c r="P982" t="s">
        <v>46</v>
      </c>
      <c r="Q982" t="s">
        <v>47</v>
      </c>
      <c r="R982" t="s">
        <v>48</v>
      </c>
      <c r="T982" t="s">
        <v>36</v>
      </c>
      <c r="U982" t="s">
        <v>36</v>
      </c>
      <c r="V982" t="s">
        <v>36</v>
      </c>
      <c r="W982">
        <v>4000</v>
      </c>
      <c r="X982" t="s">
        <v>49</v>
      </c>
      <c r="Y982" t="s">
        <v>50</v>
      </c>
      <c r="Z982" t="s">
        <v>51</v>
      </c>
      <c r="AA982" t="s">
        <v>37</v>
      </c>
      <c r="AB982" t="s">
        <v>52</v>
      </c>
      <c r="AC982" t="s">
        <v>53</v>
      </c>
      <c r="AD982" t="s">
        <v>54</v>
      </c>
      <c r="AE982">
        <v>20.119373209199999</v>
      </c>
      <c r="AF982">
        <v>2076</v>
      </c>
      <c r="AG982">
        <v>2076.48644835</v>
      </c>
      <c r="AH982">
        <v>201196.96776</v>
      </c>
      <c r="AI982">
        <v>51</v>
      </c>
      <c r="AJ982">
        <v>16654.826924936799</v>
      </c>
      <c r="AK982" s="1">
        <f>intersection_ss_Lden___surface[[#This Row],[surf m2 bout ss]]/intersection_ss_Lden___surface[[#This Row],[Shape_Area]]</f>
        <v>8.2778717345301595E-2</v>
      </c>
      <c r="AL982">
        <v>1285</v>
      </c>
      <c r="AM982">
        <f>intersection_ss_Lden___surface[[#This Row],[Population totale 2024 ss]]*intersection_ss_Lden___surface[[#This Row],[Part de la surface du qs dans le noise contour]]</f>
        <v>106.37065178871255</v>
      </c>
    </row>
    <row r="983" spans="1:39" x14ac:dyDescent="0.3">
      <c r="A983">
        <v>1013</v>
      </c>
      <c r="B983" t="s">
        <v>1416</v>
      </c>
      <c r="C983" t="s">
        <v>1417</v>
      </c>
      <c r="D983" t="s">
        <v>1418</v>
      </c>
      <c r="E983" t="s">
        <v>1418</v>
      </c>
      <c r="F983" t="s">
        <v>1405</v>
      </c>
      <c r="G983" t="s">
        <v>1363</v>
      </c>
      <c r="H983" t="s">
        <v>1364</v>
      </c>
      <c r="I983" t="s">
        <v>1365</v>
      </c>
      <c r="J983" t="s">
        <v>36</v>
      </c>
      <c r="K983">
        <v>21019</v>
      </c>
      <c r="L983" t="s">
        <v>1366</v>
      </c>
      <c r="M983" t="s">
        <v>1367</v>
      </c>
      <c r="N983" t="s">
        <v>1367</v>
      </c>
      <c r="O983">
        <v>21000</v>
      </c>
      <c r="P983" t="s">
        <v>46</v>
      </c>
      <c r="Q983" t="s">
        <v>47</v>
      </c>
      <c r="R983" t="s">
        <v>48</v>
      </c>
      <c r="T983" t="s">
        <v>36</v>
      </c>
      <c r="U983" t="s">
        <v>36</v>
      </c>
      <c r="V983" t="s">
        <v>36</v>
      </c>
      <c r="W983">
        <v>4000</v>
      </c>
      <c r="X983" t="s">
        <v>49</v>
      </c>
      <c r="Y983" t="s">
        <v>50</v>
      </c>
      <c r="Z983" t="s">
        <v>51</v>
      </c>
      <c r="AA983" t="s">
        <v>37</v>
      </c>
      <c r="AB983" t="s">
        <v>52</v>
      </c>
      <c r="AC983" t="s">
        <v>53</v>
      </c>
      <c r="AD983" t="s">
        <v>54</v>
      </c>
      <c r="AE983">
        <v>34.490569341600001</v>
      </c>
      <c r="AF983">
        <v>2642</v>
      </c>
      <c r="AG983">
        <v>2641.9362372999999</v>
      </c>
      <c r="AH983">
        <v>344911.253119</v>
      </c>
      <c r="AI983">
        <v>46</v>
      </c>
      <c r="AJ983">
        <v>55241.666840227801</v>
      </c>
      <c r="AK983" s="1">
        <f>intersection_ss_Lden___surface[[#This Row],[surf m2 bout ss]]/intersection_ss_Lden___surface[[#This Row],[Shape_Area]]</f>
        <v>0.16016197308925878</v>
      </c>
      <c r="AL983">
        <v>119</v>
      </c>
      <c r="AM983">
        <f>intersection_ss_Lden___surface[[#This Row],[Population totale 2024 ss]]*intersection_ss_Lden___surface[[#This Row],[Part de la surface du qs dans le noise contour]]</f>
        <v>19.059274797621796</v>
      </c>
    </row>
    <row r="984" spans="1:39" x14ac:dyDescent="0.3">
      <c r="A984">
        <v>1014</v>
      </c>
      <c r="B984" t="s">
        <v>1416</v>
      </c>
      <c r="C984" t="s">
        <v>1417</v>
      </c>
      <c r="D984" t="s">
        <v>1418</v>
      </c>
      <c r="E984" t="s">
        <v>1418</v>
      </c>
      <c r="F984" t="s">
        <v>1405</v>
      </c>
      <c r="G984" t="s">
        <v>1363</v>
      </c>
      <c r="H984" t="s">
        <v>1364</v>
      </c>
      <c r="I984" t="s">
        <v>1365</v>
      </c>
      <c r="J984" t="s">
        <v>36</v>
      </c>
      <c r="K984">
        <v>21019</v>
      </c>
      <c r="L984" t="s">
        <v>1366</v>
      </c>
      <c r="M984" t="s">
        <v>1367</v>
      </c>
      <c r="N984" t="s">
        <v>1367</v>
      </c>
      <c r="O984">
        <v>21000</v>
      </c>
      <c r="P984" t="s">
        <v>46</v>
      </c>
      <c r="Q984" t="s">
        <v>47</v>
      </c>
      <c r="R984" t="s">
        <v>48</v>
      </c>
      <c r="T984" t="s">
        <v>36</v>
      </c>
      <c r="U984" t="s">
        <v>36</v>
      </c>
      <c r="V984" t="s">
        <v>36</v>
      </c>
      <c r="W984">
        <v>4000</v>
      </c>
      <c r="X984" t="s">
        <v>49</v>
      </c>
      <c r="Y984" t="s">
        <v>50</v>
      </c>
      <c r="Z984" t="s">
        <v>51</v>
      </c>
      <c r="AA984" t="s">
        <v>37</v>
      </c>
      <c r="AB984" t="s">
        <v>52</v>
      </c>
      <c r="AC984" t="s">
        <v>53</v>
      </c>
      <c r="AD984" t="s">
        <v>54</v>
      </c>
      <c r="AE984">
        <v>34.490569341600001</v>
      </c>
      <c r="AF984">
        <v>2642</v>
      </c>
      <c r="AG984">
        <v>2641.9362372999999</v>
      </c>
      <c r="AH984">
        <v>344911.253119</v>
      </c>
      <c r="AI984">
        <v>47</v>
      </c>
      <c r="AJ984">
        <v>135939.97876058001</v>
      </c>
      <c r="AK984" s="1">
        <f>intersection_ss_Lden___surface[[#This Row],[surf m2 bout ss]]/intersection_ss_Lden___surface[[#This Row],[Shape_Area]]</f>
        <v>0.39413030897451901</v>
      </c>
      <c r="AL984">
        <v>119</v>
      </c>
      <c r="AM984">
        <f>intersection_ss_Lden___surface[[#This Row],[Population totale 2024 ss]]*intersection_ss_Lden___surface[[#This Row],[Part de la surface du qs dans le noise contour]]</f>
        <v>46.90150676796776</v>
      </c>
    </row>
    <row r="985" spans="1:39" x14ac:dyDescent="0.3">
      <c r="A985">
        <v>1015</v>
      </c>
      <c r="B985" t="s">
        <v>1416</v>
      </c>
      <c r="C985" t="s">
        <v>1417</v>
      </c>
      <c r="D985" t="s">
        <v>1418</v>
      </c>
      <c r="E985" t="s">
        <v>1418</v>
      </c>
      <c r="F985" t="s">
        <v>1405</v>
      </c>
      <c r="G985" t="s">
        <v>1363</v>
      </c>
      <c r="H985" t="s">
        <v>1364</v>
      </c>
      <c r="I985" t="s">
        <v>1365</v>
      </c>
      <c r="J985" t="s">
        <v>36</v>
      </c>
      <c r="K985">
        <v>21019</v>
      </c>
      <c r="L985" t="s">
        <v>1366</v>
      </c>
      <c r="M985" t="s">
        <v>1367</v>
      </c>
      <c r="N985" t="s">
        <v>1367</v>
      </c>
      <c r="O985">
        <v>21000</v>
      </c>
      <c r="P985" t="s">
        <v>46</v>
      </c>
      <c r="Q985" t="s">
        <v>47</v>
      </c>
      <c r="R985" t="s">
        <v>48</v>
      </c>
      <c r="T985" t="s">
        <v>36</v>
      </c>
      <c r="U985" t="s">
        <v>36</v>
      </c>
      <c r="V985" t="s">
        <v>36</v>
      </c>
      <c r="W985">
        <v>4000</v>
      </c>
      <c r="X985" t="s">
        <v>49</v>
      </c>
      <c r="Y985" t="s">
        <v>50</v>
      </c>
      <c r="Z985" t="s">
        <v>51</v>
      </c>
      <c r="AA985" t="s">
        <v>37</v>
      </c>
      <c r="AB985" t="s">
        <v>52</v>
      </c>
      <c r="AC985" t="s">
        <v>53</v>
      </c>
      <c r="AD985" t="s">
        <v>54</v>
      </c>
      <c r="AE985">
        <v>34.490569341600001</v>
      </c>
      <c r="AF985">
        <v>2642</v>
      </c>
      <c r="AG985">
        <v>2641.9362372999999</v>
      </c>
      <c r="AH985">
        <v>344911.253119</v>
      </c>
      <c r="AI985">
        <v>48</v>
      </c>
      <c r="AJ985">
        <v>153400.637128884</v>
      </c>
      <c r="AK985" s="1">
        <f>intersection_ss_Lden___surface[[#This Row],[surf m2 bout ss]]/intersection_ss_Lden___surface[[#This Row],[Shape_Area]]</f>
        <v>0.44475393522738527</v>
      </c>
      <c r="AL985">
        <v>119</v>
      </c>
      <c r="AM985">
        <f>intersection_ss_Lden___surface[[#This Row],[Population totale 2024 ss]]*intersection_ss_Lden___surface[[#This Row],[Part de la surface du qs dans le noise contour]]</f>
        <v>52.925718292058846</v>
      </c>
    </row>
    <row r="986" spans="1:39" x14ac:dyDescent="0.3">
      <c r="A986">
        <v>1016</v>
      </c>
      <c r="B986" t="s">
        <v>1416</v>
      </c>
      <c r="C986" t="s">
        <v>1417</v>
      </c>
      <c r="D986" t="s">
        <v>1418</v>
      </c>
      <c r="E986" t="s">
        <v>1418</v>
      </c>
      <c r="F986" t="s">
        <v>1405</v>
      </c>
      <c r="G986" t="s">
        <v>1363</v>
      </c>
      <c r="H986" t="s">
        <v>1364</v>
      </c>
      <c r="I986" t="s">
        <v>1365</v>
      </c>
      <c r="J986" t="s">
        <v>36</v>
      </c>
      <c r="K986">
        <v>21019</v>
      </c>
      <c r="L986" t="s">
        <v>1366</v>
      </c>
      <c r="M986" t="s">
        <v>1367</v>
      </c>
      <c r="N986" t="s">
        <v>1367</v>
      </c>
      <c r="O986">
        <v>21000</v>
      </c>
      <c r="P986" t="s">
        <v>46</v>
      </c>
      <c r="Q986" t="s">
        <v>47</v>
      </c>
      <c r="R986" t="s">
        <v>48</v>
      </c>
      <c r="T986" t="s">
        <v>36</v>
      </c>
      <c r="U986" t="s">
        <v>36</v>
      </c>
      <c r="V986" t="s">
        <v>36</v>
      </c>
      <c r="W986">
        <v>4000</v>
      </c>
      <c r="X986" t="s">
        <v>49</v>
      </c>
      <c r="Y986" t="s">
        <v>50</v>
      </c>
      <c r="Z986" t="s">
        <v>51</v>
      </c>
      <c r="AA986" t="s">
        <v>37</v>
      </c>
      <c r="AB986" t="s">
        <v>52</v>
      </c>
      <c r="AC986" t="s">
        <v>53</v>
      </c>
      <c r="AD986" t="s">
        <v>54</v>
      </c>
      <c r="AE986">
        <v>34.490569341600001</v>
      </c>
      <c r="AF986">
        <v>2642</v>
      </c>
      <c r="AG986">
        <v>2641.9362372999999</v>
      </c>
      <c r="AH986">
        <v>344911.253119</v>
      </c>
      <c r="AI986">
        <v>49</v>
      </c>
      <c r="AJ986">
        <v>364.27160737663502</v>
      </c>
      <c r="AK986" s="1">
        <f>intersection_ss_Lden___surface[[#This Row],[surf m2 bout ss]]/intersection_ss_Lden___surface[[#This Row],[Shape_Area]]</f>
        <v>1.0561314079565718E-3</v>
      </c>
      <c r="AL986">
        <v>119</v>
      </c>
      <c r="AM986">
        <f>intersection_ss_Lden___surface[[#This Row],[Population totale 2024 ss]]*intersection_ss_Lden___surface[[#This Row],[Part de la surface du qs dans le noise contour]]</f>
        <v>0.12567963754683203</v>
      </c>
    </row>
    <row r="987" spans="1:39" x14ac:dyDescent="0.3">
      <c r="A987">
        <v>1017</v>
      </c>
      <c r="B987" t="s">
        <v>1419</v>
      </c>
      <c r="C987" t="s">
        <v>1420</v>
      </c>
      <c r="D987" t="s">
        <v>1421</v>
      </c>
      <c r="E987" t="s">
        <v>1421</v>
      </c>
      <c r="F987" t="s">
        <v>1422</v>
      </c>
      <c r="G987" t="s">
        <v>1363</v>
      </c>
      <c r="H987" t="s">
        <v>1364</v>
      </c>
      <c r="I987" t="s">
        <v>1365</v>
      </c>
      <c r="J987" t="s">
        <v>36</v>
      </c>
      <c r="K987">
        <v>21019</v>
      </c>
      <c r="L987" t="s">
        <v>1366</v>
      </c>
      <c r="M987" t="s">
        <v>1367</v>
      </c>
      <c r="N987" t="s">
        <v>1367</v>
      </c>
      <c r="O987">
        <v>21000</v>
      </c>
      <c r="P987" t="s">
        <v>46</v>
      </c>
      <c r="Q987" t="s">
        <v>47</v>
      </c>
      <c r="R987" t="s">
        <v>48</v>
      </c>
      <c r="T987" t="s">
        <v>36</v>
      </c>
      <c r="U987" t="s">
        <v>36</v>
      </c>
      <c r="V987" t="s">
        <v>36</v>
      </c>
      <c r="W987">
        <v>4000</v>
      </c>
      <c r="X987" t="s">
        <v>49</v>
      </c>
      <c r="Y987" t="s">
        <v>50</v>
      </c>
      <c r="Z987" t="s">
        <v>51</v>
      </c>
      <c r="AA987" t="s">
        <v>37</v>
      </c>
      <c r="AB987" t="s">
        <v>52</v>
      </c>
      <c r="AC987" t="s">
        <v>53</v>
      </c>
      <c r="AD987" t="s">
        <v>54</v>
      </c>
      <c r="AE987">
        <v>16.205079975</v>
      </c>
      <c r="AF987">
        <v>1919</v>
      </c>
      <c r="AG987">
        <v>1919.45120043</v>
      </c>
      <c r="AH987">
        <v>162053.415763</v>
      </c>
      <c r="AI987">
        <v>45</v>
      </c>
      <c r="AJ987">
        <v>62303.493446149398</v>
      </c>
      <c r="AK987" s="1">
        <f>intersection_ss_Lden___surface[[#This Row],[surf m2 bout ss]]/intersection_ss_Lden___surface[[#This Row],[Shape_Area]]</f>
        <v>0.38446269801104999</v>
      </c>
      <c r="AL987">
        <v>999</v>
      </c>
      <c r="AM987">
        <f>intersection_ss_Lden___surface[[#This Row],[Population totale 2024 ss]]*intersection_ss_Lden___surface[[#This Row],[Part de la surface du qs dans le noise contour]]</f>
        <v>384.07823531303893</v>
      </c>
    </row>
    <row r="988" spans="1:39" x14ac:dyDescent="0.3">
      <c r="A988">
        <v>1018</v>
      </c>
      <c r="B988" t="s">
        <v>1419</v>
      </c>
      <c r="C988" t="s">
        <v>1420</v>
      </c>
      <c r="D988" t="s">
        <v>1421</v>
      </c>
      <c r="E988" t="s">
        <v>1421</v>
      </c>
      <c r="F988" t="s">
        <v>1422</v>
      </c>
      <c r="G988" t="s">
        <v>1363</v>
      </c>
      <c r="H988" t="s">
        <v>1364</v>
      </c>
      <c r="I988" t="s">
        <v>1365</v>
      </c>
      <c r="J988" t="s">
        <v>36</v>
      </c>
      <c r="K988">
        <v>21019</v>
      </c>
      <c r="L988" t="s">
        <v>1366</v>
      </c>
      <c r="M988" t="s">
        <v>1367</v>
      </c>
      <c r="N988" t="s">
        <v>1367</v>
      </c>
      <c r="O988">
        <v>21000</v>
      </c>
      <c r="P988" t="s">
        <v>46</v>
      </c>
      <c r="Q988" t="s">
        <v>47</v>
      </c>
      <c r="R988" t="s">
        <v>48</v>
      </c>
      <c r="T988" t="s">
        <v>36</v>
      </c>
      <c r="U988" t="s">
        <v>36</v>
      </c>
      <c r="V988" t="s">
        <v>36</v>
      </c>
      <c r="W988">
        <v>4000</v>
      </c>
      <c r="X988" t="s">
        <v>49</v>
      </c>
      <c r="Y988" t="s">
        <v>50</v>
      </c>
      <c r="Z988" t="s">
        <v>51</v>
      </c>
      <c r="AA988" t="s">
        <v>37</v>
      </c>
      <c r="AB988" t="s">
        <v>52</v>
      </c>
      <c r="AC988" t="s">
        <v>53</v>
      </c>
      <c r="AD988" t="s">
        <v>54</v>
      </c>
      <c r="AE988">
        <v>16.205079975</v>
      </c>
      <c r="AF988">
        <v>1919</v>
      </c>
      <c r="AG988">
        <v>1919.45120043</v>
      </c>
      <c r="AH988">
        <v>162053.415763</v>
      </c>
      <c r="AI988">
        <v>46</v>
      </c>
      <c r="AJ988">
        <v>3153.1532801026501</v>
      </c>
      <c r="AK988" s="1">
        <f>intersection_ss_Lden___surface[[#This Row],[surf m2 bout ss]]/intersection_ss_Lden___surface[[#This Row],[Shape_Area]]</f>
        <v>1.9457493476805674E-2</v>
      </c>
      <c r="AL988">
        <v>999</v>
      </c>
      <c r="AM988">
        <f>intersection_ss_Lden___surface[[#This Row],[Population totale 2024 ss]]*intersection_ss_Lden___surface[[#This Row],[Part de la surface du qs dans le noise contour]]</f>
        <v>19.43803598332887</v>
      </c>
    </row>
    <row r="989" spans="1:39" x14ac:dyDescent="0.3">
      <c r="A989">
        <v>1019</v>
      </c>
      <c r="B989" t="s">
        <v>1423</v>
      </c>
      <c r="C989" t="s">
        <v>1424</v>
      </c>
      <c r="D989" t="s">
        <v>1424</v>
      </c>
      <c r="E989" t="s">
        <v>1424</v>
      </c>
      <c r="F989" t="s">
        <v>1422</v>
      </c>
      <c r="G989" t="s">
        <v>1363</v>
      </c>
      <c r="H989" t="s">
        <v>1364</v>
      </c>
      <c r="I989" t="s">
        <v>1365</v>
      </c>
      <c r="J989" t="s">
        <v>36</v>
      </c>
      <c r="K989">
        <v>21019</v>
      </c>
      <c r="L989" t="s">
        <v>1366</v>
      </c>
      <c r="M989" t="s">
        <v>1367</v>
      </c>
      <c r="N989" t="s">
        <v>1367</v>
      </c>
      <c r="O989">
        <v>21000</v>
      </c>
      <c r="P989" t="s">
        <v>46</v>
      </c>
      <c r="Q989" t="s">
        <v>47</v>
      </c>
      <c r="R989" t="s">
        <v>48</v>
      </c>
      <c r="T989" t="s">
        <v>36</v>
      </c>
      <c r="U989" t="s">
        <v>36</v>
      </c>
      <c r="V989" t="s">
        <v>36</v>
      </c>
      <c r="W989">
        <v>4000</v>
      </c>
      <c r="X989" t="s">
        <v>49</v>
      </c>
      <c r="Y989" t="s">
        <v>50</v>
      </c>
      <c r="Z989" t="s">
        <v>51</v>
      </c>
      <c r="AA989" t="s">
        <v>37</v>
      </c>
      <c r="AB989" t="s">
        <v>52</v>
      </c>
      <c r="AC989" t="s">
        <v>53</v>
      </c>
      <c r="AD989" t="s">
        <v>54</v>
      </c>
      <c r="AE989">
        <v>24.022706790400001</v>
      </c>
      <c r="AF989">
        <v>2382</v>
      </c>
      <c r="AG989">
        <v>2382.2156739900001</v>
      </c>
      <c r="AH989">
        <v>240230.92387100001</v>
      </c>
      <c r="AI989">
        <v>45</v>
      </c>
      <c r="AJ989">
        <v>101755.848189868</v>
      </c>
      <c r="AK989" s="1">
        <f>intersection_ss_Lden___surface[[#This Row],[surf m2 bout ss]]/intersection_ss_Lden___surface[[#This Row],[Shape_Area]]</f>
        <v>0.42357514407474534</v>
      </c>
      <c r="AL989">
        <v>1326</v>
      </c>
      <c r="AM989">
        <f>intersection_ss_Lden___surface[[#This Row],[Population totale 2024 ss]]*intersection_ss_Lden___surface[[#This Row],[Part de la surface du qs dans le noise contour]]</f>
        <v>561.66064104311226</v>
      </c>
    </row>
    <row r="990" spans="1:39" x14ac:dyDescent="0.3">
      <c r="A990">
        <v>1020</v>
      </c>
      <c r="B990" t="s">
        <v>1423</v>
      </c>
      <c r="C990" t="s">
        <v>1424</v>
      </c>
      <c r="D990" t="s">
        <v>1424</v>
      </c>
      <c r="E990" t="s">
        <v>1424</v>
      </c>
      <c r="F990" t="s">
        <v>1422</v>
      </c>
      <c r="G990" t="s">
        <v>1363</v>
      </c>
      <c r="H990" t="s">
        <v>1364</v>
      </c>
      <c r="I990" t="s">
        <v>1365</v>
      </c>
      <c r="J990" t="s">
        <v>36</v>
      </c>
      <c r="K990">
        <v>21019</v>
      </c>
      <c r="L990" t="s">
        <v>1366</v>
      </c>
      <c r="M990" t="s">
        <v>1367</v>
      </c>
      <c r="N990" t="s">
        <v>1367</v>
      </c>
      <c r="O990">
        <v>21000</v>
      </c>
      <c r="P990" t="s">
        <v>46</v>
      </c>
      <c r="Q990" t="s">
        <v>47</v>
      </c>
      <c r="R990" t="s">
        <v>48</v>
      </c>
      <c r="T990" t="s">
        <v>36</v>
      </c>
      <c r="U990" t="s">
        <v>36</v>
      </c>
      <c r="V990" t="s">
        <v>36</v>
      </c>
      <c r="W990">
        <v>4000</v>
      </c>
      <c r="X990" t="s">
        <v>49</v>
      </c>
      <c r="Y990" t="s">
        <v>50</v>
      </c>
      <c r="Z990" t="s">
        <v>51</v>
      </c>
      <c r="AA990" t="s">
        <v>37</v>
      </c>
      <c r="AB990" t="s">
        <v>52</v>
      </c>
      <c r="AC990" t="s">
        <v>53</v>
      </c>
      <c r="AD990" t="s">
        <v>54</v>
      </c>
      <c r="AE990">
        <v>24.022706790400001</v>
      </c>
      <c r="AF990">
        <v>2382</v>
      </c>
      <c r="AG990">
        <v>2382.2156739900001</v>
      </c>
      <c r="AH990">
        <v>240230.92387100001</v>
      </c>
      <c r="AI990">
        <v>46</v>
      </c>
      <c r="AJ990">
        <v>104431.78895679</v>
      </c>
      <c r="AK990" s="1">
        <f>intersection_ss_Lden___surface[[#This Row],[surf m2 bout ss]]/intersection_ss_Lden___surface[[#This Row],[Shape_Area]]</f>
        <v>0.43471417948202257</v>
      </c>
      <c r="AL990">
        <v>1326</v>
      </c>
      <c r="AM990">
        <f>intersection_ss_Lden___surface[[#This Row],[Population totale 2024 ss]]*intersection_ss_Lden___surface[[#This Row],[Part de la surface du qs dans le noise contour]]</f>
        <v>576.43100199316189</v>
      </c>
    </row>
    <row r="991" spans="1:39" x14ac:dyDescent="0.3">
      <c r="A991">
        <v>1021</v>
      </c>
      <c r="B991" t="s">
        <v>1423</v>
      </c>
      <c r="C991" t="s">
        <v>1424</v>
      </c>
      <c r="D991" t="s">
        <v>1424</v>
      </c>
      <c r="E991" t="s">
        <v>1424</v>
      </c>
      <c r="F991" t="s">
        <v>1422</v>
      </c>
      <c r="G991" t="s">
        <v>1363</v>
      </c>
      <c r="H991" t="s">
        <v>1364</v>
      </c>
      <c r="I991" t="s">
        <v>1365</v>
      </c>
      <c r="J991" t="s">
        <v>36</v>
      </c>
      <c r="K991">
        <v>21019</v>
      </c>
      <c r="L991" t="s">
        <v>1366</v>
      </c>
      <c r="M991" t="s">
        <v>1367</v>
      </c>
      <c r="N991" t="s">
        <v>1367</v>
      </c>
      <c r="O991">
        <v>21000</v>
      </c>
      <c r="P991" t="s">
        <v>46</v>
      </c>
      <c r="Q991" t="s">
        <v>47</v>
      </c>
      <c r="R991" t="s">
        <v>48</v>
      </c>
      <c r="T991" t="s">
        <v>36</v>
      </c>
      <c r="U991" t="s">
        <v>36</v>
      </c>
      <c r="V991" t="s">
        <v>36</v>
      </c>
      <c r="W991">
        <v>4000</v>
      </c>
      <c r="X991" t="s">
        <v>49</v>
      </c>
      <c r="Y991" t="s">
        <v>50</v>
      </c>
      <c r="Z991" t="s">
        <v>51</v>
      </c>
      <c r="AA991" t="s">
        <v>37</v>
      </c>
      <c r="AB991" t="s">
        <v>52</v>
      </c>
      <c r="AC991" t="s">
        <v>53</v>
      </c>
      <c r="AD991" t="s">
        <v>54</v>
      </c>
      <c r="AE991">
        <v>24.022706790400001</v>
      </c>
      <c r="AF991">
        <v>2382</v>
      </c>
      <c r="AG991">
        <v>2382.2156739900001</v>
      </c>
      <c r="AH991">
        <v>240230.92387100001</v>
      </c>
      <c r="AI991">
        <v>47</v>
      </c>
      <c r="AJ991">
        <v>34067.7960562515</v>
      </c>
      <c r="AK991" s="1">
        <f>intersection_ss_Lden___surface[[#This Row],[surf m2 bout ss]]/intersection_ss_Lden___surface[[#This Row],[Shape_Area]]</f>
        <v>0.14181270049373551</v>
      </c>
      <c r="AL991">
        <v>1326</v>
      </c>
      <c r="AM991">
        <f>intersection_ss_Lden___surface[[#This Row],[Population totale 2024 ss]]*intersection_ss_Lden___surface[[#This Row],[Part de la surface du qs dans le noise contour]]</f>
        <v>188.04364085469328</v>
      </c>
    </row>
    <row r="992" spans="1:39" x14ac:dyDescent="0.3">
      <c r="A992">
        <v>1022</v>
      </c>
      <c r="B992" t="s">
        <v>1425</v>
      </c>
      <c r="C992" t="s">
        <v>1426</v>
      </c>
      <c r="D992" t="s">
        <v>1427</v>
      </c>
      <c r="E992" t="s">
        <v>1427</v>
      </c>
      <c r="F992" t="s">
        <v>1422</v>
      </c>
      <c r="G992" t="s">
        <v>1363</v>
      </c>
      <c r="H992" t="s">
        <v>1364</v>
      </c>
      <c r="I992" t="s">
        <v>1365</v>
      </c>
      <c r="J992" t="s">
        <v>36</v>
      </c>
      <c r="K992">
        <v>21019</v>
      </c>
      <c r="L992" t="s">
        <v>1366</v>
      </c>
      <c r="M992" t="s">
        <v>1367</v>
      </c>
      <c r="N992" t="s">
        <v>1367</v>
      </c>
      <c r="O992">
        <v>21000</v>
      </c>
      <c r="P992" t="s">
        <v>46</v>
      </c>
      <c r="Q992" t="s">
        <v>47</v>
      </c>
      <c r="R992" t="s">
        <v>48</v>
      </c>
      <c r="T992" t="s">
        <v>36</v>
      </c>
      <c r="U992" t="s">
        <v>36</v>
      </c>
      <c r="V992" t="s">
        <v>36</v>
      </c>
      <c r="W992">
        <v>4000</v>
      </c>
      <c r="X992" t="s">
        <v>49</v>
      </c>
      <c r="Y992" t="s">
        <v>50</v>
      </c>
      <c r="Z992" t="s">
        <v>51</v>
      </c>
      <c r="AA992" t="s">
        <v>37</v>
      </c>
      <c r="AB992" t="s">
        <v>52</v>
      </c>
      <c r="AC992" t="s">
        <v>53</v>
      </c>
      <c r="AD992" t="s">
        <v>54</v>
      </c>
      <c r="AE992">
        <v>38.049689334900002</v>
      </c>
      <c r="AF992">
        <v>3052</v>
      </c>
      <c r="AG992">
        <v>3051.80685928</v>
      </c>
      <c r="AH992">
        <v>380503.01467900001</v>
      </c>
      <c r="AI992">
        <v>45</v>
      </c>
      <c r="AJ992">
        <v>44469.315357574298</v>
      </c>
      <c r="AK992" s="1">
        <f>intersection_ss_Lden___surface[[#This Row],[surf m2 bout ss]]/intersection_ss_Lden___surface[[#This Row],[Shape_Area]]</f>
        <v>0.11686981086099806</v>
      </c>
      <c r="AL992">
        <v>2657</v>
      </c>
      <c r="AM992">
        <f>intersection_ss_Lden___surface[[#This Row],[Population totale 2024 ss]]*intersection_ss_Lden___surface[[#This Row],[Part de la surface du qs dans le noise contour]]</f>
        <v>310.52308745767181</v>
      </c>
    </row>
    <row r="993" spans="1:39" x14ac:dyDescent="0.3">
      <c r="A993">
        <v>1023</v>
      </c>
      <c r="B993" t="s">
        <v>1428</v>
      </c>
      <c r="C993" t="s">
        <v>1429</v>
      </c>
      <c r="D993" t="s">
        <v>1430</v>
      </c>
      <c r="E993" t="s">
        <v>1430</v>
      </c>
      <c r="F993" t="s">
        <v>1422</v>
      </c>
      <c r="G993" t="s">
        <v>1363</v>
      </c>
      <c r="H993" t="s">
        <v>1364</v>
      </c>
      <c r="I993" t="s">
        <v>1365</v>
      </c>
      <c r="J993" t="s">
        <v>36</v>
      </c>
      <c r="K993">
        <v>21019</v>
      </c>
      <c r="L993" t="s">
        <v>1366</v>
      </c>
      <c r="M993" t="s">
        <v>1367</v>
      </c>
      <c r="N993" t="s">
        <v>1367</v>
      </c>
      <c r="O993">
        <v>21000</v>
      </c>
      <c r="P993" t="s">
        <v>46</v>
      </c>
      <c r="Q993" t="s">
        <v>47</v>
      </c>
      <c r="R993" t="s">
        <v>48</v>
      </c>
      <c r="T993" t="s">
        <v>36</v>
      </c>
      <c r="U993" t="s">
        <v>36</v>
      </c>
      <c r="V993" t="s">
        <v>36</v>
      </c>
      <c r="W993">
        <v>4000</v>
      </c>
      <c r="X993" t="s">
        <v>49</v>
      </c>
      <c r="Y993" t="s">
        <v>50</v>
      </c>
      <c r="Z993" t="s">
        <v>51</v>
      </c>
      <c r="AA993" t="s">
        <v>37</v>
      </c>
      <c r="AB993" t="s">
        <v>52</v>
      </c>
      <c r="AC993" t="s">
        <v>53</v>
      </c>
      <c r="AD993" t="s">
        <v>54</v>
      </c>
      <c r="AE993">
        <v>13.5175203133</v>
      </c>
      <c r="AF993">
        <v>1480</v>
      </c>
      <c r="AG993">
        <v>1480.30038943</v>
      </c>
      <c r="AH993">
        <v>135177.376338</v>
      </c>
      <c r="AI993">
        <v>45</v>
      </c>
      <c r="AJ993">
        <v>31927.7181605316</v>
      </c>
      <c r="AK993" s="1">
        <f>intersection_ss_Lden___surface[[#This Row],[surf m2 bout ss]]/intersection_ss_Lden___surface[[#This Row],[Shape_Area]]</f>
        <v>0.23619128455858579</v>
      </c>
      <c r="AL993">
        <v>1170</v>
      </c>
      <c r="AM993">
        <f>intersection_ss_Lden___surface[[#This Row],[Population totale 2024 ss]]*intersection_ss_Lden___surface[[#This Row],[Part de la surface du qs dans le noise contour]]</f>
        <v>276.34380293354536</v>
      </c>
    </row>
    <row r="994" spans="1:39" x14ac:dyDescent="0.3">
      <c r="A994">
        <v>1024</v>
      </c>
      <c r="B994" t="s">
        <v>1431</v>
      </c>
      <c r="C994" t="s">
        <v>1432</v>
      </c>
      <c r="D994" t="s">
        <v>1433</v>
      </c>
      <c r="E994" t="s">
        <v>1433</v>
      </c>
      <c r="F994" t="s">
        <v>1422</v>
      </c>
      <c r="G994" t="s">
        <v>1363</v>
      </c>
      <c r="H994" t="s">
        <v>1364</v>
      </c>
      <c r="I994" t="s">
        <v>1365</v>
      </c>
      <c r="J994" t="s">
        <v>36</v>
      </c>
      <c r="K994">
        <v>21019</v>
      </c>
      <c r="L994" t="s">
        <v>1366</v>
      </c>
      <c r="M994" t="s">
        <v>1367</v>
      </c>
      <c r="N994" t="s">
        <v>1367</v>
      </c>
      <c r="O994">
        <v>21000</v>
      </c>
      <c r="P994" t="s">
        <v>46</v>
      </c>
      <c r="Q994" t="s">
        <v>47</v>
      </c>
      <c r="R994" t="s">
        <v>48</v>
      </c>
      <c r="T994" t="s">
        <v>36</v>
      </c>
      <c r="U994" t="s">
        <v>36</v>
      </c>
      <c r="V994" t="s">
        <v>36</v>
      </c>
      <c r="W994">
        <v>4000</v>
      </c>
      <c r="X994" t="s">
        <v>49</v>
      </c>
      <c r="Y994" t="s">
        <v>50</v>
      </c>
      <c r="Z994" t="s">
        <v>51</v>
      </c>
      <c r="AA994" t="s">
        <v>37</v>
      </c>
      <c r="AB994" t="s">
        <v>52</v>
      </c>
      <c r="AC994" t="s">
        <v>53</v>
      </c>
      <c r="AD994" t="s">
        <v>54</v>
      </c>
      <c r="AE994">
        <v>26.462419072799999</v>
      </c>
      <c r="AF994">
        <v>2383</v>
      </c>
      <c r="AG994">
        <v>2382.7956537</v>
      </c>
      <c r="AH994">
        <v>264628.45156399999</v>
      </c>
      <c r="AI994">
        <v>45</v>
      </c>
      <c r="AJ994">
        <v>100526.27741020299</v>
      </c>
      <c r="AK994" s="1">
        <f>intersection_ss_Lden___surface[[#This Row],[surf m2 bout ss]]/intersection_ss_Lden___surface[[#This Row],[Shape_Area]]</f>
        <v>0.37987705711942643</v>
      </c>
      <c r="AL994">
        <v>1557</v>
      </c>
      <c r="AM994">
        <f>intersection_ss_Lden___surface[[#This Row],[Population totale 2024 ss]]*intersection_ss_Lden___surface[[#This Row],[Part de la surface du qs dans le noise contour]]</f>
        <v>591.46857793494701</v>
      </c>
    </row>
    <row r="995" spans="1:39" x14ac:dyDescent="0.3">
      <c r="A995">
        <v>1025</v>
      </c>
      <c r="B995" t="s">
        <v>1431</v>
      </c>
      <c r="C995" t="s">
        <v>1432</v>
      </c>
      <c r="D995" t="s">
        <v>1433</v>
      </c>
      <c r="E995" t="s">
        <v>1433</v>
      </c>
      <c r="F995" t="s">
        <v>1422</v>
      </c>
      <c r="G995" t="s">
        <v>1363</v>
      </c>
      <c r="H995" t="s">
        <v>1364</v>
      </c>
      <c r="I995" t="s">
        <v>1365</v>
      </c>
      <c r="J995" t="s">
        <v>36</v>
      </c>
      <c r="K995">
        <v>21019</v>
      </c>
      <c r="L995" t="s">
        <v>1366</v>
      </c>
      <c r="M995" t="s">
        <v>1367</v>
      </c>
      <c r="N995" t="s">
        <v>1367</v>
      </c>
      <c r="O995">
        <v>21000</v>
      </c>
      <c r="P995" t="s">
        <v>46</v>
      </c>
      <c r="Q995" t="s">
        <v>47</v>
      </c>
      <c r="R995" t="s">
        <v>48</v>
      </c>
      <c r="T995" t="s">
        <v>36</v>
      </c>
      <c r="U995" t="s">
        <v>36</v>
      </c>
      <c r="V995" t="s">
        <v>36</v>
      </c>
      <c r="W995">
        <v>4000</v>
      </c>
      <c r="X995" t="s">
        <v>49</v>
      </c>
      <c r="Y995" t="s">
        <v>50</v>
      </c>
      <c r="Z995" t="s">
        <v>51</v>
      </c>
      <c r="AA995" t="s">
        <v>37</v>
      </c>
      <c r="AB995" t="s">
        <v>52</v>
      </c>
      <c r="AC995" t="s">
        <v>53</v>
      </c>
      <c r="AD995" t="s">
        <v>54</v>
      </c>
      <c r="AE995">
        <v>26.462419072799999</v>
      </c>
      <c r="AF995">
        <v>2383</v>
      </c>
      <c r="AG995">
        <v>2382.7956537</v>
      </c>
      <c r="AH995">
        <v>264628.45156399999</v>
      </c>
      <c r="AI995">
        <v>46</v>
      </c>
      <c r="AJ995">
        <v>119466.18434439501</v>
      </c>
      <c r="AK995" s="1">
        <f>intersection_ss_Lden___surface[[#This Row],[surf m2 bout ss]]/intersection_ss_Lden___surface[[#This Row],[Shape_Area]]</f>
        <v>0.45144875253711064</v>
      </c>
      <c r="AL995">
        <v>1557</v>
      </c>
      <c r="AM995">
        <f>intersection_ss_Lden___surface[[#This Row],[Population totale 2024 ss]]*intersection_ss_Lden___surface[[#This Row],[Part de la surface du qs dans le noise contour]]</f>
        <v>702.90570770028125</v>
      </c>
    </row>
    <row r="996" spans="1:39" x14ac:dyDescent="0.3">
      <c r="A996">
        <v>1026</v>
      </c>
      <c r="B996" t="s">
        <v>1431</v>
      </c>
      <c r="C996" t="s">
        <v>1432</v>
      </c>
      <c r="D996" t="s">
        <v>1433</v>
      </c>
      <c r="E996" t="s">
        <v>1433</v>
      </c>
      <c r="F996" t="s">
        <v>1422</v>
      </c>
      <c r="G996" t="s">
        <v>1363</v>
      </c>
      <c r="H996" t="s">
        <v>1364</v>
      </c>
      <c r="I996" t="s">
        <v>1365</v>
      </c>
      <c r="J996" t="s">
        <v>36</v>
      </c>
      <c r="K996">
        <v>21019</v>
      </c>
      <c r="L996" t="s">
        <v>1366</v>
      </c>
      <c r="M996" t="s">
        <v>1367</v>
      </c>
      <c r="N996" t="s">
        <v>1367</v>
      </c>
      <c r="O996">
        <v>21000</v>
      </c>
      <c r="P996" t="s">
        <v>46</v>
      </c>
      <c r="Q996" t="s">
        <v>47</v>
      </c>
      <c r="R996" t="s">
        <v>48</v>
      </c>
      <c r="T996" t="s">
        <v>36</v>
      </c>
      <c r="U996" t="s">
        <v>36</v>
      </c>
      <c r="V996" t="s">
        <v>36</v>
      </c>
      <c r="W996">
        <v>4000</v>
      </c>
      <c r="X996" t="s">
        <v>49</v>
      </c>
      <c r="Y996" t="s">
        <v>50</v>
      </c>
      <c r="Z996" t="s">
        <v>51</v>
      </c>
      <c r="AA996" t="s">
        <v>37</v>
      </c>
      <c r="AB996" t="s">
        <v>52</v>
      </c>
      <c r="AC996" t="s">
        <v>53</v>
      </c>
      <c r="AD996" t="s">
        <v>54</v>
      </c>
      <c r="AE996">
        <v>26.462419072799999</v>
      </c>
      <c r="AF996">
        <v>2383</v>
      </c>
      <c r="AG996">
        <v>2382.7956537</v>
      </c>
      <c r="AH996">
        <v>264628.45156399999</v>
      </c>
      <c r="AI996">
        <v>47</v>
      </c>
      <c r="AJ996">
        <v>42214.186841939598</v>
      </c>
      <c r="AK996" s="1">
        <f>intersection_ss_Lden___surface[[#This Row],[surf m2 bout ss]]/intersection_ss_Lden___surface[[#This Row],[Shape_Area]]</f>
        <v>0.15952247988621948</v>
      </c>
      <c r="AL996">
        <v>1557</v>
      </c>
      <c r="AM996">
        <f>intersection_ss_Lden___surface[[#This Row],[Population totale 2024 ss]]*intersection_ss_Lden___surface[[#This Row],[Part de la surface du qs dans le noise contour]]</f>
        <v>248.37650118284373</v>
      </c>
    </row>
    <row r="997" spans="1:39" x14ac:dyDescent="0.3">
      <c r="A997">
        <v>1027</v>
      </c>
      <c r="B997" t="s">
        <v>1434</v>
      </c>
      <c r="C997" t="s">
        <v>1435</v>
      </c>
      <c r="D997" t="s">
        <v>1436</v>
      </c>
      <c r="E997" t="s">
        <v>1436</v>
      </c>
      <c r="F997" t="s">
        <v>1437</v>
      </c>
      <c r="G997" t="s">
        <v>1363</v>
      </c>
      <c r="H997" t="s">
        <v>1364</v>
      </c>
      <c r="I997" t="s">
        <v>1365</v>
      </c>
      <c r="J997" t="s">
        <v>36</v>
      </c>
      <c r="K997">
        <v>21019</v>
      </c>
      <c r="L997" t="s">
        <v>1366</v>
      </c>
      <c r="M997" t="s">
        <v>1367</v>
      </c>
      <c r="N997" t="s">
        <v>1367</v>
      </c>
      <c r="O997">
        <v>21000</v>
      </c>
      <c r="P997" t="s">
        <v>46</v>
      </c>
      <c r="Q997" t="s">
        <v>47</v>
      </c>
      <c r="R997" t="s">
        <v>48</v>
      </c>
      <c r="T997" t="s">
        <v>36</v>
      </c>
      <c r="U997" t="s">
        <v>36</v>
      </c>
      <c r="V997" t="s">
        <v>36</v>
      </c>
      <c r="W997">
        <v>4000</v>
      </c>
      <c r="X997" t="s">
        <v>49</v>
      </c>
      <c r="Y997" t="s">
        <v>50</v>
      </c>
      <c r="Z997" t="s">
        <v>51</v>
      </c>
      <c r="AA997" t="s">
        <v>37</v>
      </c>
      <c r="AB997" t="s">
        <v>52</v>
      </c>
      <c r="AC997" t="s">
        <v>53</v>
      </c>
      <c r="AD997" t="s">
        <v>54</v>
      </c>
      <c r="AE997">
        <v>30.714380984400002</v>
      </c>
      <c r="AF997">
        <v>2624</v>
      </c>
      <c r="AG997">
        <v>2624.4785788099998</v>
      </c>
      <c r="AH997">
        <v>307148.74442100001</v>
      </c>
      <c r="AI997">
        <v>51</v>
      </c>
      <c r="AJ997">
        <v>48941.438113880104</v>
      </c>
      <c r="AK997" s="1">
        <f>intersection_ss_Lden___surface[[#This Row],[surf m2 bout ss]]/intersection_ss_Lden___surface[[#This Row],[Shape_Area]]</f>
        <v>0.15934116288229871</v>
      </c>
      <c r="AL997">
        <v>3004</v>
      </c>
      <c r="AM997">
        <f>intersection_ss_Lden___surface[[#This Row],[Population totale 2024 ss]]*intersection_ss_Lden___surface[[#This Row],[Part de la surface du qs dans le noise contour]]</f>
        <v>478.66085329842537</v>
      </c>
    </row>
    <row r="998" spans="1:39" x14ac:dyDescent="0.3">
      <c r="A998">
        <v>1028</v>
      </c>
      <c r="B998" t="s">
        <v>1434</v>
      </c>
      <c r="C998" t="s">
        <v>1435</v>
      </c>
      <c r="D998" t="s">
        <v>1436</v>
      </c>
      <c r="E998" t="s">
        <v>1436</v>
      </c>
      <c r="F998" t="s">
        <v>1437</v>
      </c>
      <c r="G998" t="s">
        <v>1363</v>
      </c>
      <c r="H998" t="s">
        <v>1364</v>
      </c>
      <c r="I998" t="s">
        <v>1365</v>
      </c>
      <c r="J998" t="s">
        <v>36</v>
      </c>
      <c r="K998">
        <v>21019</v>
      </c>
      <c r="L998" t="s">
        <v>1366</v>
      </c>
      <c r="M998" t="s">
        <v>1367</v>
      </c>
      <c r="N998" t="s">
        <v>1367</v>
      </c>
      <c r="O998">
        <v>21000</v>
      </c>
      <c r="P998" t="s">
        <v>46</v>
      </c>
      <c r="Q998" t="s">
        <v>47</v>
      </c>
      <c r="R998" t="s">
        <v>48</v>
      </c>
      <c r="T998" t="s">
        <v>36</v>
      </c>
      <c r="U998" t="s">
        <v>36</v>
      </c>
      <c r="V998" t="s">
        <v>36</v>
      </c>
      <c r="W998">
        <v>4000</v>
      </c>
      <c r="X998" t="s">
        <v>49</v>
      </c>
      <c r="Y998" t="s">
        <v>50</v>
      </c>
      <c r="Z998" t="s">
        <v>51</v>
      </c>
      <c r="AA998" t="s">
        <v>37</v>
      </c>
      <c r="AB998" t="s">
        <v>52</v>
      </c>
      <c r="AC998" t="s">
        <v>53</v>
      </c>
      <c r="AD998" t="s">
        <v>54</v>
      </c>
      <c r="AE998">
        <v>30.714380984400002</v>
      </c>
      <c r="AF998">
        <v>2624</v>
      </c>
      <c r="AG998">
        <v>2624.4785788099998</v>
      </c>
      <c r="AH998">
        <v>307148.74442100001</v>
      </c>
      <c r="AI998">
        <v>52</v>
      </c>
      <c r="AJ998">
        <v>64255.614944373301</v>
      </c>
      <c r="AK998" s="1">
        <f>intersection_ss_Lden___surface[[#This Row],[surf m2 bout ss]]/intersection_ss_Lden___surface[[#This Row],[Shape_Area]]</f>
        <v>0.2092003177987925</v>
      </c>
      <c r="AL998">
        <v>3004</v>
      </c>
      <c r="AM998">
        <f>intersection_ss_Lden___surface[[#This Row],[Population totale 2024 ss]]*intersection_ss_Lden___surface[[#This Row],[Part de la surface du qs dans le noise contour]]</f>
        <v>628.43775466757268</v>
      </c>
    </row>
    <row r="999" spans="1:39" x14ac:dyDescent="0.3">
      <c r="A999">
        <v>1029</v>
      </c>
      <c r="B999" t="s">
        <v>1434</v>
      </c>
      <c r="C999" t="s">
        <v>1435</v>
      </c>
      <c r="D999" t="s">
        <v>1436</v>
      </c>
      <c r="E999" t="s">
        <v>1436</v>
      </c>
      <c r="F999" t="s">
        <v>1437</v>
      </c>
      <c r="G999" t="s">
        <v>1363</v>
      </c>
      <c r="H999" t="s">
        <v>1364</v>
      </c>
      <c r="I999" t="s">
        <v>1365</v>
      </c>
      <c r="J999" t="s">
        <v>36</v>
      </c>
      <c r="K999">
        <v>21019</v>
      </c>
      <c r="L999" t="s">
        <v>1366</v>
      </c>
      <c r="M999" t="s">
        <v>1367</v>
      </c>
      <c r="N999" t="s">
        <v>1367</v>
      </c>
      <c r="O999">
        <v>21000</v>
      </c>
      <c r="P999" t="s">
        <v>46</v>
      </c>
      <c r="Q999" t="s">
        <v>47</v>
      </c>
      <c r="R999" t="s">
        <v>48</v>
      </c>
      <c r="T999" t="s">
        <v>36</v>
      </c>
      <c r="U999" t="s">
        <v>36</v>
      </c>
      <c r="V999" t="s">
        <v>36</v>
      </c>
      <c r="W999">
        <v>4000</v>
      </c>
      <c r="X999" t="s">
        <v>49</v>
      </c>
      <c r="Y999" t="s">
        <v>50</v>
      </c>
      <c r="Z999" t="s">
        <v>51</v>
      </c>
      <c r="AA999" t="s">
        <v>37</v>
      </c>
      <c r="AB999" t="s">
        <v>52</v>
      </c>
      <c r="AC999" t="s">
        <v>53</v>
      </c>
      <c r="AD999" t="s">
        <v>54</v>
      </c>
      <c r="AE999">
        <v>30.714380984400002</v>
      </c>
      <c r="AF999">
        <v>2624</v>
      </c>
      <c r="AG999">
        <v>2624.4785788099998</v>
      </c>
      <c r="AH999">
        <v>307148.74442100001</v>
      </c>
      <c r="AI999">
        <v>53</v>
      </c>
      <c r="AJ999">
        <v>87375.399521458603</v>
      </c>
      <c r="AK999" s="1">
        <f>intersection_ss_Lden___surface[[#This Row],[surf m2 bout ss]]/intersection_ss_Lden___surface[[#This Row],[Shape_Area]]</f>
        <v>0.28447259221641369</v>
      </c>
      <c r="AL999">
        <v>3004</v>
      </c>
      <c r="AM999">
        <f>intersection_ss_Lden___surface[[#This Row],[Population totale 2024 ss]]*intersection_ss_Lden___surface[[#This Row],[Part de la surface du qs dans le noise contour]]</f>
        <v>854.55566701810676</v>
      </c>
    </row>
    <row r="1000" spans="1:39" x14ac:dyDescent="0.3">
      <c r="A1000">
        <v>1030</v>
      </c>
      <c r="B1000" t="s">
        <v>1434</v>
      </c>
      <c r="C1000" t="s">
        <v>1435</v>
      </c>
      <c r="D1000" t="s">
        <v>1436</v>
      </c>
      <c r="E1000" t="s">
        <v>1436</v>
      </c>
      <c r="F1000" t="s">
        <v>1437</v>
      </c>
      <c r="G1000" t="s">
        <v>1363</v>
      </c>
      <c r="H1000" t="s">
        <v>1364</v>
      </c>
      <c r="I1000" t="s">
        <v>1365</v>
      </c>
      <c r="J1000" t="s">
        <v>36</v>
      </c>
      <c r="K1000">
        <v>21019</v>
      </c>
      <c r="L1000" t="s">
        <v>1366</v>
      </c>
      <c r="M1000" t="s">
        <v>1367</v>
      </c>
      <c r="N1000" t="s">
        <v>1367</v>
      </c>
      <c r="O1000">
        <v>21000</v>
      </c>
      <c r="P1000" t="s">
        <v>46</v>
      </c>
      <c r="Q1000" t="s">
        <v>47</v>
      </c>
      <c r="R1000" t="s">
        <v>48</v>
      </c>
      <c r="T1000" t="s">
        <v>36</v>
      </c>
      <c r="U1000" t="s">
        <v>36</v>
      </c>
      <c r="V1000" t="s">
        <v>36</v>
      </c>
      <c r="W1000">
        <v>4000</v>
      </c>
      <c r="X1000" t="s">
        <v>49</v>
      </c>
      <c r="Y1000" t="s">
        <v>50</v>
      </c>
      <c r="Z1000" t="s">
        <v>51</v>
      </c>
      <c r="AA1000" t="s">
        <v>37</v>
      </c>
      <c r="AB1000" t="s">
        <v>52</v>
      </c>
      <c r="AC1000" t="s">
        <v>53</v>
      </c>
      <c r="AD1000" t="s">
        <v>54</v>
      </c>
      <c r="AE1000">
        <v>30.714380984400002</v>
      </c>
      <c r="AF1000">
        <v>2624</v>
      </c>
      <c r="AG1000">
        <v>2624.4785788099998</v>
      </c>
      <c r="AH1000">
        <v>307148.74442100001</v>
      </c>
      <c r="AI1000">
        <v>54</v>
      </c>
      <c r="AJ1000">
        <v>98760.253525762993</v>
      </c>
      <c r="AK1000" s="1">
        <f>intersection_ss_Lden___surface[[#This Row],[surf m2 bout ss]]/intersection_ss_Lden___surface[[#This Row],[Shape_Area]]</f>
        <v>0.32153884826042178</v>
      </c>
      <c r="AL1000">
        <v>3004</v>
      </c>
      <c r="AM1000">
        <f>intersection_ss_Lden___surface[[#This Row],[Population totale 2024 ss]]*intersection_ss_Lden___surface[[#This Row],[Part de la surface du qs dans le noise contour]]</f>
        <v>965.90270017430703</v>
      </c>
    </row>
    <row r="1001" spans="1:39" x14ac:dyDescent="0.3">
      <c r="A1001">
        <v>1031</v>
      </c>
      <c r="B1001" t="s">
        <v>1434</v>
      </c>
      <c r="C1001" t="s">
        <v>1435</v>
      </c>
      <c r="D1001" t="s">
        <v>1436</v>
      </c>
      <c r="E1001" t="s">
        <v>1436</v>
      </c>
      <c r="F1001" t="s">
        <v>1437</v>
      </c>
      <c r="G1001" t="s">
        <v>1363</v>
      </c>
      <c r="H1001" t="s">
        <v>1364</v>
      </c>
      <c r="I1001" t="s">
        <v>1365</v>
      </c>
      <c r="J1001" t="s">
        <v>36</v>
      </c>
      <c r="K1001">
        <v>21019</v>
      </c>
      <c r="L1001" t="s">
        <v>1366</v>
      </c>
      <c r="M1001" t="s">
        <v>1367</v>
      </c>
      <c r="N1001" t="s">
        <v>1367</v>
      </c>
      <c r="O1001">
        <v>21000</v>
      </c>
      <c r="P1001" t="s">
        <v>46</v>
      </c>
      <c r="Q1001" t="s">
        <v>47</v>
      </c>
      <c r="R1001" t="s">
        <v>48</v>
      </c>
      <c r="T1001" t="s">
        <v>36</v>
      </c>
      <c r="U1001" t="s">
        <v>36</v>
      </c>
      <c r="V1001" t="s">
        <v>36</v>
      </c>
      <c r="W1001">
        <v>4000</v>
      </c>
      <c r="X1001" t="s">
        <v>49</v>
      </c>
      <c r="Y1001" t="s">
        <v>50</v>
      </c>
      <c r="Z1001" t="s">
        <v>51</v>
      </c>
      <c r="AA1001" t="s">
        <v>37</v>
      </c>
      <c r="AB1001" t="s">
        <v>52</v>
      </c>
      <c r="AC1001" t="s">
        <v>53</v>
      </c>
      <c r="AD1001" t="s">
        <v>54</v>
      </c>
      <c r="AE1001">
        <v>30.714380984400002</v>
      </c>
      <c r="AF1001">
        <v>2624</v>
      </c>
      <c r="AG1001">
        <v>2624.4785788099998</v>
      </c>
      <c r="AH1001">
        <v>307148.74442100001</v>
      </c>
      <c r="AI1001">
        <v>55</v>
      </c>
      <c r="AJ1001">
        <v>7847.5009051630004</v>
      </c>
      <c r="AK1001" s="1">
        <f>intersection_ss_Lden___surface[[#This Row],[surf m2 bout ss]]/intersection_ss_Lden___surface[[#This Row],[Shape_Area]]</f>
        <v>2.5549513216979507E-2</v>
      </c>
      <c r="AL1001">
        <v>3004</v>
      </c>
      <c r="AM1001">
        <f>intersection_ss_Lden___surface[[#This Row],[Population totale 2024 ss]]*intersection_ss_Lden___surface[[#This Row],[Part de la surface du qs dans le noise contour]]</f>
        <v>76.750737703806436</v>
      </c>
    </row>
    <row r="1002" spans="1:39" x14ac:dyDescent="0.3">
      <c r="A1002">
        <v>1032</v>
      </c>
      <c r="B1002" t="s">
        <v>1438</v>
      </c>
      <c r="C1002" t="s">
        <v>1439</v>
      </c>
      <c r="D1002" t="s">
        <v>1440</v>
      </c>
      <c r="E1002" t="s">
        <v>1440</v>
      </c>
      <c r="F1002" t="s">
        <v>1437</v>
      </c>
      <c r="G1002" t="s">
        <v>1363</v>
      </c>
      <c r="H1002" t="s">
        <v>1364</v>
      </c>
      <c r="I1002" t="s">
        <v>1365</v>
      </c>
      <c r="J1002" t="s">
        <v>36</v>
      </c>
      <c r="K1002">
        <v>21019</v>
      </c>
      <c r="L1002" t="s">
        <v>1366</v>
      </c>
      <c r="M1002" t="s">
        <v>1367</v>
      </c>
      <c r="N1002" t="s">
        <v>1367</v>
      </c>
      <c r="O1002">
        <v>21000</v>
      </c>
      <c r="P1002" t="s">
        <v>46</v>
      </c>
      <c r="Q1002" t="s">
        <v>47</v>
      </c>
      <c r="R1002" t="s">
        <v>48</v>
      </c>
      <c r="T1002" t="s">
        <v>36</v>
      </c>
      <c r="U1002" t="s">
        <v>36</v>
      </c>
      <c r="V1002" t="s">
        <v>36</v>
      </c>
      <c r="W1002">
        <v>4000</v>
      </c>
      <c r="X1002" t="s">
        <v>49</v>
      </c>
      <c r="Y1002" t="s">
        <v>50</v>
      </c>
      <c r="Z1002" t="s">
        <v>51</v>
      </c>
      <c r="AA1002" t="s">
        <v>37</v>
      </c>
      <c r="AB1002" t="s">
        <v>52</v>
      </c>
      <c r="AC1002" t="s">
        <v>53</v>
      </c>
      <c r="AD1002" t="s">
        <v>54</v>
      </c>
      <c r="AE1002">
        <v>29.204922655499999</v>
      </c>
      <c r="AF1002">
        <v>2243</v>
      </c>
      <c r="AG1002">
        <v>2243.2727350700002</v>
      </c>
      <c r="AH1002">
        <v>292053.93267399998</v>
      </c>
      <c r="AI1002">
        <v>51</v>
      </c>
      <c r="AJ1002">
        <v>3433.6747916836798</v>
      </c>
      <c r="AK1002" s="1">
        <f>intersection_ss_Lden___surface[[#This Row],[surf m2 bout ss]]/intersection_ss_Lden___surface[[#This Row],[Shape_Area]]</f>
        <v>1.1756988718643479E-2</v>
      </c>
      <c r="AL1002">
        <v>1053</v>
      </c>
      <c r="AM1002">
        <f>intersection_ss_Lden___surface[[#This Row],[Population totale 2024 ss]]*intersection_ss_Lden___surface[[#This Row],[Part de la surface du qs dans le noise contour]]</f>
        <v>12.380109120731584</v>
      </c>
    </row>
    <row r="1003" spans="1:39" x14ac:dyDescent="0.3">
      <c r="A1003">
        <v>1033</v>
      </c>
      <c r="B1003" t="s">
        <v>1438</v>
      </c>
      <c r="C1003" t="s">
        <v>1439</v>
      </c>
      <c r="D1003" t="s">
        <v>1440</v>
      </c>
      <c r="E1003" t="s">
        <v>1440</v>
      </c>
      <c r="F1003" t="s">
        <v>1437</v>
      </c>
      <c r="G1003" t="s">
        <v>1363</v>
      </c>
      <c r="H1003" t="s">
        <v>1364</v>
      </c>
      <c r="I1003" t="s">
        <v>1365</v>
      </c>
      <c r="J1003" t="s">
        <v>36</v>
      </c>
      <c r="K1003">
        <v>21019</v>
      </c>
      <c r="L1003" t="s">
        <v>1366</v>
      </c>
      <c r="M1003" t="s">
        <v>1367</v>
      </c>
      <c r="N1003" t="s">
        <v>1367</v>
      </c>
      <c r="O1003">
        <v>21000</v>
      </c>
      <c r="P1003" t="s">
        <v>46</v>
      </c>
      <c r="Q1003" t="s">
        <v>47</v>
      </c>
      <c r="R1003" t="s">
        <v>48</v>
      </c>
      <c r="T1003" t="s">
        <v>36</v>
      </c>
      <c r="U1003" t="s">
        <v>36</v>
      </c>
      <c r="V1003" t="s">
        <v>36</v>
      </c>
      <c r="W1003">
        <v>4000</v>
      </c>
      <c r="X1003" t="s">
        <v>49</v>
      </c>
      <c r="Y1003" t="s">
        <v>50</v>
      </c>
      <c r="Z1003" t="s">
        <v>51</v>
      </c>
      <c r="AA1003" t="s">
        <v>37</v>
      </c>
      <c r="AB1003" t="s">
        <v>52</v>
      </c>
      <c r="AC1003" t="s">
        <v>53</v>
      </c>
      <c r="AD1003" t="s">
        <v>54</v>
      </c>
      <c r="AE1003">
        <v>29.204922655499999</v>
      </c>
      <c r="AF1003">
        <v>2243</v>
      </c>
      <c r="AG1003">
        <v>2243.2727350700002</v>
      </c>
      <c r="AH1003">
        <v>292053.93267399998</v>
      </c>
      <c r="AI1003">
        <v>52</v>
      </c>
      <c r="AJ1003">
        <v>44332.161841868401</v>
      </c>
      <c r="AK1003" s="1">
        <f>intersection_ss_Lden___surface[[#This Row],[surf m2 bout ss]]/intersection_ss_Lden___surface[[#This Row],[Shape_Area]]</f>
        <v>0.15179443548652155</v>
      </c>
      <c r="AL1003">
        <v>1053</v>
      </c>
      <c r="AM1003">
        <f>intersection_ss_Lden___surface[[#This Row],[Population totale 2024 ss]]*intersection_ss_Lden___surface[[#This Row],[Part de la surface du qs dans le noise contour]]</f>
        <v>159.83954056730718</v>
      </c>
    </row>
    <row r="1004" spans="1:39" x14ac:dyDescent="0.3">
      <c r="A1004">
        <v>1034</v>
      </c>
      <c r="B1004" t="s">
        <v>1438</v>
      </c>
      <c r="C1004" t="s">
        <v>1439</v>
      </c>
      <c r="D1004" t="s">
        <v>1440</v>
      </c>
      <c r="E1004" t="s">
        <v>1440</v>
      </c>
      <c r="F1004" t="s">
        <v>1437</v>
      </c>
      <c r="G1004" t="s">
        <v>1363</v>
      </c>
      <c r="H1004" t="s">
        <v>1364</v>
      </c>
      <c r="I1004" t="s">
        <v>1365</v>
      </c>
      <c r="J1004" t="s">
        <v>36</v>
      </c>
      <c r="K1004">
        <v>21019</v>
      </c>
      <c r="L1004" t="s">
        <v>1366</v>
      </c>
      <c r="M1004" t="s">
        <v>1367</v>
      </c>
      <c r="N1004" t="s">
        <v>1367</v>
      </c>
      <c r="O1004">
        <v>21000</v>
      </c>
      <c r="P1004" t="s">
        <v>46</v>
      </c>
      <c r="Q1004" t="s">
        <v>47</v>
      </c>
      <c r="R1004" t="s">
        <v>48</v>
      </c>
      <c r="T1004" t="s">
        <v>36</v>
      </c>
      <c r="U1004" t="s">
        <v>36</v>
      </c>
      <c r="V1004" t="s">
        <v>36</v>
      </c>
      <c r="W1004">
        <v>4000</v>
      </c>
      <c r="X1004" t="s">
        <v>49</v>
      </c>
      <c r="Y1004" t="s">
        <v>50</v>
      </c>
      <c r="Z1004" t="s">
        <v>51</v>
      </c>
      <c r="AA1004" t="s">
        <v>37</v>
      </c>
      <c r="AB1004" t="s">
        <v>52</v>
      </c>
      <c r="AC1004" t="s">
        <v>53</v>
      </c>
      <c r="AD1004" t="s">
        <v>54</v>
      </c>
      <c r="AE1004">
        <v>29.204922655499999</v>
      </c>
      <c r="AF1004">
        <v>2243</v>
      </c>
      <c r="AG1004">
        <v>2243.2727350700002</v>
      </c>
      <c r="AH1004">
        <v>292053.93267399998</v>
      </c>
      <c r="AI1004">
        <v>53</v>
      </c>
      <c r="AJ1004">
        <v>67081.1190869766</v>
      </c>
      <c r="AK1004" s="1">
        <f>intersection_ss_Lden___surface[[#This Row],[surf m2 bout ss]]/intersection_ss_Lden___surface[[#This Row],[Shape_Area]]</f>
        <v>0.22968743640187414</v>
      </c>
      <c r="AL1004">
        <v>1053</v>
      </c>
      <c r="AM1004">
        <f>intersection_ss_Lden___surface[[#This Row],[Population totale 2024 ss]]*intersection_ss_Lden___surface[[#This Row],[Part de la surface du qs dans le noise contour]]</f>
        <v>241.86087053117348</v>
      </c>
    </row>
    <row r="1005" spans="1:39" x14ac:dyDescent="0.3">
      <c r="A1005">
        <v>1035</v>
      </c>
      <c r="B1005" t="s">
        <v>1438</v>
      </c>
      <c r="C1005" t="s">
        <v>1439</v>
      </c>
      <c r="D1005" t="s">
        <v>1440</v>
      </c>
      <c r="E1005" t="s">
        <v>1440</v>
      </c>
      <c r="F1005" t="s">
        <v>1437</v>
      </c>
      <c r="G1005" t="s">
        <v>1363</v>
      </c>
      <c r="H1005" t="s">
        <v>1364</v>
      </c>
      <c r="I1005" t="s">
        <v>1365</v>
      </c>
      <c r="J1005" t="s">
        <v>36</v>
      </c>
      <c r="K1005">
        <v>21019</v>
      </c>
      <c r="L1005" t="s">
        <v>1366</v>
      </c>
      <c r="M1005" t="s">
        <v>1367</v>
      </c>
      <c r="N1005" t="s">
        <v>1367</v>
      </c>
      <c r="O1005">
        <v>21000</v>
      </c>
      <c r="P1005" t="s">
        <v>46</v>
      </c>
      <c r="Q1005" t="s">
        <v>47</v>
      </c>
      <c r="R1005" t="s">
        <v>48</v>
      </c>
      <c r="T1005" t="s">
        <v>36</v>
      </c>
      <c r="U1005" t="s">
        <v>36</v>
      </c>
      <c r="V1005" t="s">
        <v>36</v>
      </c>
      <c r="W1005">
        <v>4000</v>
      </c>
      <c r="X1005" t="s">
        <v>49</v>
      </c>
      <c r="Y1005" t="s">
        <v>50</v>
      </c>
      <c r="Z1005" t="s">
        <v>51</v>
      </c>
      <c r="AA1005" t="s">
        <v>37</v>
      </c>
      <c r="AB1005" t="s">
        <v>52</v>
      </c>
      <c r="AC1005" t="s">
        <v>53</v>
      </c>
      <c r="AD1005" t="s">
        <v>54</v>
      </c>
      <c r="AE1005">
        <v>29.204922655499999</v>
      </c>
      <c r="AF1005">
        <v>2243</v>
      </c>
      <c r="AG1005">
        <v>2243.2727350700002</v>
      </c>
      <c r="AH1005">
        <v>292053.93267399998</v>
      </c>
      <c r="AI1005">
        <v>54</v>
      </c>
      <c r="AJ1005">
        <v>170679.74233633501</v>
      </c>
      <c r="AK1005" s="1">
        <f>intersection_ss_Lden___surface[[#This Row],[surf m2 bout ss]]/intersection_ss_Lden___surface[[#This Row],[Shape_Area]]</f>
        <v>0.58441172414155862</v>
      </c>
      <c r="AL1005">
        <v>1053</v>
      </c>
      <c r="AM1005">
        <f>intersection_ss_Lden___surface[[#This Row],[Population totale 2024 ss]]*intersection_ss_Lden___surface[[#This Row],[Part de la surface du qs dans le noise contour]]</f>
        <v>615.3855455210612</v>
      </c>
    </row>
    <row r="1006" spans="1:39" x14ac:dyDescent="0.3">
      <c r="A1006">
        <v>1036</v>
      </c>
      <c r="B1006" t="s">
        <v>1438</v>
      </c>
      <c r="C1006" t="s">
        <v>1439</v>
      </c>
      <c r="D1006" t="s">
        <v>1440</v>
      </c>
      <c r="E1006" t="s">
        <v>1440</v>
      </c>
      <c r="F1006" t="s">
        <v>1437</v>
      </c>
      <c r="G1006" t="s">
        <v>1363</v>
      </c>
      <c r="H1006" t="s">
        <v>1364</v>
      </c>
      <c r="I1006" t="s">
        <v>1365</v>
      </c>
      <c r="J1006" t="s">
        <v>36</v>
      </c>
      <c r="K1006">
        <v>21019</v>
      </c>
      <c r="L1006" t="s">
        <v>1366</v>
      </c>
      <c r="M1006" t="s">
        <v>1367</v>
      </c>
      <c r="N1006" t="s">
        <v>1367</v>
      </c>
      <c r="O1006">
        <v>21000</v>
      </c>
      <c r="P1006" t="s">
        <v>46</v>
      </c>
      <c r="Q1006" t="s">
        <v>47</v>
      </c>
      <c r="R1006" t="s">
        <v>48</v>
      </c>
      <c r="T1006" t="s">
        <v>36</v>
      </c>
      <c r="U1006" t="s">
        <v>36</v>
      </c>
      <c r="V1006" t="s">
        <v>36</v>
      </c>
      <c r="W1006">
        <v>4000</v>
      </c>
      <c r="X1006" t="s">
        <v>49</v>
      </c>
      <c r="Y1006" t="s">
        <v>50</v>
      </c>
      <c r="Z1006" t="s">
        <v>51</v>
      </c>
      <c r="AA1006" t="s">
        <v>37</v>
      </c>
      <c r="AB1006" t="s">
        <v>52</v>
      </c>
      <c r="AC1006" t="s">
        <v>53</v>
      </c>
      <c r="AD1006" t="s">
        <v>54</v>
      </c>
      <c r="AE1006">
        <v>29.204922655499999</v>
      </c>
      <c r="AF1006">
        <v>2243</v>
      </c>
      <c r="AG1006">
        <v>2243.2727350700002</v>
      </c>
      <c r="AH1006">
        <v>292053.93267399998</v>
      </c>
      <c r="AI1006">
        <v>55</v>
      </c>
      <c r="AJ1006">
        <v>6557.3562819520002</v>
      </c>
      <c r="AK1006" s="1">
        <f>intersection_ss_Lden___surface[[#This Row],[surf m2 bout ss]]/intersection_ss_Lden___surface[[#This Row],[Shape_Area]]</f>
        <v>2.2452552588194501E-2</v>
      </c>
      <c r="AL1006">
        <v>1053</v>
      </c>
      <c r="AM1006">
        <f>intersection_ss_Lden___surface[[#This Row],[Population totale 2024 ss]]*intersection_ss_Lden___surface[[#This Row],[Part de la surface du qs dans le noise contour]]</f>
        <v>23.642537875368809</v>
      </c>
    </row>
    <row r="1007" spans="1:39" x14ac:dyDescent="0.3">
      <c r="A1007">
        <v>1037</v>
      </c>
      <c r="B1007" t="s">
        <v>1441</v>
      </c>
      <c r="C1007" t="s">
        <v>1442</v>
      </c>
      <c r="D1007" t="s">
        <v>1443</v>
      </c>
      <c r="E1007" t="s">
        <v>1443</v>
      </c>
      <c r="F1007" t="s">
        <v>1437</v>
      </c>
      <c r="G1007" t="s">
        <v>1363</v>
      </c>
      <c r="H1007" t="s">
        <v>1364</v>
      </c>
      <c r="I1007" t="s">
        <v>1365</v>
      </c>
      <c r="J1007" t="s">
        <v>36</v>
      </c>
      <c r="K1007">
        <v>21019</v>
      </c>
      <c r="L1007" t="s">
        <v>1366</v>
      </c>
      <c r="M1007" t="s">
        <v>1367</v>
      </c>
      <c r="N1007" t="s">
        <v>1367</v>
      </c>
      <c r="O1007">
        <v>21000</v>
      </c>
      <c r="P1007" t="s">
        <v>46</v>
      </c>
      <c r="Q1007" t="s">
        <v>47</v>
      </c>
      <c r="R1007" t="s">
        <v>48</v>
      </c>
      <c r="T1007" t="s">
        <v>36</v>
      </c>
      <c r="U1007" t="s">
        <v>36</v>
      </c>
      <c r="V1007" t="s">
        <v>36</v>
      </c>
      <c r="W1007">
        <v>4000</v>
      </c>
      <c r="X1007" t="s">
        <v>49</v>
      </c>
      <c r="Y1007" t="s">
        <v>50</v>
      </c>
      <c r="Z1007" t="s">
        <v>51</v>
      </c>
      <c r="AA1007" t="s">
        <v>37</v>
      </c>
      <c r="AB1007" t="s">
        <v>52</v>
      </c>
      <c r="AC1007" t="s">
        <v>53</v>
      </c>
      <c r="AD1007" t="s">
        <v>54</v>
      </c>
      <c r="AE1007">
        <v>28.232135417399999</v>
      </c>
      <c r="AF1007">
        <v>2085</v>
      </c>
      <c r="AG1007">
        <v>2084.85553058</v>
      </c>
      <c r="AH1007">
        <v>282325.91513799998</v>
      </c>
      <c r="AI1007">
        <v>50</v>
      </c>
      <c r="AJ1007">
        <v>18797.120685700302</v>
      </c>
      <c r="AK1007" s="1">
        <f>intersection_ss_Lden___surface[[#This Row],[surf m2 bout ss]]/intersection_ss_Lden___surface[[#This Row],[Shape_Area]]</f>
        <v>6.6579508567296525E-2</v>
      </c>
      <c r="AL1007">
        <v>1285</v>
      </c>
      <c r="AM1007">
        <f>intersection_ss_Lden___surface[[#This Row],[Population totale 2024 ss]]*intersection_ss_Lden___surface[[#This Row],[Part de la surface du qs dans le noise contour]]</f>
        <v>85.554668508976036</v>
      </c>
    </row>
    <row r="1008" spans="1:39" x14ac:dyDescent="0.3">
      <c r="A1008">
        <v>1038</v>
      </c>
      <c r="B1008" t="s">
        <v>1441</v>
      </c>
      <c r="C1008" t="s">
        <v>1442</v>
      </c>
      <c r="D1008" t="s">
        <v>1443</v>
      </c>
      <c r="E1008" t="s">
        <v>1443</v>
      </c>
      <c r="F1008" t="s">
        <v>1437</v>
      </c>
      <c r="G1008" t="s">
        <v>1363</v>
      </c>
      <c r="H1008" t="s">
        <v>1364</v>
      </c>
      <c r="I1008" t="s">
        <v>1365</v>
      </c>
      <c r="J1008" t="s">
        <v>36</v>
      </c>
      <c r="K1008">
        <v>21019</v>
      </c>
      <c r="L1008" t="s">
        <v>1366</v>
      </c>
      <c r="M1008" t="s">
        <v>1367</v>
      </c>
      <c r="N1008" t="s">
        <v>1367</v>
      </c>
      <c r="O1008">
        <v>21000</v>
      </c>
      <c r="P1008" t="s">
        <v>46</v>
      </c>
      <c r="Q1008" t="s">
        <v>47</v>
      </c>
      <c r="R1008" t="s">
        <v>48</v>
      </c>
      <c r="T1008" t="s">
        <v>36</v>
      </c>
      <c r="U1008" t="s">
        <v>36</v>
      </c>
      <c r="V1008" t="s">
        <v>36</v>
      </c>
      <c r="W1008">
        <v>4000</v>
      </c>
      <c r="X1008" t="s">
        <v>49</v>
      </c>
      <c r="Y1008" t="s">
        <v>50</v>
      </c>
      <c r="Z1008" t="s">
        <v>51</v>
      </c>
      <c r="AA1008" t="s">
        <v>37</v>
      </c>
      <c r="AB1008" t="s">
        <v>52</v>
      </c>
      <c r="AC1008" t="s">
        <v>53</v>
      </c>
      <c r="AD1008" t="s">
        <v>54</v>
      </c>
      <c r="AE1008">
        <v>28.232135417399999</v>
      </c>
      <c r="AF1008">
        <v>2085</v>
      </c>
      <c r="AG1008">
        <v>2084.85553058</v>
      </c>
      <c r="AH1008">
        <v>282325.91513799998</v>
      </c>
      <c r="AI1008">
        <v>51</v>
      </c>
      <c r="AJ1008">
        <v>160853.71030276801</v>
      </c>
      <c r="AK1008" s="1">
        <f>intersection_ss_Lden___surface[[#This Row],[surf m2 bout ss]]/intersection_ss_Lden___surface[[#This Row],[Shape_Area]]</f>
        <v>0.56974475837311378</v>
      </c>
      <c r="AL1008">
        <v>1285</v>
      </c>
      <c r="AM1008">
        <f>intersection_ss_Lden___surface[[#This Row],[Population totale 2024 ss]]*intersection_ss_Lden___surface[[#This Row],[Part de la surface du qs dans le noise contour]]</f>
        <v>732.12201450945122</v>
      </c>
    </row>
    <row r="1009" spans="1:39" x14ac:dyDescent="0.3">
      <c r="A1009">
        <v>1039</v>
      </c>
      <c r="B1009" t="s">
        <v>1441</v>
      </c>
      <c r="C1009" t="s">
        <v>1442</v>
      </c>
      <c r="D1009" t="s">
        <v>1443</v>
      </c>
      <c r="E1009" t="s">
        <v>1443</v>
      </c>
      <c r="F1009" t="s">
        <v>1437</v>
      </c>
      <c r="G1009" t="s">
        <v>1363</v>
      </c>
      <c r="H1009" t="s">
        <v>1364</v>
      </c>
      <c r="I1009" t="s">
        <v>1365</v>
      </c>
      <c r="J1009" t="s">
        <v>36</v>
      </c>
      <c r="K1009">
        <v>21019</v>
      </c>
      <c r="L1009" t="s">
        <v>1366</v>
      </c>
      <c r="M1009" t="s">
        <v>1367</v>
      </c>
      <c r="N1009" t="s">
        <v>1367</v>
      </c>
      <c r="O1009">
        <v>21000</v>
      </c>
      <c r="P1009" t="s">
        <v>46</v>
      </c>
      <c r="Q1009" t="s">
        <v>47</v>
      </c>
      <c r="R1009" t="s">
        <v>48</v>
      </c>
      <c r="T1009" t="s">
        <v>36</v>
      </c>
      <c r="U1009" t="s">
        <v>36</v>
      </c>
      <c r="V1009" t="s">
        <v>36</v>
      </c>
      <c r="W1009">
        <v>4000</v>
      </c>
      <c r="X1009" t="s">
        <v>49</v>
      </c>
      <c r="Y1009" t="s">
        <v>50</v>
      </c>
      <c r="Z1009" t="s">
        <v>51</v>
      </c>
      <c r="AA1009" t="s">
        <v>37</v>
      </c>
      <c r="AB1009" t="s">
        <v>52</v>
      </c>
      <c r="AC1009" t="s">
        <v>53</v>
      </c>
      <c r="AD1009" t="s">
        <v>54</v>
      </c>
      <c r="AE1009">
        <v>28.232135417399999</v>
      </c>
      <c r="AF1009">
        <v>2085</v>
      </c>
      <c r="AG1009">
        <v>2084.85553058</v>
      </c>
      <c r="AH1009">
        <v>282325.91513799998</v>
      </c>
      <c r="AI1009">
        <v>52</v>
      </c>
      <c r="AJ1009">
        <v>97555.938638225605</v>
      </c>
      <c r="AK1009" s="1">
        <f>intersection_ss_Lden___surface[[#This Row],[surf m2 bout ss]]/intersection_ss_Lden___surface[[#This Row],[Shape_Area]]</f>
        <v>0.34554369049168082</v>
      </c>
      <c r="AL1009">
        <v>1285</v>
      </c>
      <c r="AM1009">
        <f>intersection_ss_Lden___surface[[#This Row],[Population totale 2024 ss]]*intersection_ss_Lden___surface[[#This Row],[Part de la surface du qs dans le noise contour]]</f>
        <v>444.02364228180983</v>
      </c>
    </row>
    <row r="1010" spans="1:39" x14ac:dyDescent="0.3">
      <c r="A1010">
        <v>1040</v>
      </c>
      <c r="B1010" t="s">
        <v>1441</v>
      </c>
      <c r="C1010" t="s">
        <v>1442</v>
      </c>
      <c r="D1010" t="s">
        <v>1443</v>
      </c>
      <c r="E1010" t="s">
        <v>1443</v>
      </c>
      <c r="F1010" t="s">
        <v>1437</v>
      </c>
      <c r="G1010" t="s">
        <v>1363</v>
      </c>
      <c r="H1010" t="s">
        <v>1364</v>
      </c>
      <c r="I1010" t="s">
        <v>1365</v>
      </c>
      <c r="J1010" t="s">
        <v>36</v>
      </c>
      <c r="K1010">
        <v>21019</v>
      </c>
      <c r="L1010" t="s">
        <v>1366</v>
      </c>
      <c r="M1010" t="s">
        <v>1367</v>
      </c>
      <c r="N1010" t="s">
        <v>1367</v>
      </c>
      <c r="O1010">
        <v>21000</v>
      </c>
      <c r="P1010" t="s">
        <v>46</v>
      </c>
      <c r="Q1010" t="s">
        <v>47</v>
      </c>
      <c r="R1010" t="s">
        <v>48</v>
      </c>
      <c r="T1010" t="s">
        <v>36</v>
      </c>
      <c r="U1010" t="s">
        <v>36</v>
      </c>
      <c r="V1010" t="s">
        <v>36</v>
      </c>
      <c r="W1010">
        <v>4000</v>
      </c>
      <c r="X1010" t="s">
        <v>49</v>
      </c>
      <c r="Y1010" t="s">
        <v>50</v>
      </c>
      <c r="Z1010" t="s">
        <v>51</v>
      </c>
      <c r="AA1010" t="s">
        <v>37</v>
      </c>
      <c r="AB1010" t="s">
        <v>52</v>
      </c>
      <c r="AC1010" t="s">
        <v>53</v>
      </c>
      <c r="AD1010" t="s">
        <v>54</v>
      </c>
      <c r="AE1010">
        <v>28.232135417399999</v>
      </c>
      <c r="AF1010">
        <v>2085</v>
      </c>
      <c r="AG1010">
        <v>2084.85553058</v>
      </c>
      <c r="AH1010">
        <v>282325.91513799998</v>
      </c>
      <c r="AI1010">
        <v>53</v>
      </c>
      <c r="AJ1010">
        <v>5147.8962310904499</v>
      </c>
      <c r="AK1010" s="1">
        <f>intersection_ss_Lden___surface[[#This Row],[surf m2 bout ss]]/intersection_ss_Lden___surface[[#This Row],[Shape_Area]]</f>
        <v>1.8233877781195451E-2</v>
      </c>
      <c r="AL1010">
        <v>1285</v>
      </c>
      <c r="AM1010">
        <f>intersection_ss_Lden___surface[[#This Row],[Population totale 2024 ss]]*intersection_ss_Lden___surface[[#This Row],[Part de la surface du qs dans le noise contour]]</f>
        <v>23.430532948836156</v>
      </c>
    </row>
    <row r="1011" spans="1:39" x14ac:dyDescent="0.3">
      <c r="A1011">
        <v>1041</v>
      </c>
      <c r="B1011" t="s">
        <v>1444</v>
      </c>
      <c r="C1011" t="s">
        <v>1445</v>
      </c>
      <c r="D1011" t="s">
        <v>1446</v>
      </c>
      <c r="E1011" t="s">
        <v>1446</v>
      </c>
      <c r="F1011" t="s">
        <v>1437</v>
      </c>
      <c r="G1011" t="s">
        <v>1363</v>
      </c>
      <c r="H1011" t="s">
        <v>1364</v>
      </c>
      <c r="I1011" t="s">
        <v>1365</v>
      </c>
      <c r="J1011" t="s">
        <v>36</v>
      </c>
      <c r="K1011">
        <v>21019</v>
      </c>
      <c r="L1011" t="s">
        <v>1366</v>
      </c>
      <c r="M1011" t="s">
        <v>1367</v>
      </c>
      <c r="N1011" t="s">
        <v>1367</v>
      </c>
      <c r="O1011">
        <v>21000</v>
      </c>
      <c r="P1011" t="s">
        <v>46</v>
      </c>
      <c r="Q1011" t="s">
        <v>47</v>
      </c>
      <c r="R1011" t="s">
        <v>48</v>
      </c>
      <c r="T1011" t="s">
        <v>36</v>
      </c>
      <c r="U1011" t="s">
        <v>36</v>
      </c>
      <c r="V1011" t="s">
        <v>36</v>
      </c>
      <c r="W1011">
        <v>4000</v>
      </c>
      <c r="X1011" t="s">
        <v>49</v>
      </c>
      <c r="Y1011" t="s">
        <v>50</v>
      </c>
      <c r="Z1011" t="s">
        <v>51</v>
      </c>
      <c r="AA1011" t="s">
        <v>37</v>
      </c>
      <c r="AB1011" t="s">
        <v>52</v>
      </c>
      <c r="AC1011" t="s">
        <v>53</v>
      </c>
      <c r="AD1011" t="s">
        <v>54</v>
      </c>
      <c r="AE1011">
        <v>39.066715047599999</v>
      </c>
      <c r="AF1011">
        <v>3352</v>
      </c>
      <c r="AG1011">
        <v>3352.01663134</v>
      </c>
      <c r="AH1011">
        <v>390673.43801599997</v>
      </c>
      <c r="AI1011">
        <v>52</v>
      </c>
      <c r="AJ1011">
        <v>8379.8585247825795</v>
      </c>
      <c r="AK1011" s="1">
        <f>intersection_ss_Lden___surface[[#This Row],[surf m2 bout ss]]/intersection_ss_Lden___surface[[#This Row],[Shape_Area]]</f>
        <v>2.14497780226343E-2</v>
      </c>
      <c r="AL1011">
        <v>554</v>
      </c>
      <c r="AM1011">
        <f>intersection_ss_Lden___surface[[#This Row],[Population totale 2024 ss]]*intersection_ss_Lden___surface[[#This Row],[Part de la surface du qs dans le noise contour]]</f>
        <v>11.883177024539402</v>
      </c>
    </row>
    <row r="1012" spans="1:39" x14ac:dyDescent="0.3">
      <c r="A1012">
        <v>1042</v>
      </c>
      <c r="B1012" t="s">
        <v>1444</v>
      </c>
      <c r="C1012" t="s">
        <v>1445</v>
      </c>
      <c r="D1012" t="s">
        <v>1446</v>
      </c>
      <c r="E1012" t="s">
        <v>1446</v>
      </c>
      <c r="F1012" t="s">
        <v>1437</v>
      </c>
      <c r="G1012" t="s">
        <v>1363</v>
      </c>
      <c r="H1012" t="s">
        <v>1364</v>
      </c>
      <c r="I1012" t="s">
        <v>1365</v>
      </c>
      <c r="J1012" t="s">
        <v>36</v>
      </c>
      <c r="K1012">
        <v>21019</v>
      </c>
      <c r="L1012" t="s">
        <v>1366</v>
      </c>
      <c r="M1012" t="s">
        <v>1367</v>
      </c>
      <c r="N1012" t="s">
        <v>1367</v>
      </c>
      <c r="O1012">
        <v>21000</v>
      </c>
      <c r="P1012" t="s">
        <v>46</v>
      </c>
      <c r="Q1012" t="s">
        <v>47</v>
      </c>
      <c r="R1012" t="s">
        <v>48</v>
      </c>
      <c r="T1012" t="s">
        <v>36</v>
      </c>
      <c r="U1012" t="s">
        <v>36</v>
      </c>
      <c r="V1012" t="s">
        <v>36</v>
      </c>
      <c r="W1012">
        <v>4000</v>
      </c>
      <c r="X1012" t="s">
        <v>49</v>
      </c>
      <c r="Y1012" t="s">
        <v>50</v>
      </c>
      <c r="Z1012" t="s">
        <v>51</v>
      </c>
      <c r="AA1012" t="s">
        <v>37</v>
      </c>
      <c r="AB1012" t="s">
        <v>52</v>
      </c>
      <c r="AC1012" t="s">
        <v>53</v>
      </c>
      <c r="AD1012" t="s">
        <v>54</v>
      </c>
      <c r="AE1012">
        <v>39.066715047599999</v>
      </c>
      <c r="AF1012">
        <v>3352</v>
      </c>
      <c r="AG1012">
        <v>3352.01663134</v>
      </c>
      <c r="AH1012">
        <v>390673.43801599997</v>
      </c>
      <c r="AI1012">
        <v>53</v>
      </c>
      <c r="AJ1012">
        <v>50835.085105208702</v>
      </c>
      <c r="AK1012" s="1">
        <f>intersection_ss_Lden___surface[[#This Row],[surf m2 bout ss]]/intersection_ss_Lden___surface[[#This Row],[Shape_Area]]</f>
        <v>0.13012168260880524</v>
      </c>
      <c r="AL1012">
        <v>554</v>
      </c>
      <c r="AM1012">
        <f>intersection_ss_Lden___surface[[#This Row],[Population totale 2024 ss]]*intersection_ss_Lden___surface[[#This Row],[Part de la surface du qs dans le noise contour]]</f>
        <v>72.08741216527811</v>
      </c>
    </row>
    <row r="1013" spans="1:39" x14ac:dyDescent="0.3">
      <c r="A1013">
        <v>1043</v>
      </c>
      <c r="B1013" t="s">
        <v>1444</v>
      </c>
      <c r="C1013" t="s">
        <v>1445</v>
      </c>
      <c r="D1013" t="s">
        <v>1446</v>
      </c>
      <c r="E1013" t="s">
        <v>1446</v>
      </c>
      <c r="F1013" t="s">
        <v>1437</v>
      </c>
      <c r="G1013" t="s">
        <v>1363</v>
      </c>
      <c r="H1013" t="s">
        <v>1364</v>
      </c>
      <c r="I1013" t="s">
        <v>1365</v>
      </c>
      <c r="J1013" t="s">
        <v>36</v>
      </c>
      <c r="K1013">
        <v>21019</v>
      </c>
      <c r="L1013" t="s">
        <v>1366</v>
      </c>
      <c r="M1013" t="s">
        <v>1367</v>
      </c>
      <c r="N1013" t="s">
        <v>1367</v>
      </c>
      <c r="O1013">
        <v>21000</v>
      </c>
      <c r="P1013" t="s">
        <v>46</v>
      </c>
      <c r="Q1013" t="s">
        <v>47</v>
      </c>
      <c r="R1013" t="s">
        <v>48</v>
      </c>
      <c r="T1013" t="s">
        <v>36</v>
      </c>
      <c r="U1013" t="s">
        <v>36</v>
      </c>
      <c r="V1013" t="s">
        <v>36</v>
      </c>
      <c r="W1013">
        <v>4000</v>
      </c>
      <c r="X1013" t="s">
        <v>49</v>
      </c>
      <c r="Y1013" t="s">
        <v>50</v>
      </c>
      <c r="Z1013" t="s">
        <v>51</v>
      </c>
      <c r="AA1013" t="s">
        <v>37</v>
      </c>
      <c r="AB1013" t="s">
        <v>52</v>
      </c>
      <c r="AC1013" t="s">
        <v>53</v>
      </c>
      <c r="AD1013" t="s">
        <v>54</v>
      </c>
      <c r="AE1013">
        <v>39.066715047599999</v>
      </c>
      <c r="AF1013">
        <v>3352</v>
      </c>
      <c r="AG1013">
        <v>3352.01663134</v>
      </c>
      <c r="AH1013">
        <v>390673.43801599997</v>
      </c>
      <c r="AI1013">
        <v>54</v>
      </c>
      <c r="AJ1013">
        <v>138154.00495876899</v>
      </c>
      <c r="AK1013" s="1">
        <f>intersection_ss_Lden___surface[[#This Row],[surf m2 bout ss]]/intersection_ss_Lden___surface[[#This Row],[Shape_Area]]</f>
        <v>0.35363040205746188</v>
      </c>
      <c r="AL1013">
        <v>554</v>
      </c>
      <c r="AM1013">
        <f>intersection_ss_Lden___surface[[#This Row],[Population totale 2024 ss]]*intersection_ss_Lden___surface[[#This Row],[Part de la surface du qs dans le noise contour]]</f>
        <v>195.91124273983388</v>
      </c>
    </row>
    <row r="1014" spans="1:39" x14ac:dyDescent="0.3">
      <c r="A1014">
        <v>1044</v>
      </c>
      <c r="B1014" t="s">
        <v>1444</v>
      </c>
      <c r="C1014" t="s">
        <v>1445</v>
      </c>
      <c r="D1014" t="s">
        <v>1446</v>
      </c>
      <c r="E1014" t="s">
        <v>1446</v>
      </c>
      <c r="F1014" t="s">
        <v>1437</v>
      </c>
      <c r="G1014" t="s">
        <v>1363</v>
      </c>
      <c r="H1014" t="s">
        <v>1364</v>
      </c>
      <c r="I1014" t="s">
        <v>1365</v>
      </c>
      <c r="J1014" t="s">
        <v>36</v>
      </c>
      <c r="K1014">
        <v>21019</v>
      </c>
      <c r="L1014" t="s">
        <v>1366</v>
      </c>
      <c r="M1014" t="s">
        <v>1367</v>
      </c>
      <c r="N1014" t="s">
        <v>1367</v>
      </c>
      <c r="O1014">
        <v>21000</v>
      </c>
      <c r="P1014" t="s">
        <v>46</v>
      </c>
      <c r="Q1014" t="s">
        <v>47</v>
      </c>
      <c r="R1014" t="s">
        <v>48</v>
      </c>
      <c r="T1014" t="s">
        <v>36</v>
      </c>
      <c r="U1014" t="s">
        <v>36</v>
      </c>
      <c r="V1014" t="s">
        <v>36</v>
      </c>
      <c r="W1014">
        <v>4000</v>
      </c>
      <c r="X1014" t="s">
        <v>49</v>
      </c>
      <c r="Y1014" t="s">
        <v>50</v>
      </c>
      <c r="Z1014" t="s">
        <v>51</v>
      </c>
      <c r="AA1014" t="s">
        <v>37</v>
      </c>
      <c r="AB1014" t="s">
        <v>52</v>
      </c>
      <c r="AC1014" t="s">
        <v>53</v>
      </c>
      <c r="AD1014" t="s">
        <v>54</v>
      </c>
      <c r="AE1014">
        <v>39.066715047599999</v>
      </c>
      <c r="AF1014">
        <v>3352</v>
      </c>
      <c r="AG1014">
        <v>3352.01663134</v>
      </c>
      <c r="AH1014">
        <v>390673.43801599997</v>
      </c>
      <c r="AI1014">
        <v>55</v>
      </c>
      <c r="AJ1014">
        <v>193344.48156781399</v>
      </c>
      <c r="AK1014" s="1">
        <f>intersection_ss_Lden___surface[[#This Row],[surf m2 bout ss]]/intersection_ss_Lden___surface[[#This Row],[Shape_Area]]</f>
        <v>0.49490050449730238</v>
      </c>
      <c r="AL1014">
        <v>554</v>
      </c>
      <c r="AM1014">
        <f>intersection_ss_Lden___surface[[#This Row],[Population totale 2024 ss]]*intersection_ss_Lden___surface[[#This Row],[Part de la surface du qs dans le noise contour]]</f>
        <v>274.17487949150552</v>
      </c>
    </row>
    <row r="1015" spans="1:39" x14ac:dyDescent="0.3">
      <c r="A1015">
        <v>1045</v>
      </c>
      <c r="B1015" t="s">
        <v>1447</v>
      </c>
      <c r="C1015" t="s">
        <v>1448</v>
      </c>
      <c r="D1015" t="s">
        <v>1449</v>
      </c>
      <c r="E1015" t="s">
        <v>1449</v>
      </c>
      <c r="F1015" t="s">
        <v>1437</v>
      </c>
      <c r="G1015" t="s">
        <v>1363</v>
      </c>
      <c r="H1015" t="s">
        <v>1364</v>
      </c>
      <c r="I1015" t="s">
        <v>1365</v>
      </c>
      <c r="J1015" t="s">
        <v>36</v>
      </c>
      <c r="K1015">
        <v>21019</v>
      </c>
      <c r="L1015" t="s">
        <v>1366</v>
      </c>
      <c r="M1015" t="s">
        <v>1367</v>
      </c>
      <c r="N1015" t="s">
        <v>1367</v>
      </c>
      <c r="O1015">
        <v>21000</v>
      </c>
      <c r="P1015" t="s">
        <v>46</v>
      </c>
      <c r="Q1015" t="s">
        <v>47</v>
      </c>
      <c r="R1015" t="s">
        <v>48</v>
      </c>
      <c r="T1015" t="s">
        <v>36</v>
      </c>
      <c r="U1015" t="s">
        <v>36</v>
      </c>
      <c r="V1015" t="s">
        <v>36</v>
      </c>
      <c r="W1015">
        <v>4000</v>
      </c>
      <c r="X1015" t="s">
        <v>49</v>
      </c>
      <c r="Y1015" t="s">
        <v>50</v>
      </c>
      <c r="Z1015" t="s">
        <v>51</v>
      </c>
      <c r="AA1015" t="s">
        <v>37</v>
      </c>
      <c r="AB1015" t="s">
        <v>52</v>
      </c>
      <c r="AC1015" t="s">
        <v>53</v>
      </c>
      <c r="AD1015" t="s">
        <v>54</v>
      </c>
      <c r="AE1015">
        <v>16.280465463700001</v>
      </c>
      <c r="AF1015">
        <v>1971</v>
      </c>
      <c r="AG1015">
        <v>1970.68622721</v>
      </c>
      <c r="AH1015">
        <v>162807.27142800001</v>
      </c>
      <c r="AI1015">
        <v>48</v>
      </c>
      <c r="AJ1015">
        <v>41214.313516275703</v>
      </c>
      <c r="AK1015" s="1">
        <f>intersection_ss_Lden___surface[[#This Row],[surf m2 bout ss]]/intersection_ss_Lden___surface[[#This Row],[Shape_Area]]</f>
        <v>0.25314786713628051</v>
      </c>
      <c r="AL1015">
        <v>379</v>
      </c>
      <c r="AM1015">
        <f>intersection_ss_Lden___surface[[#This Row],[Population totale 2024 ss]]*intersection_ss_Lden___surface[[#This Row],[Part de la surface du qs dans le noise contour]]</f>
        <v>95.943041644650322</v>
      </c>
    </row>
    <row r="1016" spans="1:39" x14ac:dyDescent="0.3">
      <c r="A1016">
        <v>1046</v>
      </c>
      <c r="B1016" t="s">
        <v>1447</v>
      </c>
      <c r="C1016" t="s">
        <v>1448</v>
      </c>
      <c r="D1016" t="s">
        <v>1449</v>
      </c>
      <c r="E1016" t="s">
        <v>1449</v>
      </c>
      <c r="F1016" t="s">
        <v>1437</v>
      </c>
      <c r="G1016" t="s">
        <v>1363</v>
      </c>
      <c r="H1016" t="s">
        <v>1364</v>
      </c>
      <c r="I1016" t="s">
        <v>1365</v>
      </c>
      <c r="J1016" t="s">
        <v>36</v>
      </c>
      <c r="K1016">
        <v>21019</v>
      </c>
      <c r="L1016" t="s">
        <v>1366</v>
      </c>
      <c r="M1016" t="s">
        <v>1367</v>
      </c>
      <c r="N1016" t="s">
        <v>1367</v>
      </c>
      <c r="O1016">
        <v>21000</v>
      </c>
      <c r="P1016" t="s">
        <v>46</v>
      </c>
      <c r="Q1016" t="s">
        <v>47</v>
      </c>
      <c r="R1016" t="s">
        <v>48</v>
      </c>
      <c r="T1016" t="s">
        <v>36</v>
      </c>
      <c r="U1016" t="s">
        <v>36</v>
      </c>
      <c r="V1016" t="s">
        <v>36</v>
      </c>
      <c r="W1016">
        <v>4000</v>
      </c>
      <c r="X1016" t="s">
        <v>49</v>
      </c>
      <c r="Y1016" t="s">
        <v>50</v>
      </c>
      <c r="Z1016" t="s">
        <v>51</v>
      </c>
      <c r="AA1016" t="s">
        <v>37</v>
      </c>
      <c r="AB1016" t="s">
        <v>52</v>
      </c>
      <c r="AC1016" t="s">
        <v>53</v>
      </c>
      <c r="AD1016" t="s">
        <v>54</v>
      </c>
      <c r="AE1016">
        <v>16.280465463700001</v>
      </c>
      <c r="AF1016">
        <v>1971</v>
      </c>
      <c r="AG1016">
        <v>1970.68622721</v>
      </c>
      <c r="AH1016">
        <v>162807.27142800001</v>
      </c>
      <c r="AI1016">
        <v>49</v>
      </c>
      <c r="AJ1016">
        <v>50129.527980181199</v>
      </c>
      <c r="AK1016" s="1">
        <f>intersection_ss_Lden___surface[[#This Row],[surf m2 bout ss]]/intersection_ss_Lden___surface[[#This Row],[Shape_Area]]</f>
        <v>0.30790718092926528</v>
      </c>
      <c r="AL1016">
        <v>379</v>
      </c>
      <c r="AM1016">
        <f>intersection_ss_Lden___surface[[#This Row],[Population totale 2024 ss]]*intersection_ss_Lden___surface[[#This Row],[Part de la surface du qs dans le noise contour]]</f>
        <v>116.69682157219154</v>
      </c>
    </row>
    <row r="1017" spans="1:39" x14ac:dyDescent="0.3">
      <c r="A1017">
        <v>1047</v>
      </c>
      <c r="B1017" t="s">
        <v>1447</v>
      </c>
      <c r="C1017" t="s">
        <v>1448</v>
      </c>
      <c r="D1017" t="s">
        <v>1449</v>
      </c>
      <c r="E1017" t="s">
        <v>1449</v>
      </c>
      <c r="F1017" t="s">
        <v>1437</v>
      </c>
      <c r="G1017" t="s">
        <v>1363</v>
      </c>
      <c r="H1017" t="s">
        <v>1364</v>
      </c>
      <c r="I1017" t="s">
        <v>1365</v>
      </c>
      <c r="J1017" t="s">
        <v>36</v>
      </c>
      <c r="K1017">
        <v>21019</v>
      </c>
      <c r="L1017" t="s">
        <v>1366</v>
      </c>
      <c r="M1017" t="s">
        <v>1367</v>
      </c>
      <c r="N1017" t="s">
        <v>1367</v>
      </c>
      <c r="O1017">
        <v>21000</v>
      </c>
      <c r="P1017" t="s">
        <v>46</v>
      </c>
      <c r="Q1017" t="s">
        <v>47</v>
      </c>
      <c r="R1017" t="s">
        <v>48</v>
      </c>
      <c r="T1017" t="s">
        <v>36</v>
      </c>
      <c r="U1017" t="s">
        <v>36</v>
      </c>
      <c r="V1017" t="s">
        <v>36</v>
      </c>
      <c r="W1017">
        <v>4000</v>
      </c>
      <c r="X1017" t="s">
        <v>49</v>
      </c>
      <c r="Y1017" t="s">
        <v>50</v>
      </c>
      <c r="Z1017" t="s">
        <v>51</v>
      </c>
      <c r="AA1017" t="s">
        <v>37</v>
      </c>
      <c r="AB1017" t="s">
        <v>52</v>
      </c>
      <c r="AC1017" t="s">
        <v>53</v>
      </c>
      <c r="AD1017" t="s">
        <v>54</v>
      </c>
      <c r="AE1017">
        <v>16.280465463700001</v>
      </c>
      <c r="AF1017">
        <v>1971</v>
      </c>
      <c r="AG1017">
        <v>1970.68622721</v>
      </c>
      <c r="AH1017">
        <v>162807.27142800001</v>
      </c>
      <c r="AI1017">
        <v>50</v>
      </c>
      <c r="AJ1017">
        <v>39996.232488946</v>
      </c>
      <c r="AK1017" s="1">
        <f>intersection_ss_Lden___surface[[#This Row],[surf m2 bout ss]]/intersection_ss_Lden___surface[[#This Row],[Shape_Area]]</f>
        <v>0.24566613111401453</v>
      </c>
      <c r="AL1017">
        <v>379</v>
      </c>
      <c r="AM1017">
        <f>intersection_ss_Lden___surface[[#This Row],[Population totale 2024 ss]]*intersection_ss_Lden___surface[[#This Row],[Part de la surface du qs dans le noise contour]]</f>
        <v>93.10746369221151</v>
      </c>
    </row>
    <row r="1018" spans="1:39" x14ac:dyDescent="0.3">
      <c r="A1018">
        <v>1048</v>
      </c>
      <c r="B1018" t="s">
        <v>1447</v>
      </c>
      <c r="C1018" t="s">
        <v>1448</v>
      </c>
      <c r="D1018" t="s">
        <v>1449</v>
      </c>
      <c r="E1018" t="s">
        <v>1449</v>
      </c>
      <c r="F1018" t="s">
        <v>1437</v>
      </c>
      <c r="G1018" t="s">
        <v>1363</v>
      </c>
      <c r="H1018" t="s">
        <v>1364</v>
      </c>
      <c r="I1018" t="s">
        <v>1365</v>
      </c>
      <c r="J1018" t="s">
        <v>36</v>
      </c>
      <c r="K1018">
        <v>21019</v>
      </c>
      <c r="L1018" t="s">
        <v>1366</v>
      </c>
      <c r="M1018" t="s">
        <v>1367</v>
      </c>
      <c r="N1018" t="s">
        <v>1367</v>
      </c>
      <c r="O1018">
        <v>21000</v>
      </c>
      <c r="P1018" t="s">
        <v>46</v>
      </c>
      <c r="Q1018" t="s">
        <v>47</v>
      </c>
      <c r="R1018" t="s">
        <v>48</v>
      </c>
      <c r="T1018" t="s">
        <v>36</v>
      </c>
      <c r="U1018" t="s">
        <v>36</v>
      </c>
      <c r="V1018" t="s">
        <v>36</v>
      </c>
      <c r="W1018">
        <v>4000</v>
      </c>
      <c r="X1018" t="s">
        <v>49</v>
      </c>
      <c r="Y1018" t="s">
        <v>50</v>
      </c>
      <c r="Z1018" t="s">
        <v>51</v>
      </c>
      <c r="AA1018" t="s">
        <v>37</v>
      </c>
      <c r="AB1018" t="s">
        <v>52</v>
      </c>
      <c r="AC1018" t="s">
        <v>53</v>
      </c>
      <c r="AD1018" t="s">
        <v>54</v>
      </c>
      <c r="AE1018">
        <v>16.280465463700001</v>
      </c>
      <c r="AF1018">
        <v>1971</v>
      </c>
      <c r="AG1018">
        <v>1970.68622721</v>
      </c>
      <c r="AH1018">
        <v>162807.27142800001</v>
      </c>
      <c r="AI1018">
        <v>51</v>
      </c>
      <c r="AJ1018">
        <v>31484.049032034902</v>
      </c>
      <c r="AK1018" s="1">
        <f>intersection_ss_Lden___surface[[#This Row],[surf m2 bout ss]]/intersection_ss_Lden___surface[[#This Row],[Shape_Area]]</f>
        <v>0.19338232718898202</v>
      </c>
      <c r="AL1018">
        <v>379</v>
      </c>
      <c r="AM1018">
        <f>intersection_ss_Lden___surface[[#This Row],[Population totale 2024 ss]]*intersection_ss_Lden___surface[[#This Row],[Part de la surface du qs dans le noise contour]]</f>
        <v>73.291902004624191</v>
      </c>
    </row>
    <row r="1019" spans="1:39" x14ac:dyDescent="0.3">
      <c r="A1019">
        <v>1049</v>
      </c>
      <c r="B1019" t="s">
        <v>1450</v>
      </c>
      <c r="C1019" t="s">
        <v>1451</v>
      </c>
      <c r="D1019" t="s">
        <v>1452</v>
      </c>
      <c r="E1019" t="s">
        <v>1452</v>
      </c>
      <c r="F1019" t="s">
        <v>1437</v>
      </c>
      <c r="G1019" t="s">
        <v>1363</v>
      </c>
      <c r="H1019" t="s">
        <v>1364</v>
      </c>
      <c r="I1019" t="s">
        <v>1365</v>
      </c>
      <c r="J1019" t="s">
        <v>36</v>
      </c>
      <c r="K1019">
        <v>21019</v>
      </c>
      <c r="L1019" t="s">
        <v>1366</v>
      </c>
      <c r="M1019" t="s">
        <v>1367</v>
      </c>
      <c r="N1019" t="s">
        <v>1367</v>
      </c>
      <c r="O1019">
        <v>21000</v>
      </c>
      <c r="P1019" t="s">
        <v>46</v>
      </c>
      <c r="Q1019" t="s">
        <v>47</v>
      </c>
      <c r="R1019" t="s">
        <v>48</v>
      </c>
      <c r="T1019" t="s">
        <v>36</v>
      </c>
      <c r="U1019" t="s">
        <v>36</v>
      </c>
      <c r="V1019" t="s">
        <v>36</v>
      </c>
      <c r="W1019">
        <v>4000</v>
      </c>
      <c r="X1019" t="s">
        <v>49</v>
      </c>
      <c r="Y1019" t="s">
        <v>50</v>
      </c>
      <c r="Z1019" t="s">
        <v>51</v>
      </c>
      <c r="AA1019" t="s">
        <v>37</v>
      </c>
      <c r="AB1019" t="s">
        <v>52</v>
      </c>
      <c r="AC1019" t="s">
        <v>53</v>
      </c>
      <c r="AD1019" t="s">
        <v>54</v>
      </c>
      <c r="AE1019">
        <v>21.239863248300001</v>
      </c>
      <c r="AF1019">
        <v>1922</v>
      </c>
      <c r="AG1019">
        <v>1922.0392850000001</v>
      </c>
      <c r="AH1019">
        <v>212402.07000899999</v>
      </c>
      <c r="AI1019">
        <v>50</v>
      </c>
      <c r="AJ1019">
        <v>66030.679165867201</v>
      </c>
      <c r="AK1019" s="1">
        <f>intersection_ss_Lden___surface[[#This Row],[surf m2 bout ss]]/intersection_ss_Lden___surface[[#This Row],[Shape_Area]]</f>
        <v>0.31087587405842759</v>
      </c>
      <c r="AL1019">
        <v>957</v>
      </c>
      <c r="AM1019">
        <f>intersection_ss_Lden___surface[[#This Row],[Population totale 2024 ss]]*intersection_ss_Lden___surface[[#This Row],[Part de la surface du qs dans le noise contour]]</f>
        <v>297.5082114739152</v>
      </c>
    </row>
    <row r="1020" spans="1:39" x14ac:dyDescent="0.3">
      <c r="A1020">
        <v>1050</v>
      </c>
      <c r="B1020" t="s">
        <v>1450</v>
      </c>
      <c r="C1020" t="s">
        <v>1451</v>
      </c>
      <c r="D1020" t="s">
        <v>1452</v>
      </c>
      <c r="E1020" t="s">
        <v>1452</v>
      </c>
      <c r="F1020" t="s">
        <v>1437</v>
      </c>
      <c r="G1020" t="s">
        <v>1363</v>
      </c>
      <c r="H1020" t="s">
        <v>1364</v>
      </c>
      <c r="I1020" t="s">
        <v>1365</v>
      </c>
      <c r="J1020" t="s">
        <v>36</v>
      </c>
      <c r="K1020">
        <v>21019</v>
      </c>
      <c r="L1020" t="s">
        <v>1366</v>
      </c>
      <c r="M1020" t="s">
        <v>1367</v>
      </c>
      <c r="N1020" t="s">
        <v>1367</v>
      </c>
      <c r="O1020">
        <v>21000</v>
      </c>
      <c r="P1020" t="s">
        <v>46</v>
      </c>
      <c r="Q1020" t="s">
        <v>47</v>
      </c>
      <c r="R1020" t="s">
        <v>48</v>
      </c>
      <c r="T1020" t="s">
        <v>36</v>
      </c>
      <c r="U1020" t="s">
        <v>36</v>
      </c>
      <c r="V1020" t="s">
        <v>36</v>
      </c>
      <c r="W1020">
        <v>4000</v>
      </c>
      <c r="X1020" t="s">
        <v>49</v>
      </c>
      <c r="Y1020" t="s">
        <v>50</v>
      </c>
      <c r="Z1020" t="s">
        <v>51</v>
      </c>
      <c r="AA1020" t="s">
        <v>37</v>
      </c>
      <c r="AB1020" t="s">
        <v>52</v>
      </c>
      <c r="AC1020" t="s">
        <v>53</v>
      </c>
      <c r="AD1020" t="s">
        <v>54</v>
      </c>
      <c r="AE1020">
        <v>21.239863248300001</v>
      </c>
      <c r="AF1020">
        <v>1922</v>
      </c>
      <c r="AG1020">
        <v>1922.0392850000001</v>
      </c>
      <c r="AH1020">
        <v>212402.07000899999</v>
      </c>
      <c r="AI1020">
        <v>51</v>
      </c>
      <c r="AJ1020">
        <v>141439.042639939</v>
      </c>
      <c r="AK1020" s="1">
        <f>intersection_ss_Lden___surface[[#This Row],[surf m2 bout ss]]/intersection_ss_Lden___surface[[#This Row],[Shape_Area]]</f>
        <v>0.6659023738984553</v>
      </c>
      <c r="AL1020">
        <v>957</v>
      </c>
      <c r="AM1020">
        <f>intersection_ss_Lden___surface[[#This Row],[Population totale 2024 ss]]*intersection_ss_Lden___surface[[#This Row],[Part de la surface du qs dans le noise contour]]</f>
        <v>637.26857182082176</v>
      </c>
    </row>
    <row r="1021" spans="1:39" x14ac:dyDescent="0.3">
      <c r="A1021">
        <v>1051</v>
      </c>
      <c r="B1021" t="s">
        <v>1450</v>
      </c>
      <c r="C1021" t="s">
        <v>1451</v>
      </c>
      <c r="D1021" t="s">
        <v>1452</v>
      </c>
      <c r="E1021" t="s">
        <v>1452</v>
      </c>
      <c r="F1021" t="s">
        <v>1437</v>
      </c>
      <c r="G1021" t="s">
        <v>1363</v>
      </c>
      <c r="H1021" t="s">
        <v>1364</v>
      </c>
      <c r="I1021" t="s">
        <v>1365</v>
      </c>
      <c r="J1021" t="s">
        <v>36</v>
      </c>
      <c r="K1021">
        <v>21019</v>
      </c>
      <c r="L1021" t="s">
        <v>1366</v>
      </c>
      <c r="M1021" t="s">
        <v>1367</v>
      </c>
      <c r="N1021" t="s">
        <v>1367</v>
      </c>
      <c r="O1021">
        <v>21000</v>
      </c>
      <c r="P1021" t="s">
        <v>46</v>
      </c>
      <c r="Q1021" t="s">
        <v>47</v>
      </c>
      <c r="R1021" t="s">
        <v>48</v>
      </c>
      <c r="T1021" t="s">
        <v>36</v>
      </c>
      <c r="U1021" t="s">
        <v>36</v>
      </c>
      <c r="V1021" t="s">
        <v>36</v>
      </c>
      <c r="W1021">
        <v>4000</v>
      </c>
      <c r="X1021" t="s">
        <v>49</v>
      </c>
      <c r="Y1021" t="s">
        <v>50</v>
      </c>
      <c r="Z1021" t="s">
        <v>51</v>
      </c>
      <c r="AA1021" t="s">
        <v>37</v>
      </c>
      <c r="AB1021" t="s">
        <v>52</v>
      </c>
      <c r="AC1021" t="s">
        <v>53</v>
      </c>
      <c r="AD1021" t="s">
        <v>54</v>
      </c>
      <c r="AE1021">
        <v>21.239863248300001</v>
      </c>
      <c r="AF1021">
        <v>1922</v>
      </c>
      <c r="AG1021">
        <v>1922.0392850000001</v>
      </c>
      <c r="AH1021">
        <v>212402.07000899999</v>
      </c>
      <c r="AI1021">
        <v>52</v>
      </c>
      <c r="AJ1021">
        <v>4953.8494515686598</v>
      </c>
      <c r="AK1021" s="1">
        <f>intersection_ss_Lden___surface[[#This Row],[surf m2 bout ss]]/intersection_ss_Lden___surface[[#This Row],[Shape_Area]]</f>
        <v>2.3322981039491531E-2</v>
      </c>
      <c r="AL1021">
        <v>957</v>
      </c>
      <c r="AM1021">
        <f>intersection_ss_Lden___surface[[#This Row],[Population totale 2024 ss]]*intersection_ss_Lden___surface[[#This Row],[Part de la surface du qs dans le noise contour]]</f>
        <v>22.320092854793394</v>
      </c>
    </row>
    <row r="1022" spans="1:39" x14ac:dyDescent="0.3">
      <c r="A1022">
        <v>1052</v>
      </c>
      <c r="B1022" t="s">
        <v>1453</v>
      </c>
      <c r="C1022" t="s">
        <v>1454</v>
      </c>
      <c r="D1022" t="s">
        <v>1455</v>
      </c>
      <c r="E1022" t="s">
        <v>1455</v>
      </c>
      <c r="F1022" t="s">
        <v>1437</v>
      </c>
      <c r="G1022" t="s">
        <v>1363</v>
      </c>
      <c r="H1022" t="s">
        <v>1364</v>
      </c>
      <c r="I1022" t="s">
        <v>1365</v>
      </c>
      <c r="J1022" t="s">
        <v>36</v>
      </c>
      <c r="K1022">
        <v>21019</v>
      </c>
      <c r="L1022" t="s">
        <v>1366</v>
      </c>
      <c r="M1022" t="s">
        <v>1367</v>
      </c>
      <c r="N1022" t="s">
        <v>1367</v>
      </c>
      <c r="O1022">
        <v>21000</v>
      </c>
      <c r="P1022" t="s">
        <v>46</v>
      </c>
      <c r="Q1022" t="s">
        <v>47</v>
      </c>
      <c r="R1022" t="s">
        <v>48</v>
      </c>
      <c r="T1022" t="s">
        <v>36</v>
      </c>
      <c r="U1022" t="s">
        <v>36</v>
      </c>
      <c r="V1022" t="s">
        <v>36</v>
      </c>
      <c r="W1022">
        <v>4000</v>
      </c>
      <c r="X1022" t="s">
        <v>49</v>
      </c>
      <c r="Y1022" t="s">
        <v>50</v>
      </c>
      <c r="Z1022" t="s">
        <v>51</v>
      </c>
      <c r="AA1022" t="s">
        <v>37</v>
      </c>
      <c r="AB1022" t="s">
        <v>52</v>
      </c>
      <c r="AC1022" t="s">
        <v>53</v>
      </c>
      <c r="AD1022" t="s">
        <v>54</v>
      </c>
      <c r="AE1022">
        <v>61.863472981599998</v>
      </c>
      <c r="AF1022">
        <v>4211</v>
      </c>
      <c r="AG1022">
        <v>4211.0293158499999</v>
      </c>
      <c r="AH1022">
        <v>618644.73187400005</v>
      </c>
      <c r="AI1022">
        <v>48</v>
      </c>
      <c r="AJ1022">
        <v>2977.4879863839601</v>
      </c>
      <c r="AK1022" s="1">
        <f>intersection_ss_Lden___surface[[#This Row],[surf m2 bout ss]]/intersection_ss_Lden___surface[[#This Row],[Shape_Area]]</f>
        <v>4.8129206198273874E-3</v>
      </c>
      <c r="AL1022">
        <v>2</v>
      </c>
      <c r="AM1022">
        <f>intersection_ss_Lden___surface[[#This Row],[Population totale 2024 ss]]*intersection_ss_Lden___surface[[#This Row],[Part de la surface du qs dans le noise contour]]</f>
        <v>9.6258412396547748E-3</v>
      </c>
    </row>
    <row r="1023" spans="1:39" x14ac:dyDescent="0.3">
      <c r="A1023">
        <v>1053</v>
      </c>
      <c r="B1023" t="s">
        <v>1453</v>
      </c>
      <c r="C1023" t="s">
        <v>1454</v>
      </c>
      <c r="D1023" t="s">
        <v>1455</v>
      </c>
      <c r="E1023" t="s">
        <v>1455</v>
      </c>
      <c r="F1023" t="s">
        <v>1437</v>
      </c>
      <c r="G1023" t="s">
        <v>1363</v>
      </c>
      <c r="H1023" t="s">
        <v>1364</v>
      </c>
      <c r="I1023" t="s">
        <v>1365</v>
      </c>
      <c r="J1023" t="s">
        <v>36</v>
      </c>
      <c r="K1023">
        <v>21019</v>
      </c>
      <c r="L1023" t="s">
        <v>1366</v>
      </c>
      <c r="M1023" t="s">
        <v>1367</v>
      </c>
      <c r="N1023" t="s">
        <v>1367</v>
      </c>
      <c r="O1023">
        <v>21000</v>
      </c>
      <c r="P1023" t="s">
        <v>46</v>
      </c>
      <c r="Q1023" t="s">
        <v>47</v>
      </c>
      <c r="R1023" t="s">
        <v>48</v>
      </c>
      <c r="T1023" t="s">
        <v>36</v>
      </c>
      <c r="U1023" t="s">
        <v>36</v>
      </c>
      <c r="V1023" t="s">
        <v>36</v>
      </c>
      <c r="W1023">
        <v>4000</v>
      </c>
      <c r="X1023" t="s">
        <v>49</v>
      </c>
      <c r="Y1023" t="s">
        <v>50</v>
      </c>
      <c r="Z1023" t="s">
        <v>51</v>
      </c>
      <c r="AA1023" t="s">
        <v>37</v>
      </c>
      <c r="AB1023" t="s">
        <v>52</v>
      </c>
      <c r="AC1023" t="s">
        <v>53</v>
      </c>
      <c r="AD1023" t="s">
        <v>54</v>
      </c>
      <c r="AE1023">
        <v>61.863472981599998</v>
      </c>
      <c r="AF1023">
        <v>4211</v>
      </c>
      <c r="AG1023">
        <v>4211.0293158499999</v>
      </c>
      <c r="AH1023">
        <v>618644.73187400005</v>
      </c>
      <c r="AI1023">
        <v>49</v>
      </c>
      <c r="AJ1023">
        <v>31985.6196505636</v>
      </c>
      <c r="AK1023" s="1">
        <f>intersection_ss_Lden___surface[[#This Row],[surf m2 bout ss]]/intersection_ss_Lden___surface[[#This Row],[Shape_Area]]</f>
        <v>5.1702726949072512E-2</v>
      </c>
      <c r="AL1023">
        <v>2</v>
      </c>
      <c r="AM1023">
        <f>intersection_ss_Lden___surface[[#This Row],[Population totale 2024 ss]]*intersection_ss_Lden___surface[[#This Row],[Part de la surface du qs dans le noise contour]]</f>
        <v>0.10340545389814502</v>
      </c>
    </row>
    <row r="1024" spans="1:39" x14ac:dyDescent="0.3">
      <c r="A1024">
        <v>1054</v>
      </c>
      <c r="B1024" t="s">
        <v>1453</v>
      </c>
      <c r="C1024" t="s">
        <v>1454</v>
      </c>
      <c r="D1024" t="s">
        <v>1455</v>
      </c>
      <c r="E1024" t="s">
        <v>1455</v>
      </c>
      <c r="F1024" t="s">
        <v>1437</v>
      </c>
      <c r="G1024" t="s">
        <v>1363</v>
      </c>
      <c r="H1024" t="s">
        <v>1364</v>
      </c>
      <c r="I1024" t="s">
        <v>1365</v>
      </c>
      <c r="J1024" t="s">
        <v>36</v>
      </c>
      <c r="K1024">
        <v>21019</v>
      </c>
      <c r="L1024" t="s">
        <v>1366</v>
      </c>
      <c r="M1024" t="s">
        <v>1367</v>
      </c>
      <c r="N1024" t="s">
        <v>1367</v>
      </c>
      <c r="O1024">
        <v>21000</v>
      </c>
      <c r="P1024" t="s">
        <v>46</v>
      </c>
      <c r="Q1024" t="s">
        <v>47</v>
      </c>
      <c r="R1024" t="s">
        <v>48</v>
      </c>
      <c r="T1024" t="s">
        <v>36</v>
      </c>
      <c r="U1024" t="s">
        <v>36</v>
      </c>
      <c r="V1024" t="s">
        <v>36</v>
      </c>
      <c r="W1024">
        <v>4000</v>
      </c>
      <c r="X1024" t="s">
        <v>49</v>
      </c>
      <c r="Y1024" t="s">
        <v>50</v>
      </c>
      <c r="Z1024" t="s">
        <v>51</v>
      </c>
      <c r="AA1024" t="s">
        <v>37</v>
      </c>
      <c r="AB1024" t="s">
        <v>52</v>
      </c>
      <c r="AC1024" t="s">
        <v>53</v>
      </c>
      <c r="AD1024" t="s">
        <v>54</v>
      </c>
      <c r="AE1024">
        <v>61.863472981599998</v>
      </c>
      <c r="AF1024">
        <v>4211</v>
      </c>
      <c r="AG1024">
        <v>4211.0293158499999</v>
      </c>
      <c r="AH1024">
        <v>618644.73187400005</v>
      </c>
      <c r="AI1024">
        <v>50</v>
      </c>
      <c r="AJ1024">
        <v>56641.415513383799</v>
      </c>
      <c r="AK1024" s="1">
        <f>intersection_ss_Lden___surface[[#This Row],[surf m2 bout ss]]/intersection_ss_Lden___surface[[#This Row],[Shape_Area]]</f>
        <v>9.1557258302039507E-2</v>
      </c>
      <c r="AL1024">
        <v>2</v>
      </c>
      <c r="AM1024">
        <f>intersection_ss_Lden___surface[[#This Row],[Population totale 2024 ss]]*intersection_ss_Lden___surface[[#This Row],[Part de la surface du qs dans le noise contour]]</f>
        <v>0.18311451660407901</v>
      </c>
    </row>
    <row r="1025" spans="1:39" x14ac:dyDescent="0.3">
      <c r="A1025">
        <v>1055</v>
      </c>
      <c r="B1025" t="s">
        <v>1453</v>
      </c>
      <c r="C1025" t="s">
        <v>1454</v>
      </c>
      <c r="D1025" t="s">
        <v>1455</v>
      </c>
      <c r="E1025" t="s">
        <v>1455</v>
      </c>
      <c r="F1025" t="s">
        <v>1437</v>
      </c>
      <c r="G1025" t="s">
        <v>1363</v>
      </c>
      <c r="H1025" t="s">
        <v>1364</v>
      </c>
      <c r="I1025" t="s">
        <v>1365</v>
      </c>
      <c r="J1025" t="s">
        <v>36</v>
      </c>
      <c r="K1025">
        <v>21019</v>
      </c>
      <c r="L1025" t="s">
        <v>1366</v>
      </c>
      <c r="M1025" t="s">
        <v>1367</v>
      </c>
      <c r="N1025" t="s">
        <v>1367</v>
      </c>
      <c r="O1025">
        <v>21000</v>
      </c>
      <c r="P1025" t="s">
        <v>46</v>
      </c>
      <c r="Q1025" t="s">
        <v>47</v>
      </c>
      <c r="R1025" t="s">
        <v>48</v>
      </c>
      <c r="T1025" t="s">
        <v>36</v>
      </c>
      <c r="U1025" t="s">
        <v>36</v>
      </c>
      <c r="V1025" t="s">
        <v>36</v>
      </c>
      <c r="W1025">
        <v>4000</v>
      </c>
      <c r="X1025" t="s">
        <v>49</v>
      </c>
      <c r="Y1025" t="s">
        <v>50</v>
      </c>
      <c r="Z1025" t="s">
        <v>51</v>
      </c>
      <c r="AA1025" t="s">
        <v>37</v>
      </c>
      <c r="AB1025" t="s">
        <v>52</v>
      </c>
      <c r="AC1025" t="s">
        <v>53</v>
      </c>
      <c r="AD1025" t="s">
        <v>54</v>
      </c>
      <c r="AE1025">
        <v>61.863472981599998</v>
      </c>
      <c r="AF1025">
        <v>4211</v>
      </c>
      <c r="AG1025">
        <v>4211.0293158499999</v>
      </c>
      <c r="AH1025">
        <v>618644.73187400005</v>
      </c>
      <c r="AI1025">
        <v>51</v>
      </c>
      <c r="AJ1025">
        <v>102256.05774868499</v>
      </c>
      <c r="AK1025" s="1">
        <f>intersection_ss_Lden___surface[[#This Row],[surf m2 bout ss]]/intersection_ss_Lden___surface[[#This Row],[Shape_Area]]</f>
        <v>0.16529043646574135</v>
      </c>
      <c r="AL1025">
        <v>2</v>
      </c>
      <c r="AM1025">
        <f>intersection_ss_Lden___surface[[#This Row],[Population totale 2024 ss]]*intersection_ss_Lden___surface[[#This Row],[Part de la surface du qs dans le noise contour]]</f>
        <v>0.33058087293148269</v>
      </c>
    </row>
    <row r="1026" spans="1:39" x14ac:dyDescent="0.3">
      <c r="A1026">
        <v>1056</v>
      </c>
      <c r="B1026" t="s">
        <v>1453</v>
      </c>
      <c r="C1026" t="s">
        <v>1454</v>
      </c>
      <c r="D1026" t="s">
        <v>1455</v>
      </c>
      <c r="E1026" t="s">
        <v>1455</v>
      </c>
      <c r="F1026" t="s">
        <v>1437</v>
      </c>
      <c r="G1026" t="s">
        <v>1363</v>
      </c>
      <c r="H1026" t="s">
        <v>1364</v>
      </c>
      <c r="I1026" t="s">
        <v>1365</v>
      </c>
      <c r="J1026" t="s">
        <v>36</v>
      </c>
      <c r="K1026">
        <v>21019</v>
      </c>
      <c r="L1026" t="s">
        <v>1366</v>
      </c>
      <c r="M1026" t="s">
        <v>1367</v>
      </c>
      <c r="N1026" t="s">
        <v>1367</v>
      </c>
      <c r="O1026">
        <v>21000</v>
      </c>
      <c r="P1026" t="s">
        <v>46</v>
      </c>
      <c r="Q1026" t="s">
        <v>47</v>
      </c>
      <c r="R1026" t="s">
        <v>48</v>
      </c>
      <c r="T1026" t="s">
        <v>36</v>
      </c>
      <c r="U1026" t="s">
        <v>36</v>
      </c>
      <c r="V1026" t="s">
        <v>36</v>
      </c>
      <c r="W1026">
        <v>4000</v>
      </c>
      <c r="X1026" t="s">
        <v>49</v>
      </c>
      <c r="Y1026" t="s">
        <v>50</v>
      </c>
      <c r="Z1026" t="s">
        <v>51</v>
      </c>
      <c r="AA1026" t="s">
        <v>37</v>
      </c>
      <c r="AB1026" t="s">
        <v>52</v>
      </c>
      <c r="AC1026" t="s">
        <v>53</v>
      </c>
      <c r="AD1026" t="s">
        <v>54</v>
      </c>
      <c r="AE1026">
        <v>61.863472981599998</v>
      </c>
      <c r="AF1026">
        <v>4211</v>
      </c>
      <c r="AG1026">
        <v>4211.0293158499999</v>
      </c>
      <c r="AH1026">
        <v>618644.73187400005</v>
      </c>
      <c r="AI1026">
        <v>52</v>
      </c>
      <c r="AJ1026">
        <v>138235.744888582</v>
      </c>
      <c r="AK1026" s="1">
        <f>intersection_ss_Lden___surface[[#This Row],[surf m2 bout ss]]/intersection_ss_Lden___surface[[#This Row],[Shape_Area]]</f>
        <v>0.22344932037138338</v>
      </c>
      <c r="AL1026">
        <v>2</v>
      </c>
      <c r="AM1026">
        <f>intersection_ss_Lden___surface[[#This Row],[Population totale 2024 ss]]*intersection_ss_Lden___surface[[#This Row],[Part de la surface du qs dans le noise contour]]</f>
        <v>0.44689864074276675</v>
      </c>
    </row>
    <row r="1027" spans="1:39" x14ac:dyDescent="0.3">
      <c r="A1027">
        <v>1057</v>
      </c>
      <c r="B1027" t="s">
        <v>1453</v>
      </c>
      <c r="C1027" t="s">
        <v>1454</v>
      </c>
      <c r="D1027" t="s">
        <v>1455</v>
      </c>
      <c r="E1027" t="s">
        <v>1455</v>
      </c>
      <c r="F1027" t="s">
        <v>1437</v>
      </c>
      <c r="G1027" t="s">
        <v>1363</v>
      </c>
      <c r="H1027" t="s">
        <v>1364</v>
      </c>
      <c r="I1027" t="s">
        <v>1365</v>
      </c>
      <c r="J1027" t="s">
        <v>36</v>
      </c>
      <c r="K1027">
        <v>21019</v>
      </c>
      <c r="L1027" t="s">
        <v>1366</v>
      </c>
      <c r="M1027" t="s">
        <v>1367</v>
      </c>
      <c r="N1027" t="s">
        <v>1367</v>
      </c>
      <c r="O1027">
        <v>21000</v>
      </c>
      <c r="P1027" t="s">
        <v>46</v>
      </c>
      <c r="Q1027" t="s">
        <v>47</v>
      </c>
      <c r="R1027" t="s">
        <v>48</v>
      </c>
      <c r="T1027" t="s">
        <v>36</v>
      </c>
      <c r="U1027" t="s">
        <v>36</v>
      </c>
      <c r="V1027" t="s">
        <v>36</v>
      </c>
      <c r="W1027">
        <v>4000</v>
      </c>
      <c r="X1027" t="s">
        <v>49</v>
      </c>
      <c r="Y1027" t="s">
        <v>50</v>
      </c>
      <c r="Z1027" t="s">
        <v>51</v>
      </c>
      <c r="AA1027" t="s">
        <v>37</v>
      </c>
      <c r="AB1027" t="s">
        <v>52</v>
      </c>
      <c r="AC1027" t="s">
        <v>53</v>
      </c>
      <c r="AD1027" t="s">
        <v>54</v>
      </c>
      <c r="AE1027">
        <v>61.863472981599998</v>
      </c>
      <c r="AF1027">
        <v>4211</v>
      </c>
      <c r="AG1027">
        <v>4211.0293158499999</v>
      </c>
      <c r="AH1027">
        <v>618644.73187400005</v>
      </c>
      <c r="AI1027">
        <v>53</v>
      </c>
      <c r="AJ1027">
        <v>220915.642542179</v>
      </c>
      <c r="AK1027" s="1">
        <f>intersection_ss_Lden___surface[[#This Row],[surf m2 bout ss]]/intersection_ss_Lden___surface[[#This Row],[Shape_Area]]</f>
        <v>0.35709613476054475</v>
      </c>
      <c r="AL1027">
        <v>2</v>
      </c>
      <c r="AM1027">
        <f>intersection_ss_Lden___surface[[#This Row],[Population totale 2024 ss]]*intersection_ss_Lden___surface[[#This Row],[Part de la surface du qs dans le noise contour]]</f>
        <v>0.7141922695210895</v>
      </c>
    </row>
    <row r="1028" spans="1:39" x14ac:dyDescent="0.3">
      <c r="A1028">
        <v>1058</v>
      </c>
      <c r="B1028" t="s">
        <v>1453</v>
      </c>
      <c r="C1028" t="s">
        <v>1454</v>
      </c>
      <c r="D1028" t="s">
        <v>1455</v>
      </c>
      <c r="E1028" t="s">
        <v>1455</v>
      </c>
      <c r="F1028" t="s">
        <v>1437</v>
      </c>
      <c r="G1028" t="s">
        <v>1363</v>
      </c>
      <c r="H1028" t="s">
        <v>1364</v>
      </c>
      <c r="I1028" t="s">
        <v>1365</v>
      </c>
      <c r="J1028" t="s">
        <v>36</v>
      </c>
      <c r="K1028">
        <v>21019</v>
      </c>
      <c r="L1028" t="s">
        <v>1366</v>
      </c>
      <c r="M1028" t="s">
        <v>1367</v>
      </c>
      <c r="N1028" t="s">
        <v>1367</v>
      </c>
      <c r="O1028">
        <v>21000</v>
      </c>
      <c r="P1028" t="s">
        <v>46</v>
      </c>
      <c r="Q1028" t="s">
        <v>47</v>
      </c>
      <c r="R1028" t="s">
        <v>48</v>
      </c>
      <c r="T1028" t="s">
        <v>36</v>
      </c>
      <c r="U1028" t="s">
        <v>36</v>
      </c>
      <c r="V1028" t="s">
        <v>36</v>
      </c>
      <c r="W1028">
        <v>4000</v>
      </c>
      <c r="X1028" t="s">
        <v>49</v>
      </c>
      <c r="Y1028" t="s">
        <v>50</v>
      </c>
      <c r="Z1028" t="s">
        <v>51</v>
      </c>
      <c r="AA1028" t="s">
        <v>37</v>
      </c>
      <c r="AB1028" t="s">
        <v>52</v>
      </c>
      <c r="AC1028" t="s">
        <v>53</v>
      </c>
      <c r="AD1028" t="s">
        <v>54</v>
      </c>
      <c r="AE1028">
        <v>61.863472981599998</v>
      </c>
      <c r="AF1028">
        <v>4211</v>
      </c>
      <c r="AG1028">
        <v>4211.0293158499999</v>
      </c>
      <c r="AH1028">
        <v>618644.73187400005</v>
      </c>
      <c r="AI1028">
        <v>54</v>
      </c>
      <c r="AJ1028">
        <v>65696.992779655397</v>
      </c>
      <c r="AK1028" s="1">
        <f>intersection_ss_Lden___surface[[#This Row],[surf m2 bout ss]]/intersection_ss_Lden___surface[[#This Row],[Shape_Area]]</f>
        <v>0.10619502501968442</v>
      </c>
      <c r="AL1028">
        <v>2</v>
      </c>
      <c r="AM1028">
        <f>intersection_ss_Lden___surface[[#This Row],[Population totale 2024 ss]]*intersection_ss_Lden___surface[[#This Row],[Part de la surface du qs dans le noise contour]]</f>
        <v>0.21239005003936884</v>
      </c>
    </row>
    <row r="1029" spans="1:39" x14ac:dyDescent="0.3">
      <c r="A1029">
        <v>1059</v>
      </c>
      <c r="B1029" t="s">
        <v>1456</v>
      </c>
      <c r="C1029" t="s">
        <v>1457</v>
      </c>
      <c r="D1029" t="s">
        <v>1458</v>
      </c>
      <c r="E1029" t="s">
        <v>1458</v>
      </c>
      <c r="F1029" t="s">
        <v>1459</v>
      </c>
      <c r="G1029" t="s">
        <v>1363</v>
      </c>
      <c r="H1029" t="s">
        <v>1364</v>
      </c>
      <c r="I1029" t="s">
        <v>1365</v>
      </c>
      <c r="J1029" t="s">
        <v>36</v>
      </c>
      <c r="K1029">
        <v>21019</v>
      </c>
      <c r="L1029" t="s">
        <v>1366</v>
      </c>
      <c r="M1029" t="s">
        <v>1367</v>
      </c>
      <c r="N1029" t="s">
        <v>1367</v>
      </c>
      <c r="O1029">
        <v>21000</v>
      </c>
      <c r="P1029" t="s">
        <v>46</v>
      </c>
      <c r="Q1029" t="s">
        <v>47</v>
      </c>
      <c r="R1029" t="s">
        <v>48</v>
      </c>
      <c r="T1029" t="s">
        <v>36</v>
      </c>
      <c r="U1029" t="s">
        <v>36</v>
      </c>
      <c r="V1029" t="s">
        <v>36</v>
      </c>
      <c r="W1029">
        <v>4000</v>
      </c>
      <c r="X1029" t="s">
        <v>49</v>
      </c>
      <c r="Y1029" t="s">
        <v>50</v>
      </c>
      <c r="Z1029" t="s">
        <v>51</v>
      </c>
      <c r="AA1029" t="s">
        <v>37</v>
      </c>
      <c r="AB1029" t="s">
        <v>52</v>
      </c>
      <c r="AC1029" t="s">
        <v>53</v>
      </c>
      <c r="AD1029" t="s">
        <v>54</v>
      </c>
      <c r="AE1029">
        <v>19.118703171100002</v>
      </c>
      <c r="AF1029">
        <v>2008</v>
      </c>
      <c r="AG1029">
        <v>2008.18457317</v>
      </c>
      <c r="AH1029">
        <v>191190.12973399999</v>
      </c>
      <c r="AI1029">
        <v>45</v>
      </c>
      <c r="AJ1029">
        <v>41890.420514857302</v>
      </c>
      <c r="AK1029" s="1">
        <f>intersection_ss_Lden___surface[[#This Row],[surf m2 bout ss]]/intersection_ss_Lden___surface[[#This Row],[Shape_Area]]</f>
        <v>0.21910346822369348</v>
      </c>
      <c r="AL1029">
        <v>1812</v>
      </c>
      <c r="AM1029">
        <f>intersection_ss_Lden___surface[[#This Row],[Population totale 2024 ss]]*intersection_ss_Lden___surface[[#This Row],[Part de la surface du qs dans le noise contour]]</f>
        <v>397.01548442133259</v>
      </c>
    </row>
    <row r="1030" spans="1:39" x14ac:dyDescent="0.3">
      <c r="A1030">
        <v>1060</v>
      </c>
      <c r="B1030" t="s">
        <v>1456</v>
      </c>
      <c r="C1030" t="s">
        <v>1457</v>
      </c>
      <c r="D1030" t="s">
        <v>1458</v>
      </c>
      <c r="E1030" t="s">
        <v>1458</v>
      </c>
      <c r="F1030" t="s">
        <v>1459</v>
      </c>
      <c r="G1030" t="s">
        <v>1363</v>
      </c>
      <c r="H1030" t="s">
        <v>1364</v>
      </c>
      <c r="I1030" t="s">
        <v>1365</v>
      </c>
      <c r="J1030" t="s">
        <v>36</v>
      </c>
      <c r="K1030">
        <v>21019</v>
      </c>
      <c r="L1030" t="s">
        <v>1366</v>
      </c>
      <c r="M1030" t="s">
        <v>1367</v>
      </c>
      <c r="N1030" t="s">
        <v>1367</v>
      </c>
      <c r="O1030">
        <v>21000</v>
      </c>
      <c r="P1030" t="s">
        <v>46</v>
      </c>
      <c r="Q1030" t="s">
        <v>47</v>
      </c>
      <c r="R1030" t="s">
        <v>48</v>
      </c>
      <c r="T1030" t="s">
        <v>36</v>
      </c>
      <c r="U1030" t="s">
        <v>36</v>
      </c>
      <c r="V1030" t="s">
        <v>36</v>
      </c>
      <c r="W1030">
        <v>4000</v>
      </c>
      <c r="X1030" t="s">
        <v>49</v>
      </c>
      <c r="Y1030" t="s">
        <v>50</v>
      </c>
      <c r="Z1030" t="s">
        <v>51</v>
      </c>
      <c r="AA1030" t="s">
        <v>37</v>
      </c>
      <c r="AB1030" t="s">
        <v>52</v>
      </c>
      <c r="AC1030" t="s">
        <v>53</v>
      </c>
      <c r="AD1030" t="s">
        <v>54</v>
      </c>
      <c r="AE1030">
        <v>19.118703171100002</v>
      </c>
      <c r="AF1030">
        <v>2008</v>
      </c>
      <c r="AG1030">
        <v>2008.18457317</v>
      </c>
      <c r="AH1030">
        <v>191190.12973399999</v>
      </c>
      <c r="AI1030">
        <v>46</v>
      </c>
      <c r="AJ1030">
        <v>148328.128243368</v>
      </c>
      <c r="AK1030" s="1">
        <f>intersection_ss_Lden___surface[[#This Row],[surf m2 bout ss]]/intersection_ss_Lden___surface[[#This Row],[Shape_Area]]</f>
        <v>0.77581477898328088</v>
      </c>
      <c r="AL1030">
        <v>1812</v>
      </c>
      <c r="AM1030">
        <f>intersection_ss_Lden___surface[[#This Row],[Population totale 2024 ss]]*intersection_ss_Lden___surface[[#This Row],[Part de la surface du qs dans le noise contour]]</f>
        <v>1405.776379517705</v>
      </c>
    </row>
    <row r="1031" spans="1:39" x14ac:dyDescent="0.3">
      <c r="A1031">
        <v>1061</v>
      </c>
      <c r="B1031" t="s">
        <v>1456</v>
      </c>
      <c r="C1031" t="s">
        <v>1457</v>
      </c>
      <c r="D1031" t="s">
        <v>1458</v>
      </c>
      <c r="E1031" t="s">
        <v>1458</v>
      </c>
      <c r="F1031" t="s">
        <v>1459</v>
      </c>
      <c r="G1031" t="s">
        <v>1363</v>
      </c>
      <c r="H1031" t="s">
        <v>1364</v>
      </c>
      <c r="I1031" t="s">
        <v>1365</v>
      </c>
      <c r="J1031" t="s">
        <v>36</v>
      </c>
      <c r="K1031">
        <v>21019</v>
      </c>
      <c r="L1031" t="s">
        <v>1366</v>
      </c>
      <c r="M1031" t="s">
        <v>1367</v>
      </c>
      <c r="N1031" t="s">
        <v>1367</v>
      </c>
      <c r="O1031">
        <v>21000</v>
      </c>
      <c r="P1031" t="s">
        <v>46</v>
      </c>
      <c r="Q1031" t="s">
        <v>47</v>
      </c>
      <c r="R1031" t="s">
        <v>48</v>
      </c>
      <c r="T1031" t="s">
        <v>36</v>
      </c>
      <c r="U1031" t="s">
        <v>36</v>
      </c>
      <c r="V1031" t="s">
        <v>36</v>
      </c>
      <c r="W1031">
        <v>4000</v>
      </c>
      <c r="X1031" t="s">
        <v>49</v>
      </c>
      <c r="Y1031" t="s">
        <v>50</v>
      </c>
      <c r="Z1031" t="s">
        <v>51</v>
      </c>
      <c r="AA1031" t="s">
        <v>37</v>
      </c>
      <c r="AB1031" t="s">
        <v>52</v>
      </c>
      <c r="AC1031" t="s">
        <v>53</v>
      </c>
      <c r="AD1031" t="s">
        <v>54</v>
      </c>
      <c r="AE1031">
        <v>19.118703171100002</v>
      </c>
      <c r="AF1031">
        <v>2008</v>
      </c>
      <c r="AG1031">
        <v>2008.18457317</v>
      </c>
      <c r="AH1031">
        <v>191190.12973399999</v>
      </c>
      <c r="AI1031">
        <v>47</v>
      </c>
      <c r="AJ1031">
        <v>990.896564804018</v>
      </c>
      <c r="AK1031" s="1">
        <f>intersection_ss_Lden___surface[[#This Row],[surf m2 bout ss]]/intersection_ss_Lden___surface[[#This Row],[Shape_Area]]</f>
        <v>5.1827809635499374E-3</v>
      </c>
      <c r="AL1031">
        <v>1812</v>
      </c>
      <c r="AM1031">
        <f>intersection_ss_Lden___surface[[#This Row],[Population totale 2024 ss]]*intersection_ss_Lden___surface[[#This Row],[Part de la surface du qs dans le noise contour]]</f>
        <v>9.3911991059524862</v>
      </c>
    </row>
    <row r="1032" spans="1:39" x14ac:dyDescent="0.3">
      <c r="A1032">
        <v>1062</v>
      </c>
      <c r="B1032" t="s">
        <v>1460</v>
      </c>
      <c r="C1032" t="s">
        <v>1461</v>
      </c>
      <c r="D1032" t="s">
        <v>1462</v>
      </c>
      <c r="E1032" t="s">
        <v>1462</v>
      </c>
      <c r="F1032" t="s">
        <v>1459</v>
      </c>
      <c r="G1032" t="s">
        <v>1363</v>
      </c>
      <c r="H1032" t="s">
        <v>1364</v>
      </c>
      <c r="I1032" t="s">
        <v>1365</v>
      </c>
      <c r="J1032" t="s">
        <v>36</v>
      </c>
      <c r="K1032">
        <v>21019</v>
      </c>
      <c r="L1032" t="s">
        <v>1366</v>
      </c>
      <c r="M1032" t="s">
        <v>1367</v>
      </c>
      <c r="N1032" t="s">
        <v>1367</v>
      </c>
      <c r="O1032">
        <v>21000</v>
      </c>
      <c r="P1032" t="s">
        <v>46</v>
      </c>
      <c r="Q1032" t="s">
        <v>47</v>
      </c>
      <c r="R1032" t="s">
        <v>48</v>
      </c>
      <c r="T1032" t="s">
        <v>36</v>
      </c>
      <c r="U1032" t="s">
        <v>36</v>
      </c>
      <c r="V1032" t="s">
        <v>36</v>
      </c>
      <c r="W1032">
        <v>4000</v>
      </c>
      <c r="X1032" t="s">
        <v>49</v>
      </c>
      <c r="Y1032" t="s">
        <v>50</v>
      </c>
      <c r="Z1032" t="s">
        <v>51</v>
      </c>
      <c r="AA1032" t="s">
        <v>37</v>
      </c>
      <c r="AB1032" t="s">
        <v>52</v>
      </c>
      <c r="AC1032" t="s">
        <v>53</v>
      </c>
      <c r="AD1032" t="s">
        <v>54</v>
      </c>
      <c r="AE1032">
        <v>12.7520283152</v>
      </c>
      <c r="AF1032">
        <v>1834</v>
      </c>
      <c r="AG1032">
        <v>1834.1467093700001</v>
      </c>
      <c r="AH1032">
        <v>127522.31987599999</v>
      </c>
      <c r="AI1032">
        <v>46</v>
      </c>
      <c r="AJ1032">
        <v>56385.505180975</v>
      </c>
      <c r="AK1032" s="1">
        <f>intersection_ss_Lden___surface[[#This Row],[surf m2 bout ss]]/intersection_ss_Lden___surface[[#This Row],[Shape_Area]]</f>
        <v>0.44216185241770284</v>
      </c>
      <c r="AL1032">
        <v>1431</v>
      </c>
      <c r="AM1032">
        <f>intersection_ss_Lden___surface[[#This Row],[Population totale 2024 ss]]*intersection_ss_Lden___surface[[#This Row],[Part de la surface du qs dans le noise contour]]</f>
        <v>632.7336108097328</v>
      </c>
    </row>
    <row r="1033" spans="1:39" x14ac:dyDescent="0.3">
      <c r="A1033">
        <v>1063</v>
      </c>
      <c r="B1033" t="s">
        <v>1460</v>
      </c>
      <c r="C1033" t="s">
        <v>1461</v>
      </c>
      <c r="D1033" t="s">
        <v>1462</v>
      </c>
      <c r="E1033" t="s">
        <v>1462</v>
      </c>
      <c r="F1033" t="s">
        <v>1459</v>
      </c>
      <c r="G1033" t="s">
        <v>1363</v>
      </c>
      <c r="H1033" t="s">
        <v>1364</v>
      </c>
      <c r="I1033" t="s">
        <v>1365</v>
      </c>
      <c r="J1033" t="s">
        <v>36</v>
      </c>
      <c r="K1033">
        <v>21019</v>
      </c>
      <c r="L1033" t="s">
        <v>1366</v>
      </c>
      <c r="M1033" t="s">
        <v>1367</v>
      </c>
      <c r="N1033" t="s">
        <v>1367</v>
      </c>
      <c r="O1033">
        <v>21000</v>
      </c>
      <c r="P1033" t="s">
        <v>46</v>
      </c>
      <c r="Q1033" t="s">
        <v>47</v>
      </c>
      <c r="R1033" t="s">
        <v>48</v>
      </c>
      <c r="T1033" t="s">
        <v>36</v>
      </c>
      <c r="U1033" t="s">
        <v>36</v>
      </c>
      <c r="V1033" t="s">
        <v>36</v>
      </c>
      <c r="W1033">
        <v>4000</v>
      </c>
      <c r="X1033" t="s">
        <v>49</v>
      </c>
      <c r="Y1033" t="s">
        <v>50</v>
      </c>
      <c r="Z1033" t="s">
        <v>51</v>
      </c>
      <c r="AA1033" t="s">
        <v>37</v>
      </c>
      <c r="AB1033" t="s">
        <v>52</v>
      </c>
      <c r="AC1033" t="s">
        <v>53</v>
      </c>
      <c r="AD1033" t="s">
        <v>54</v>
      </c>
      <c r="AE1033">
        <v>12.7520283152</v>
      </c>
      <c r="AF1033">
        <v>1834</v>
      </c>
      <c r="AG1033">
        <v>1834.1467093700001</v>
      </c>
      <c r="AH1033">
        <v>127522.31987599999</v>
      </c>
      <c r="AI1033">
        <v>47</v>
      </c>
      <c r="AJ1033">
        <v>71041.3979118844</v>
      </c>
      <c r="AK1033" s="1">
        <f>intersection_ss_Lden___surface[[#This Row],[surf m2 bout ss]]/intersection_ss_Lden___surface[[#This Row],[Shape_Area]]</f>
        <v>0.55708991164028032</v>
      </c>
      <c r="AL1033">
        <v>1431</v>
      </c>
      <c r="AM1033">
        <f>intersection_ss_Lden___surface[[#This Row],[Population totale 2024 ss]]*intersection_ss_Lden___surface[[#This Row],[Part de la surface du qs dans le noise contour]]</f>
        <v>797.19566355724112</v>
      </c>
    </row>
    <row r="1034" spans="1:39" x14ac:dyDescent="0.3">
      <c r="A1034">
        <v>1064</v>
      </c>
      <c r="B1034" t="s">
        <v>1460</v>
      </c>
      <c r="C1034" t="s">
        <v>1461</v>
      </c>
      <c r="D1034" t="s">
        <v>1462</v>
      </c>
      <c r="E1034" t="s">
        <v>1462</v>
      </c>
      <c r="F1034" t="s">
        <v>1459</v>
      </c>
      <c r="G1034" t="s">
        <v>1363</v>
      </c>
      <c r="H1034" t="s">
        <v>1364</v>
      </c>
      <c r="I1034" t="s">
        <v>1365</v>
      </c>
      <c r="J1034" t="s">
        <v>36</v>
      </c>
      <c r="K1034">
        <v>21019</v>
      </c>
      <c r="L1034" t="s">
        <v>1366</v>
      </c>
      <c r="M1034" t="s">
        <v>1367</v>
      </c>
      <c r="N1034" t="s">
        <v>1367</v>
      </c>
      <c r="O1034">
        <v>21000</v>
      </c>
      <c r="P1034" t="s">
        <v>46</v>
      </c>
      <c r="Q1034" t="s">
        <v>47</v>
      </c>
      <c r="R1034" t="s">
        <v>48</v>
      </c>
      <c r="T1034" t="s">
        <v>36</v>
      </c>
      <c r="U1034" t="s">
        <v>36</v>
      </c>
      <c r="V1034" t="s">
        <v>36</v>
      </c>
      <c r="W1034">
        <v>4000</v>
      </c>
      <c r="X1034" t="s">
        <v>49</v>
      </c>
      <c r="Y1034" t="s">
        <v>50</v>
      </c>
      <c r="Z1034" t="s">
        <v>51</v>
      </c>
      <c r="AA1034" t="s">
        <v>37</v>
      </c>
      <c r="AB1034" t="s">
        <v>52</v>
      </c>
      <c r="AC1034" t="s">
        <v>53</v>
      </c>
      <c r="AD1034" t="s">
        <v>54</v>
      </c>
      <c r="AE1034">
        <v>12.7520283152</v>
      </c>
      <c r="AF1034">
        <v>1834</v>
      </c>
      <c r="AG1034">
        <v>1834.1467093700001</v>
      </c>
      <c r="AH1034">
        <v>127522.31987599999</v>
      </c>
      <c r="AI1034">
        <v>48</v>
      </c>
      <c r="AJ1034">
        <v>108.234316986416</v>
      </c>
      <c r="AK1034" s="1">
        <f>intersection_ss_Lden___surface[[#This Row],[surf m2 bout ss]]/intersection_ss_Lden___surface[[#This Row],[Shape_Area]]</f>
        <v>8.487480238099555E-4</v>
      </c>
      <c r="AL1034">
        <v>1431</v>
      </c>
      <c r="AM1034">
        <f>intersection_ss_Lden___surface[[#This Row],[Population totale 2024 ss]]*intersection_ss_Lden___surface[[#This Row],[Part de la surface du qs dans le noise contour]]</f>
        <v>1.2145584220720462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2D7E-80CA-45CC-9947-D7343618207D}">
  <dimension ref="A1:AM614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5" width="51" bestFit="1" customWidth="1"/>
    <col min="6" max="7" width="9.44140625" bestFit="1" customWidth="1"/>
    <col min="8" max="9" width="46.109375" bestFit="1" customWidth="1"/>
    <col min="10" max="10" width="13.44140625" bestFit="1" customWidth="1"/>
    <col min="11" max="11" width="13.33203125" bestFit="1" customWidth="1"/>
    <col min="12" max="12" width="22.77734375" bestFit="1" customWidth="1"/>
    <col min="13" max="14" width="20.77734375" bestFit="1" customWidth="1"/>
    <col min="15" max="15" width="14.33203125" bestFit="1" customWidth="1"/>
    <col min="16" max="16" width="31.6640625" bestFit="1" customWidth="1"/>
    <col min="17" max="17" width="33.88671875" bestFit="1" customWidth="1"/>
    <col min="18" max="18" width="23.44140625" bestFit="1" customWidth="1"/>
    <col min="19" max="19" width="13.88671875" bestFit="1" customWidth="1"/>
    <col min="20" max="20" width="23.77734375" bestFit="1" customWidth="1"/>
    <col min="21" max="21" width="26.33203125" bestFit="1" customWidth="1"/>
    <col min="22" max="22" width="23.44140625" bestFit="1" customWidth="1"/>
    <col min="23" max="23" width="14.109375" bestFit="1" customWidth="1"/>
    <col min="24" max="24" width="28.21875" bestFit="1" customWidth="1"/>
    <col min="25" max="25" width="25.77734375" bestFit="1" customWidth="1"/>
    <col min="26" max="26" width="24.109375" bestFit="1" customWidth="1"/>
    <col min="27" max="27" width="14.109375" bestFit="1" customWidth="1"/>
    <col min="28" max="30" width="13.5546875" bestFit="1" customWidth="1"/>
    <col min="31" max="31" width="13.44140625" bestFit="1" customWidth="1"/>
    <col min="32" max="32" width="11.88671875" bestFit="1" customWidth="1"/>
    <col min="33" max="33" width="13.5546875" bestFit="1" customWidth="1"/>
    <col min="34" max="34" width="13.33203125" bestFit="1" customWidth="1"/>
    <col min="35" max="35" width="5.44140625" bestFit="1" customWidth="1"/>
    <col min="36" max="36" width="16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1463</v>
      </c>
      <c r="AL1" t="s">
        <v>1464</v>
      </c>
      <c r="AM1" t="s">
        <v>1465</v>
      </c>
    </row>
    <row r="2" spans="1:39" x14ac:dyDescent="0.3">
      <c r="A2">
        <v>14</v>
      </c>
      <c r="B2" t="s">
        <v>146</v>
      </c>
      <c r="C2" t="s">
        <v>147</v>
      </c>
      <c r="D2" t="s">
        <v>148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36</v>
      </c>
      <c r="K2">
        <v>21001</v>
      </c>
      <c r="L2" t="s">
        <v>45</v>
      </c>
      <c r="M2" t="s">
        <v>45</v>
      </c>
      <c r="N2" t="s">
        <v>45</v>
      </c>
      <c r="O2">
        <v>21000</v>
      </c>
      <c r="P2" t="s">
        <v>46</v>
      </c>
      <c r="Q2" t="s">
        <v>47</v>
      </c>
      <c r="R2" t="s">
        <v>48</v>
      </c>
      <c r="T2" t="s">
        <v>36</v>
      </c>
      <c r="U2" t="s">
        <v>36</v>
      </c>
      <c r="V2" t="s">
        <v>36</v>
      </c>
      <c r="W2">
        <v>4000</v>
      </c>
      <c r="X2" t="s">
        <v>49</v>
      </c>
      <c r="Y2" t="s">
        <v>50</v>
      </c>
      <c r="Z2" t="s">
        <v>51</v>
      </c>
      <c r="AA2" t="s">
        <v>37</v>
      </c>
      <c r="AB2" t="s">
        <v>52</v>
      </c>
      <c r="AC2" t="s">
        <v>53</v>
      </c>
      <c r="AD2" t="s">
        <v>54</v>
      </c>
      <c r="AE2">
        <v>14.187985876300001</v>
      </c>
      <c r="AF2">
        <v>1551</v>
      </c>
      <c r="AG2">
        <v>1551.36420086</v>
      </c>
      <c r="AH2">
        <v>141882.13873499999</v>
      </c>
      <c r="AI2">
        <v>40</v>
      </c>
      <c r="AJ2">
        <v>48650.869434368797</v>
      </c>
      <c r="AK2" s="1">
        <f>intersection_ss_Lnight___surface[[#This Row],[surf m2 bout ss]]/intersection_ss_Lnight___surface[[#This Row],[Shape_Area]]</f>
        <v>0.34289636361653908</v>
      </c>
      <c r="AL2">
        <v>2557</v>
      </c>
      <c r="AM2">
        <f>intersection_ss_Lnight___surface[[#This Row],[Population totale 2024 ss]]*intersection_ss_Lnight___surface[[#This Row],[Part de la surface du qs dans le noise contour]]</f>
        <v>876.78600176749046</v>
      </c>
    </row>
    <row r="3" spans="1:39" x14ac:dyDescent="0.3">
      <c r="A3">
        <v>15</v>
      </c>
      <c r="B3" t="s">
        <v>214</v>
      </c>
      <c r="C3" t="s">
        <v>215</v>
      </c>
      <c r="D3" t="s">
        <v>216</v>
      </c>
      <c r="E3" t="s">
        <v>216</v>
      </c>
      <c r="F3" t="s">
        <v>208</v>
      </c>
      <c r="G3" t="s">
        <v>209</v>
      </c>
      <c r="H3" t="s">
        <v>210</v>
      </c>
      <c r="I3" t="s">
        <v>211</v>
      </c>
      <c r="J3" t="s">
        <v>36</v>
      </c>
      <c r="K3">
        <v>21002</v>
      </c>
      <c r="L3" t="s">
        <v>212</v>
      </c>
      <c r="M3" t="s">
        <v>213</v>
      </c>
      <c r="N3" t="s">
        <v>213</v>
      </c>
      <c r="O3">
        <v>21000</v>
      </c>
      <c r="P3" t="s">
        <v>46</v>
      </c>
      <c r="Q3" t="s">
        <v>47</v>
      </c>
      <c r="R3" t="s">
        <v>48</v>
      </c>
      <c r="T3" t="s">
        <v>36</v>
      </c>
      <c r="U3" t="s">
        <v>36</v>
      </c>
      <c r="V3" t="s">
        <v>36</v>
      </c>
      <c r="W3">
        <v>4000</v>
      </c>
      <c r="X3" t="s">
        <v>49</v>
      </c>
      <c r="Y3" t="s">
        <v>50</v>
      </c>
      <c r="Z3" t="s">
        <v>51</v>
      </c>
      <c r="AA3" t="s">
        <v>37</v>
      </c>
      <c r="AB3" t="s">
        <v>52</v>
      </c>
      <c r="AC3" t="s">
        <v>53</v>
      </c>
      <c r="AD3" t="s">
        <v>54</v>
      </c>
      <c r="AE3">
        <v>29.270398893100001</v>
      </c>
      <c r="AF3">
        <v>2442</v>
      </c>
      <c r="AG3">
        <v>2441.8764543900002</v>
      </c>
      <c r="AH3">
        <v>292708.70771500003</v>
      </c>
      <c r="AI3">
        <v>40</v>
      </c>
      <c r="AJ3">
        <v>39023.874836627103</v>
      </c>
      <c r="AK3" s="1">
        <f>intersection_ss_Lnight___surface[[#This Row],[surf m2 bout ss]]/intersection_ss_Lnight___surface[[#This Row],[Shape_Area]]</f>
        <v>0.13331982892228561</v>
      </c>
      <c r="AL3">
        <v>0</v>
      </c>
      <c r="AM3">
        <f>intersection_ss_Lnight___surface[[#This Row],[Population totale 2024 ss]]*intersection_ss_Lnight___surface[[#This Row],[Part de la surface du qs dans le noise contour]]</f>
        <v>0</v>
      </c>
    </row>
    <row r="4" spans="1:39" x14ac:dyDescent="0.3">
      <c r="A4">
        <v>16</v>
      </c>
      <c r="B4" t="s">
        <v>214</v>
      </c>
      <c r="C4" t="s">
        <v>215</v>
      </c>
      <c r="D4" t="s">
        <v>216</v>
      </c>
      <c r="E4" t="s">
        <v>216</v>
      </c>
      <c r="F4" t="s">
        <v>208</v>
      </c>
      <c r="G4" t="s">
        <v>209</v>
      </c>
      <c r="H4" t="s">
        <v>210</v>
      </c>
      <c r="I4" t="s">
        <v>211</v>
      </c>
      <c r="J4" t="s">
        <v>36</v>
      </c>
      <c r="K4">
        <v>21002</v>
      </c>
      <c r="L4" t="s">
        <v>212</v>
      </c>
      <c r="M4" t="s">
        <v>213</v>
      </c>
      <c r="N4" t="s">
        <v>213</v>
      </c>
      <c r="O4">
        <v>21000</v>
      </c>
      <c r="P4" t="s">
        <v>46</v>
      </c>
      <c r="Q4" t="s">
        <v>47</v>
      </c>
      <c r="R4" t="s">
        <v>48</v>
      </c>
      <c r="T4" t="s">
        <v>36</v>
      </c>
      <c r="U4" t="s">
        <v>36</v>
      </c>
      <c r="V4" t="s">
        <v>36</v>
      </c>
      <c r="W4">
        <v>4000</v>
      </c>
      <c r="X4" t="s">
        <v>49</v>
      </c>
      <c r="Y4" t="s">
        <v>50</v>
      </c>
      <c r="Z4" t="s">
        <v>51</v>
      </c>
      <c r="AA4" t="s">
        <v>37</v>
      </c>
      <c r="AB4" t="s">
        <v>52</v>
      </c>
      <c r="AC4" t="s">
        <v>53</v>
      </c>
      <c r="AD4" t="s">
        <v>54</v>
      </c>
      <c r="AE4">
        <v>29.270398893100001</v>
      </c>
      <c r="AF4">
        <v>2442</v>
      </c>
      <c r="AG4">
        <v>2441.8764543900002</v>
      </c>
      <c r="AH4">
        <v>292708.70771500003</v>
      </c>
      <c r="AI4">
        <v>41</v>
      </c>
      <c r="AJ4">
        <v>5703.4757956261701</v>
      </c>
      <c r="AK4" s="1">
        <f>intersection_ss_Lnight___surface[[#This Row],[surf m2 bout ss]]/intersection_ss_Lnight___surface[[#This Row],[Shape_Area]]</f>
        <v>1.9485159290783517E-2</v>
      </c>
      <c r="AL4">
        <v>0</v>
      </c>
      <c r="AM4">
        <f>intersection_ss_Lnight___surface[[#This Row],[Population totale 2024 ss]]*intersection_ss_Lnight___surface[[#This Row],[Part de la surface du qs dans le noise contour]]</f>
        <v>0</v>
      </c>
    </row>
    <row r="5" spans="1:39" x14ac:dyDescent="0.3">
      <c r="A5">
        <v>17</v>
      </c>
      <c r="B5" t="s">
        <v>224</v>
      </c>
      <c r="C5" t="s">
        <v>225</v>
      </c>
      <c r="D5" t="s">
        <v>226</v>
      </c>
      <c r="E5" t="s">
        <v>226</v>
      </c>
      <c r="F5" t="s">
        <v>220</v>
      </c>
      <c r="G5" t="s">
        <v>209</v>
      </c>
      <c r="H5" t="s">
        <v>210</v>
      </c>
      <c r="I5" t="s">
        <v>211</v>
      </c>
      <c r="J5" t="s">
        <v>36</v>
      </c>
      <c r="K5">
        <v>21002</v>
      </c>
      <c r="L5" t="s">
        <v>212</v>
      </c>
      <c r="M5" t="s">
        <v>213</v>
      </c>
      <c r="N5" t="s">
        <v>213</v>
      </c>
      <c r="O5">
        <v>21000</v>
      </c>
      <c r="P5" t="s">
        <v>46</v>
      </c>
      <c r="Q5" t="s">
        <v>47</v>
      </c>
      <c r="R5" t="s">
        <v>48</v>
      </c>
      <c r="T5" t="s">
        <v>36</v>
      </c>
      <c r="U5" t="s">
        <v>36</v>
      </c>
      <c r="V5" t="s">
        <v>36</v>
      </c>
      <c r="W5">
        <v>4000</v>
      </c>
      <c r="X5" t="s">
        <v>49</v>
      </c>
      <c r="Y5" t="s">
        <v>50</v>
      </c>
      <c r="Z5" t="s">
        <v>51</v>
      </c>
      <c r="AA5" t="s">
        <v>37</v>
      </c>
      <c r="AB5" t="s">
        <v>52</v>
      </c>
      <c r="AC5" t="s">
        <v>53</v>
      </c>
      <c r="AD5" t="s">
        <v>54</v>
      </c>
      <c r="AE5">
        <v>90.702021159599994</v>
      </c>
      <c r="AF5">
        <v>6094</v>
      </c>
      <c r="AG5">
        <v>6093.9229699500002</v>
      </c>
      <c r="AH5">
        <v>907034.82473800005</v>
      </c>
      <c r="AI5">
        <v>40</v>
      </c>
      <c r="AJ5">
        <v>83095.741955692894</v>
      </c>
      <c r="AK5" s="1">
        <f>intersection_ss_Lnight___surface[[#This Row],[surf m2 bout ss]]/intersection_ss_Lnight___surface[[#This Row],[Shape_Area]]</f>
        <v>9.1612515516915641E-2</v>
      </c>
      <c r="AL5">
        <v>6</v>
      </c>
      <c r="AM5">
        <f>intersection_ss_Lnight___surface[[#This Row],[Population totale 2024 ss]]*intersection_ss_Lnight___surface[[#This Row],[Part de la surface du qs dans le noise contour]]</f>
        <v>0.54967509310149387</v>
      </c>
    </row>
    <row r="6" spans="1:39" x14ac:dyDescent="0.3">
      <c r="A6">
        <v>18</v>
      </c>
      <c r="B6" t="s">
        <v>224</v>
      </c>
      <c r="C6" t="s">
        <v>225</v>
      </c>
      <c r="D6" t="s">
        <v>226</v>
      </c>
      <c r="E6" t="s">
        <v>226</v>
      </c>
      <c r="F6" t="s">
        <v>220</v>
      </c>
      <c r="G6" t="s">
        <v>209</v>
      </c>
      <c r="H6" t="s">
        <v>210</v>
      </c>
      <c r="I6" t="s">
        <v>211</v>
      </c>
      <c r="J6" t="s">
        <v>36</v>
      </c>
      <c r="K6">
        <v>21002</v>
      </c>
      <c r="L6" t="s">
        <v>212</v>
      </c>
      <c r="M6" t="s">
        <v>213</v>
      </c>
      <c r="N6" t="s">
        <v>213</v>
      </c>
      <c r="O6">
        <v>21000</v>
      </c>
      <c r="P6" t="s">
        <v>46</v>
      </c>
      <c r="Q6" t="s">
        <v>47</v>
      </c>
      <c r="R6" t="s">
        <v>48</v>
      </c>
      <c r="T6" t="s">
        <v>36</v>
      </c>
      <c r="U6" t="s">
        <v>36</v>
      </c>
      <c r="V6" t="s">
        <v>36</v>
      </c>
      <c r="W6">
        <v>4000</v>
      </c>
      <c r="X6" t="s">
        <v>49</v>
      </c>
      <c r="Y6" t="s">
        <v>50</v>
      </c>
      <c r="Z6" t="s">
        <v>51</v>
      </c>
      <c r="AA6" t="s">
        <v>37</v>
      </c>
      <c r="AB6" t="s">
        <v>52</v>
      </c>
      <c r="AC6" t="s">
        <v>53</v>
      </c>
      <c r="AD6" t="s">
        <v>54</v>
      </c>
      <c r="AE6">
        <v>90.702021159599994</v>
      </c>
      <c r="AF6">
        <v>6094</v>
      </c>
      <c r="AG6">
        <v>6093.9229699500002</v>
      </c>
      <c r="AH6">
        <v>907034.82473800005</v>
      </c>
      <c r="AI6">
        <v>41</v>
      </c>
      <c r="AJ6">
        <v>58644.687897469099</v>
      </c>
      <c r="AK6" s="1">
        <f>intersection_ss_Lnight___surface[[#This Row],[surf m2 bout ss]]/intersection_ss_Lnight___surface[[#This Row],[Shape_Area]]</f>
        <v>6.4655387310414245E-2</v>
      </c>
      <c r="AL6">
        <v>6</v>
      </c>
      <c r="AM6">
        <f>intersection_ss_Lnight___surface[[#This Row],[Population totale 2024 ss]]*intersection_ss_Lnight___surface[[#This Row],[Part de la surface du qs dans le noise contour]]</f>
        <v>0.38793232386248544</v>
      </c>
    </row>
    <row r="7" spans="1:39" x14ac:dyDescent="0.3">
      <c r="A7">
        <v>19</v>
      </c>
      <c r="B7" t="s">
        <v>224</v>
      </c>
      <c r="C7" t="s">
        <v>225</v>
      </c>
      <c r="D7" t="s">
        <v>226</v>
      </c>
      <c r="E7" t="s">
        <v>226</v>
      </c>
      <c r="F7" t="s">
        <v>220</v>
      </c>
      <c r="G7" t="s">
        <v>209</v>
      </c>
      <c r="H7" t="s">
        <v>210</v>
      </c>
      <c r="I7" t="s">
        <v>211</v>
      </c>
      <c r="J7" t="s">
        <v>36</v>
      </c>
      <c r="K7">
        <v>21002</v>
      </c>
      <c r="L7" t="s">
        <v>212</v>
      </c>
      <c r="M7" t="s">
        <v>213</v>
      </c>
      <c r="N7" t="s">
        <v>213</v>
      </c>
      <c r="O7">
        <v>21000</v>
      </c>
      <c r="P7" t="s">
        <v>46</v>
      </c>
      <c r="Q7" t="s">
        <v>47</v>
      </c>
      <c r="R7" t="s">
        <v>48</v>
      </c>
      <c r="T7" t="s">
        <v>36</v>
      </c>
      <c r="U7" t="s">
        <v>36</v>
      </c>
      <c r="V7" t="s">
        <v>36</v>
      </c>
      <c r="W7">
        <v>4000</v>
      </c>
      <c r="X7" t="s">
        <v>49</v>
      </c>
      <c r="Y7" t="s">
        <v>50</v>
      </c>
      <c r="Z7" t="s">
        <v>51</v>
      </c>
      <c r="AA7" t="s">
        <v>37</v>
      </c>
      <c r="AB7" t="s">
        <v>52</v>
      </c>
      <c r="AC7" t="s">
        <v>53</v>
      </c>
      <c r="AD7" t="s">
        <v>54</v>
      </c>
      <c r="AE7">
        <v>90.702021159599994</v>
      </c>
      <c r="AF7">
        <v>6094</v>
      </c>
      <c r="AG7">
        <v>6093.9229699500002</v>
      </c>
      <c r="AH7">
        <v>907034.82473800005</v>
      </c>
      <c r="AI7">
        <v>42</v>
      </c>
      <c r="AJ7">
        <v>34944.989341546599</v>
      </c>
      <c r="AK7" s="1">
        <f>intersection_ss_Lnight___surface[[#This Row],[surf m2 bout ss]]/intersection_ss_Lnight___surface[[#This Row],[Shape_Area]]</f>
        <v>3.8526623662592636E-2</v>
      </c>
      <c r="AL7">
        <v>6</v>
      </c>
      <c r="AM7">
        <f>intersection_ss_Lnight___surface[[#This Row],[Population totale 2024 ss]]*intersection_ss_Lnight___surface[[#This Row],[Part de la surface du qs dans le noise contour]]</f>
        <v>0.23115974197555583</v>
      </c>
    </row>
    <row r="8" spans="1:39" x14ac:dyDescent="0.3">
      <c r="A8">
        <v>20</v>
      </c>
      <c r="B8" t="s">
        <v>224</v>
      </c>
      <c r="C8" t="s">
        <v>225</v>
      </c>
      <c r="D8" t="s">
        <v>226</v>
      </c>
      <c r="E8" t="s">
        <v>226</v>
      </c>
      <c r="F8" t="s">
        <v>220</v>
      </c>
      <c r="G8" t="s">
        <v>209</v>
      </c>
      <c r="H8" t="s">
        <v>210</v>
      </c>
      <c r="I8" t="s">
        <v>211</v>
      </c>
      <c r="J8" t="s">
        <v>36</v>
      </c>
      <c r="K8">
        <v>21002</v>
      </c>
      <c r="L8" t="s">
        <v>212</v>
      </c>
      <c r="M8" t="s">
        <v>213</v>
      </c>
      <c r="N8" t="s">
        <v>213</v>
      </c>
      <c r="O8">
        <v>21000</v>
      </c>
      <c r="P8" t="s">
        <v>46</v>
      </c>
      <c r="Q8" t="s">
        <v>47</v>
      </c>
      <c r="R8" t="s">
        <v>48</v>
      </c>
      <c r="T8" t="s">
        <v>36</v>
      </c>
      <c r="U8" t="s">
        <v>36</v>
      </c>
      <c r="V8" t="s">
        <v>36</v>
      </c>
      <c r="W8">
        <v>4000</v>
      </c>
      <c r="X8" t="s">
        <v>49</v>
      </c>
      <c r="Y8" t="s">
        <v>50</v>
      </c>
      <c r="Z8" t="s">
        <v>51</v>
      </c>
      <c r="AA8" t="s">
        <v>37</v>
      </c>
      <c r="AB8" t="s">
        <v>52</v>
      </c>
      <c r="AC8" t="s">
        <v>53</v>
      </c>
      <c r="AD8" t="s">
        <v>54</v>
      </c>
      <c r="AE8">
        <v>90.702021159599994</v>
      </c>
      <c r="AF8">
        <v>6094</v>
      </c>
      <c r="AG8">
        <v>6093.9229699500002</v>
      </c>
      <c r="AH8">
        <v>907034.82473800005</v>
      </c>
      <c r="AI8">
        <v>43</v>
      </c>
      <c r="AJ8">
        <v>10645.2731090619</v>
      </c>
      <c r="AK8" s="1">
        <f>intersection_ss_Lnight___surface[[#This Row],[surf m2 bout ss]]/intersection_ss_Lnight___surface[[#This Row],[Shape_Area]]</f>
        <v>1.1736344425515109E-2</v>
      </c>
      <c r="AL8">
        <v>6</v>
      </c>
      <c r="AM8">
        <f>intersection_ss_Lnight___surface[[#This Row],[Population totale 2024 ss]]*intersection_ss_Lnight___surface[[#This Row],[Part de la surface du qs dans le noise contour]]</f>
        <v>7.0418066553090658E-2</v>
      </c>
    </row>
    <row r="9" spans="1:39" x14ac:dyDescent="0.3">
      <c r="A9">
        <v>21</v>
      </c>
      <c r="B9" t="s">
        <v>227</v>
      </c>
      <c r="C9" t="s">
        <v>228</v>
      </c>
      <c r="D9" t="s">
        <v>229</v>
      </c>
      <c r="E9" t="s">
        <v>229</v>
      </c>
      <c r="F9" t="s">
        <v>220</v>
      </c>
      <c r="G9" t="s">
        <v>209</v>
      </c>
      <c r="H9" t="s">
        <v>210</v>
      </c>
      <c r="I9" t="s">
        <v>211</v>
      </c>
      <c r="J9" t="s">
        <v>36</v>
      </c>
      <c r="K9">
        <v>21002</v>
      </c>
      <c r="L9" t="s">
        <v>212</v>
      </c>
      <c r="M9" t="s">
        <v>213</v>
      </c>
      <c r="N9" t="s">
        <v>213</v>
      </c>
      <c r="O9">
        <v>21000</v>
      </c>
      <c r="P9" t="s">
        <v>46</v>
      </c>
      <c r="Q9" t="s">
        <v>47</v>
      </c>
      <c r="R9" t="s">
        <v>48</v>
      </c>
      <c r="T9" t="s">
        <v>36</v>
      </c>
      <c r="U9" t="s">
        <v>36</v>
      </c>
      <c r="V9" t="s">
        <v>36</v>
      </c>
      <c r="W9">
        <v>4000</v>
      </c>
      <c r="X9" t="s">
        <v>49</v>
      </c>
      <c r="Y9" t="s">
        <v>50</v>
      </c>
      <c r="Z9" t="s">
        <v>51</v>
      </c>
      <c r="AA9" t="s">
        <v>37</v>
      </c>
      <c r="AB9" t="s">
        <v>52</v>
      </c>
      <c r="AC9" t="s">
        <v>53</v>
      </c>
      <c r="AD9" t="s">
        <v>54</v>
      </c>
      <c r="AE9">
        <v>279.46574594499998</v>
      </c>
      <c r="AF9">
        <v>8845</v>
      </c>
      <c r="AG9">
        <v>8845.0382314100007</v>
      </c>
      <c r="AH9">
        <v>2794702.5190900001</v>
      </c>
      <c r="AI9">
        <v>40</v>
      </c>
      <c r="AJ9">
        <v>308300.53037446103</v>
      </c>
      <c r="AK9" s="1">
        <f>intersection_ss_Lnight___surface[[#This Row],[surf m2 bout ss]]/intersection_ss_Lnight___surface[[#This Row],[Shape_Area]]</f>
        <v>0.11031604554278236</v>
      </c>
      <c r="AL9">
        <v>50</v>
      </c>
      <c r="AM9">
        <f>intersection_ss_Lnight___surface[[#This Row],[Population totale 2024 ss]]*intersection_ss_Lnight___surface[[#This Row],[Part de la surface du qs dans le noise contour]]</f>
        <v>5.5158022771391177</v>
      </c>
    </row>
    <row r="10" spans="1:39" x14ac:dyDescent="0.3">
      <c r="A10">
        <v>22</v>
      </c>
      <c r="B10" t="s">
        <v>227</v>
      </c>
      <c r="C10" t="s">
        <v>228</v>
      </c>
      <c r="D10" t="s">
        <v>229</v>
      </c>
      <c r="E10" t="s">
        <v>229</v>
      </c>
      <c r="F10" t="s">
        <v>220</v>
      </c>
      <c r="G10" t="s">
        <v>209</v>
      </c>
      <c r="H10" t="s">
        <v>210</v>
      </c>
      <c r="I10" t="s">
        <v>211</v>
      </c>
      <c r="J10" t="s">
        <v>36</v>
      </c>
      <c r="K10">
        <v>21002</v>
      </c>
      <c r="L10" t="s">
        <v>212</v>
      </c>
      <c r="M10" t="s">
        <v>213</v>
      </c>
      <c r="N10" t="s">
        <v>213</v>
      </c>
      <c r="O10">
        <v>21000</v>
      </c>
      <c r="P10" t="s">
        <v>46</v>
      </c>
      <c r="Q10" t="s">
        <v>47</v>
      </c>
      <c r="R10" t="s">
        <v>48</v>
      </c>
      <c r="T10" t="s">
        <v>36</v>
      </c>
      <c r="U10" t="s">
        <v>36</v>
      </c>
      <c r="V10" t="s">
        <v>36</v>
      </c>
      <c r="W10">
        <v>4000</v>
      </c>
      <c r="X10" t="s">
        <v>49</v>
      </c>
      <c r="Y10" t="s">
        <v>50</v>
      </c>
      <c r="Z10" t="s">
        <v>51</v>
      </c>
      <c r="AA10" t="s">
        <v>37</v>
      </c>
      <c r="AB10" t="s">
        <v>52</v>
      </c>
      <c r="AC10" t="s">
        <v>53</v>
      </c>
      <c r="AD10" t="s">
        <v>54</v>
      </c>
      <c r="AE10">
        <v>279.46574594499998</v>
      </c>
      <c r="AF10">
        <v>8845</v>
      </c>
      <c r="AG10">
        <v>8845.0382314100007</v>
      </c>
      <c r="AH10">
        <v>2794702.5190900001</v>
      </c>
      <c r="AI10">
        <v>41</v>
      </c>
      <c r="AJ10">
        <v>427590.54952780402</v>
      </c>
      <c r="AK10" s="1">
        <f>intersection_ss_Lnight___surface[[#This Row],[surf m2 bout ss]]/intersection_ss_Lnight___surface[[#This Row],[Shape_Area]]</f>
        <v>0.15300038075860553</v>
      </c>
      <c r="AL10">
        <v>50</v>
      </c>
      <c r="AM10">
        <f>intersection_ss_Lnight___surface[[#This Row],[Population totale 2024 ss]]*intersection_ss_Lnight___surface[[#This Row],[Part de la surface du qs dans le noise contour]]</f>
        <v>7.6500190379302762</v>
      </c>
    </row>
    <row r="11" spans="1:39" x14ac:dyDescent="0.3">
      <c r="A11">
        <v>23</v>
      </c>
      <c r="B11" t="s">
        <v>227</v>
      </c>
      <c r="C11" t="s">
        <v>228</v>
      </c>
      <c r="D11" t="s">
        <v>229</v>
      </c>
      <c r="E11" t="s">
        <v>229</v>
      </c>
      <c r="F11" t="s">
        <v>220</v>
      </c>
      <c r="G11" t="s">
        <v>209</v>
      </c>
      <c r="H11" t="s">
        <v>210</v>
      </c>
      <c r="I11" t="s">
        <v>211</v>
      </c>
      <c r="J11" t="s">
        <v>36</v>
      </c>
      <c r="K11">
        <v>21002</v>
      </c>
      <c r="L11" t="s">
        <v>212</v>
      </c>
      <c r="M11" t="s">
        <v>213</v>
      </c>
      <c r="N11" t="s">
        <v>213</v>
      </c>
      <c r="O11">
        <v>21000</v>
      </c>
      <c r="P11" t="s">
        <v>46</v>
      </c>
      <c r="Q11" t="s">
        <v>47</v>
      </c>
      <c r="R11" t="s">
        <v>48</v>
      </c>
      <c r="T11" t="s">
        <v>36</v>
      </c>
      <c r="U11" t="s">
        <v>36</v>
      </c>
      <c r="V11" t="s">
        <v>36</v>
      </c>
      <c r="W11">
        <v>4000</v>
      </c>
      <c r="X11" t="s">
        <v>49</v>
      </c>
      <c r="Y11" t="s">
        <v>50</v>
      </c>
      <c r="Z11" t="s">
        <v>51</v>
      </c>
      <c r="AA11" t="s">
        <v>37</v>
      </c>
      <c r="AB11" t="s">
        <v>52</v>
      </c>
      <c r="AC11" t="s">
        <v>53</v>
      </c>
      <c r="AD11" t="s">
        <v>54</v>
      </c>
      <c r="AE11">
        <v>279.46574594499998</v>
      </c>
      <c r="AF11">
        <v>8845</v>
      </c>
      <c r="AG11">
        <v>8845.0382314100007</v>
      </c>
      <c r="AH11">
        <v>2794702.5190900001</v>
      </c>
      <c r="AI11">
        <v>42</v>
      </c>
      <c r="AJ11">
        <v>525802.81494346797</v>
      </c>
      <c r="AK11" s="1">
        <f>intersection_ss_Lnight___surface[[#This Row],[surf m2 bout ss]]/intersection_ss_Lnight___surface[[#This Row],[Shape_Area]]</f>
        <v>0.18814267756651173</v>
      </c>
      <c r="AL11">
        <v>50</v>
      </c>
      <c r="AM11">
        <f>intersection_ss_Lnight___surface[[#This Row],[Population totale 2024 ss]]*intersection_ss_Lnight___surface[[#This Row],[Part de la surface du qs dans le noise contour]]</f>
        <v>9.4071338783255865</v>
      </c>
    </row>
    <row r="12" spans="1:39" x14ac:dyDescent="0.3">
      <c r="A12">
        <v>24</v>
      </c>
      <c r="B12" t="s">
        <v>341</v>
      </c>
      <c r="C12" t="s">
        <v>342</v>
      </c>
      <c r="D12" t="s">
        <v>343</v>
      </c>
      <c r="E12" t="s">
        <v>343</v>
      </c>
      <c r="F12" t="s">
        <v>344</v>
      </c>
      <c r="G12" t="s">
        <v>306</v>
      </c>
      <c r="H12" t="s">
        <v>307</v>
      </c>
      <c r="I12" t="s">
        <v>308</v>
      </c>
      <c r="J12" t="s">
        <v>36</v>
      </c>
      <c r="K12">
        <v>21004</v>
      </c>
      <c r="L12" t="s">
        <v>309</v>
      </c>
      <c r="M12" t="s">
        <v>310</v>
      </c>
      <c r="N12" t="s">
        <v>311</v>
      </c>
      <c r="O12">
        <v>21000</v>
      </c>
      <c r="P12" t="s">
        <v>46</v>
      </c>
      <c r="Q12" t="s">
        <v>47</v>
      </c>
      <c r="R12" t="s">
        <v>48</v>
      </c>
      <c r="T12" t="s">
        <v>36</v>
      </c>
      <c r="U12" t="s">
        <v>36</v>
      </c>
      <c r="V12" t="s">
        <v>36</v>
      </c>
      <c r="W12">
        <v>4000</v>
      </c>
      <c r="X12" t="s">
        <v>49</v>
      </c>
      <c r="Y12" t="s">
        <v>50</v>
      </c>
      <c r="Z12" t="s">
        <v>51</v>
      </c>
      <c r="AA12" t="s">
        <v>37</v>
      </c>
      <c r="AB12" t="s">
        <v>52</v>
      </c>
      <c r="AC12" t="s">
        <v>53</v>
      </c>
      <c r="AD12" t="s">
        <v>54</v>
      </c>
      <c r="AE12">
        <v>13.8494593512</v>
      </c>
      <c r="AF12">
        <v>1907</v>
      </c>
      <c r="AG12">
        <v>1907.0380585800001</v>
      </c>
      <c r="AH12">
        <v>138496.82376900001</v>
      </c>
      <c r="AI12">
        <v>40</v>
      </c>
      <c r="AJ12">
        <v>55099.359975912899</v>
      </c>
      <c r="AK12" s="1">
        <f>intersection_ss_Lnight___surface[[#This Row],[surf m2 bout ss]]/intersection_ss_Lnight___surface[[#This Row],[Shape_Area]]</f>
        <v>0.397838437564558</v>
      </c>
      <c r="AL12">
        <v>2464</v>
      </c>
      <c r="AM12">
        <f>intersection_ss_Lnight___surface[[#This Row],[Population totale 2024 ss]]*intersection_ss_Lnight___surface[[#This Row],[Part de la surface du qs dans le noise contour]]</f>
        <v>980.27391015907097</v>
      </c>
    </row>
    <row r="13" spans="1:39" x14ac:dyDescent="0.3">
      <c r="A13">
        <v>25</v>
      </c>
      <c r="B13" t="s">
        <v>348</v>
      </c>
      <c r="C13" t="s">
        <v>349</v>
      </c>
      <c r="D13" t="s">
        <v>350</v>
      </c>
      <c r="E13" t="s">
        <v>350</v>
      </c>
      <c r="F13" t="s">
        <v>344</v>
      </c>
      <c r="G13" t="s">
        <v>306</v>
      </c>
      <c r="H13" t="s">
        <v>307</v>
      </c>
      <c r="I13" t="s">
        <v>308</v>
      </c>
      <c r="J13" t="s">
        <v>36</v>
      </c>
      <c r="K13">
        <v>21004</v>
      </c>
      <c r="L13" t="s">
        <v>309</v>
      </c>
      <c r="M13" t="s">
        <v>310</v>
      </c>
      <c r="N13" t="s">
        <v>311</v>
      </c>
      <c r="O13">
        <v>21000</v>
      </c>
      <c r="P13" t="s">
        <v>46</v>
      </c>
      <c r="Q13" t="s">
        <v>47</v>
      </c>
      <c r="R13" t="s">
        <v>48</v>
      </c>
      <c r="T13" t="s">
        <v>36</v>
      </c>
      <c r="U13" t="s">
        <v>36</v>
      </c>
      <c r="V13" t="s">
        <v>36</v>
      </c>
      <c r="W13">
        <v>4000</v>
      </c>
      <c r="X13" t="s">
        <v>49</v>
      </c>
      <c r="Y13" t="s">
        <v>50</v>
      </c>
      <c r="Z13" t="s">
        <v>51</v>
      </c>
      <c r="AA13" t="s">
        <v>37</v>
      </c>
      <c r="AB13" t="s">
        <v>52</v>
      </c>
      <c r="AC13" t="s">
        <v>53</v>
      </c>
      <c r="AD13" t="s">
        <v>54</v>
      </c>
      <c r="AE13">
        <v>19.9387034023</v>
      </c>
      <c r="AF13">
        <v>2093</v>
      </c>
      <c r="AG13">
        <v>2092.5957451899999</v>
      </c>
      <c r="AH13">
        <v>199390.237364</v>
      </c>
      <c r="AI13">
        <v>40</v>
      </c>
      <c r="AJ13">
        <v>123639.134857995</v>
      </c>
      <c r="AK13" s="1">
        <f>intersection_ss_Lnight___surface[[#This Row],[surf m2 bout ss]]/intersection_ss_Lnight___surface[[#This Row],[Shape_Area]]</f>
        <v>0.62008620127315273</v>
      </c>
      <c r="AL13">
        <v>3807</v>
      </c>
      <c r="AM13">
        <f>intersection_ss_Lnight___surface[[#This Row],[Population totale 2024 ss]]*intersection_ss_Lnight___surface[[#This Row],[Part de la surface du qs dans le noise contour]]</f>
        <v>2360.6681682468925</v>
      </c>
    </row>
    <row r="14" spans="1:39" x14ac:dyDescent="0.3">
      <c r="A14">
        <v>26</v>
      </c>
      <c r="B14" t="s">
        <v>351</v>
      </c>
      <c r="C14" t="s">
        <v>352</v>
      </c>
      <c r="D14" t="s">
        <v>353</v>
      </c>
      <c r="E14" t="s">
        <v>353</v>
      </c>
      <c r="F14" t="s">
        <v>344</v>
      </c>
      <c r="G14" t="s">
        <v>306</v>
      </c>
      <c r="H14" t="s">
        <v>307</v>
      </c>
      <c r="I14" t="s">
        <v>308</v>
      </c>
      <c r="J14" t="s">
        <v>36</v>
      </c>
      <c r="K14">
        <v>21004</v>
      </c>
      <c r="L14" t="s">
        <v>309</v>
      </c>
      <c r="M14" t="s">
        <v>310</v>
      </c>
      <c r="N14" t="s">
        <v>311</v>
      </c>
      <c r="O14">
        <v>21000</v>
      </c>
      <c r="P14" t="s">
        <v>46</v>
      </c>
      <c r="Q14" t="s">
        <v>47</v>
      </c>
      <c r="R14" t="s">
        <v>48</v>
      </c>
      <c r="T14" t="s">
        <v>36</v>
      </c>
      <c r="U14" t="s">
        <v>36</v>
      </c>
      <c r="V14" t="s">
        <v>36</v>
      </c>
      <c r="W14">
        <v>4000</v>
      </c>
      <c r="X14" t="s">
        <v>49</v>
      </c>
      <c r="Y14" t="s">
        <v>50</v>
      </c>
      <c r="Z14" t="s">
        <v>51</v>
      </c>
      <c r="AA14" t="s">
        <v>37</v>
      </c>
      <c r="AB14" t="s">
        <v>52</v>
      </c>
      <c r="AC14" t="s">
        <v>53</v>
      </c>
      <c r="AD14" t="s">
        <v>54</v>
      </c>
      <c r="AE14">
        <v>20.459859886099999</v>
      </c>
      <c r="AF14">
        <v>1870</v>
      </c>
      <c r="AG14">
        <v>1869.6854401600001</v>
      </c>
      <c r="AH14">
        <v>204601.87231199999</v>
      </c>
      <c r="AI14">
        <v>40</v>
      </c>
      <c r="AJ14">
        <v>177158.10810487001</v>
      </c>
      <c r="AK14" s="1">
        <f>intersection_ss_Lnight___surface[[#This Row],[surf m2 bout ss]]/intersection_ss_Lnight___surface[[#This Row],[Shape_Area]]</f>
        <v>0.86586748255519075</v>
      </c>
      <c r="AL14">
        <v>2991</v>
      </c>
      <c r="AM14">
        <f>intersection_ss_Lnight___surface[[#This Row],[Population totale 2024 ss]]*intersection_ss_Lnight___surface[[#This Row],[Part de la surface du qs dans le noise contour]]</f>
        <v>2589.8096403225754</v>
      </c>
    </row>
    <row r="15" spans="1:39" x14ac:dyDescent="0.3">
      <c r="A15">
        <v>27</v>
      </c>
      <c r="B15" t="s">
        <v>351</v>
      </c>
      <c r="C15" t="s">
        <v>352</v>
      </c>
      <c r="D15" t="s">
        <v>353</v>
      </c>
      <c r="E15" t="s">
        <v>353</v>
      </c>
      <c r="F15" t="s">
        <v>344</v>
      </c>
      <c r="G15" t="s">
        <v>306</v>
      </c>
      <c r="H15" t="s">
        <v>307</v>
      </c>
      <c r="I15" t="s">
        <v>308</v>
      </c>
      <c r="J15" t="s">
        <v>36</v>
      </c>
      <c r="K15">
        <v>21004</v>
      </c>
      <c r="L15" t="s">
        <v>309</v>
      </c>
      <c r="M15" t="s">
        <v>310</v>
      </c>
      <c r="N15" t="s">
        <v>311</v>
      </c>
      <c r="O15">
        <v>21000</v>
      </c>
      <c r="P15" t="s">
        <v>46</v>
      </c>
      <c r="Q15" t="s">
        <v>47</v>
      </c>
      <c r="R15" t="s">
        <v>48</v>
      </c>
      <c r="T15" t="s">
        <v>36</v>
      </c>
      <c r="U15" t="s">
        <v>36</v>
      </c>
      <c r="V15" t="s">
        <v>36</v>
      </c>
      <c r="W15">
        <v>4000</v>
      </c>
      <c r="X15" t="s">
        <v>49</v>
      </c>
      <c r="Y15" t="s">
        <v>50</v>
      </c>
      <c r="Z15" t="s">
        <v>51</v>
      </c>
      <c r="AA15" t="s">
        <v>37</v>
      </c>
      <c r="AB15" t="s">
        <v>52</v>
      </c>
      <c r="AC15" t="s">
        <v>53</v>
      </c>
      <c r="AD15" t="s">
        <v>54</v>
      </c>
      <c r="AE15">
        <v>20.459859886099999</v>
      </c>
      <c r="AF15">
        <v>1870</v>
      </c>
      <c r="AG15">
        <v>1869.6854401600001</v>
      </c>
      <c r="AH15">
        <v>204601.87231199999</v>
      </c>
      <c r="AI15">
        <v>41</v>
      </c>
      <c r="AJ15">
        <v>25436.943488041401</v>
      </c>
      <c r="AK15" s="1">
        <f>intersection_ss_Lnight___surface[[#This Row],[surf m2 bout ss]]/intersection_ss_Lnight___surface[[#This Row],[Shape_Area]]</f>
        <v>0.12432409928904406</v>
      </c>
      <c r="AL15">
        <v>2991</v>
      </c>
      <c r="AM15">
        <f>intersection_ss_Lnight___surface[[#This Row],[Population totale 2024 ss]]*intersection_ss_Lnight___surface[[#This Row],[Part de la surface du qs dans le noise contour]]</f>
        <v>371.85338097353076</v>
      </c>
    </row>
    <row r="16" spans="1:39" x14ac:dyDescent="0.3">
      <c r="A16">
        <v>28</v>
      </c>
      <c r="B16" t="s">
        <v>354</v>
      </c>
      <c r="C16" t="s">
        <v>355</v>
      </c>
      <c r="D16" t="s">
        <v>356</v>
      </c>
      <c r="E16" t="s">
        <v>356</v>
      </c>
      <c r="F16" t="s">
        <v>344</v>
      </c>
      <c r="G16" t="s">
        <v>306</v>
      </c>
      <c r="H16" t="s">
        <v>307</v>
      </c>
      <c r="I16" t="s">
        <v>308</v>
      </c>
      <c r="J16" t="s">
        <v>36</v>
      </c>
      <c r="K16">
        <v>21004</v>
      </c>
      <c r="L16" t="s">
        <v>309</v>
      </c>
      <c r="M16" t="s">
        <v>310</v>
      </c>
      <c r="N16" t="s">
        <v>311</v>
      </c>
      <c r="O16">
        <v>21000</v>
      </c>
      <c r="P16" t="s">
        <v>46</v>
      </c>
      <c r="Q16" t="s">
        <v>47</v>
      </c>
      <c r="R16" t="s">
        <v>48</v>
      </c>
      <c r="T16" t="s">
        <v>36</v>
      </c>
      <c r="U16" t="s">
        <v>36</v>
      </c>
      <c r="V16" t="s">
        <v>36</v>
      </c>
      <c r="W16">
        <v>4000</v>
      </c>
      <c r="X16" t="s">
        <v>49</v>
      </c>
      <c r="Y16" t="s">
        <v>50</v>
      </c>
      <c r="Z16" t="s">
        <v>51</v>
      </c>
      <c r="AA16" t="s">
        <v>37</v>
      </c>
      <c r="AB16" t="s">
        <v>52</v>
      </c>
      <c r="AC16" t="s">
        <v>53</v>
      </c>
      <c r="AD16" t="s">
        <v>54</v>
      </c>
      <c r="AE16">
        <v>18.962739763599998</v>
      </c>
      <c r="AF16">
        <v>2053</v>
      </c>
      <c r="AG16">
        <v>2053.0672626099999</v>
      </c>
      <c r="AH16">
        <v>189630.44932399999</v>
      </c>
      <c r="AI16">
        <v>40</v>
      </c>
      <c r="AJ16">
        <v>62317.891895141896</v>
      </c>
      <c r="AK16" s="1">
        <f>intersection_ss_Lnight___surface[[#This Row],[surf m2 bout ss]]/intersection_ss_Lnight___surface[[#This Row],[Shape_Area]]</f>
        <v>0.3286280875107056</v>
      </c>
      <c r="AL16">
        <v>3487</v>
      </c>
      <c r="AM16">
        <f>intersection_ss_Lnight___surface[[#This Row],[Population totale 2024 ss]]*intersection_ss_Lnight___surface[[#This Row],[Part de la surface du qs dans le noise contour]]</f>
        <v>1145.9261411498305</v>
      </c>
    </row>
    <row r="17" spans="1:39" x14ac:dyDescent="0.3">
      <c r="A17">
        <v>29</v>
      </c>
      <c r="B17" t="s">
        <v>354</v>
      </c>
      <c r="C17" t="s">
        <v>355</v>
      </c>
      <c r="D17" t="s">
        <v>356</v>
      </c>
      <c r="E17" t="s">
        <v>356</v>
      </c>
      <c r="F17" t="s">
        <v>344</v>
      </c>
      <c r="G17" t="s">
        <v>306</v>
      </c>
      <c r="H17" t="s">
        <v>307</v>
      </c>
      <c r="I17" t="s">
        <v>308</v>
      </c>
      <c r="J17" t="s">
        <v>36</v>
      </c>
      <c r="K17">
        <v>21004</v>
      </c>
      <c r="L17" t="s">
        <v>309</v>
      </c>
      <c r="M17" t="s">
        <v>310</v>
      </c>
      <c r="N17" t="s">
        <v>311</v>
      </c>
      <c r="O17">
        <v>21000</v>
      </c>
      <c r="P17" t="s">
        <v>46</v>
      </c>
      <c r="Q17" t="s">
        <v>47</v>
      </c>
      <c r="R17" t="s">
        <v>48</v>
      </c>
      <c r="T17" t="s">
        <v>36</v>
      </c>
      <c r="U17" t="s">
        <v>36</v>
      </c>
      <c r="V17" t="s">
        <v>36</v>
      </c>
      <c r="W17">
        <v>4000</v>
      </c>
      <c r="X17" t="s">
        <v>49</v>
      </c>
      <c r="Y17" t="s">
        <v>50</v>
      </c>
      <c r="Z17" t="s">
        <v>51</v>
      </c>
      <c r="AA17" t="s">
        <v>37</v>
      </c>
      <c r="AB17" t="s">
        <v>52</v>
      </c>
      <c r="AC17" t="s">
        <v>53</v>
      </c>
      <c r="AD17" t="s">
        <v>54</v>
      </c>
      <c r="AE17">
        <v>18.962739763599998</v>
      </c>
      <c r="AF17">
        <v>2053</v>
      </c>
      <c r="AG17">
        <v>2053.0672626099999</v>
      </c>
      <c r="AH17">
        <v>189630.44932399999</v>
      </c>
      <c r="AI17">
        <v>41</v>
      </c>
      <c r="AJ17">
        <v>127303.748720257</v>
      </c>
      <c r="AK17" s="1">
        <f>intersection_ss_Lnight___surface[[#This Row],[surf m2 bout ss]]/intersection_ss_Lnight___surface[[#This Row],[Shape_Area]]</f>
        <v>0.67132546051582442</v>
      </c>
      <c r="AL17">
        <v>3487</v>
      </c>
      <c r="AM17">
        <f>intersection_ss_Lnight___surface[[#This Row],[Population totale 2024 ss]]*intersection_ss_Lnight___surface[[#This Row],[Part de la surface du qs dans le noise contour]]</f>
        <v>2340.9118808186799</v>
      </c>
    </row>
    <row r="18" spans="1:39" x14ac:dyDescent="0.3">
      <c r="A18">
        <v>30</v>
      </c>
      <c r="B18" t="s">
        <v>354</v>
      </c>
      <c r="C18" t="s">
        <v>355</v>
      </c>
      <c r="D18" t="s">
        <v>356</v>
      </c>
      <c r="E18" t="s">
        <v>356</v>
      </c>
      <c r="F18" t="s">
        <v>344</v>
      </c>
      <c r="G18" t="s">
        <v>306</v>
      </c>
      <c r="H18" t="s">
        <v>307</v>
      </c>
      <c r="I18" t="s">
        <v>308</v>
      </c>
      <c r="J18" t="s">
        <v>36</v>
      </c>
      <c r="K18">
        <v>21004</v>
      </c>
      <c r="L18" t="s">
        <v>309</v>
      </c>
      <c r="M18" t="s">
        <v>310</v>
      </c>
      <c r="N18" t="s">
        <v>311</v>
      </c>
      <c r="O18">
        <v>21000</v>
      </c>
      <c r="P18" t="s">
        <v>46</v>
      </c>
      <c r="Q18" t="s">
        <v>47</v>
      </c>
      <c r="R18" t="s">
        <v>48</v>
      </c>
      <c r="T18" t="s">
        <v>36</v>
      </c>
      <c r="U18" t="s">
        <v>36</v>
      </c>
      <c r="V18" t="s">
        <v>36</v>
      </c>
      <c r="W18">
        <v>4000</v>
      </c>
      <c r="X18" t="s">
        <v>49</v>
      </c>
      <c r="Y18" t="s">
        <v>50</v>
      </c>
      <c r="Z18" t="s">
        <v>51</v>
      </c>
      <c r="AA18" t="s">
        <v>37</v>
      </c>
      <c r="AB18" t="s">
        <v>52</v>
      </c>
      <c r="AC18" t="s">
        <v>53</v>
      </c>
      <c r="AD18" t="s">
        <v>54</v>
      </c>
      <c r="AE18">
        <v>18.962739763599998</v>
      </c>
      <c r="AF18">
        <v>2053</v>
      </c>
      <c r="AG18">
        <v>2053.0672626099999</v>
      </c>
      <c r="AH18">
        <v>189630.44932399999</v>
      </c>
      <c r="AI18">
        <v>42</v>
      </c>
      <c r="AJ18">
        <v>27.250226480147798</v>
      </c>
      <c r="AK18" s="1">
        <f>intersection_ss_Lnight___surface[[#This Row],[surf m2 bout ss]]/intersection_ss_Lnight___surface[[#This Row],[Shape_Area]]</f>
        <v>1.437017450377309E-4</v>
      </c>
      <c r="AL18">
        <v>3487</v>
      </c>
      <c r="AM18">
        <f>intersection_ss_Lnight___surface[[#This Row],[Population totale 2024 ss]]*intersection_ss_Lnight___surface[[#This Row],[Part de la surface du qs dans le noise contour]]</f>
        <v>0.5010879849465677</v>
      </c>
    </row>
    <row r="19" spans="1:39" x14ac:dyDescent="0.3">
      <c r="A19">
        <v>31</v>
      </c>
      <c r="B19" t="s">
        <v>357</v>
      </c>
      <c r="C19" t="s">
        <v>358</v>
      </c>
      <c r="D19" t="s">
        <v>359</v>
      </c>
      <c r="E19" t="s">
        <v>359</v>
      </c>
      <c r="F19" t="s">
        <v>344</v>
      </c>
      <c r="G19" t="s">
        <v>306</v>
      </c>
      <c r="H19" t="s">
        <v>307</v>
      </c>
      <c r="I19" t="s">
        <v>308</v>
      </c>
      <c r="J19" t="s">
        <v>36</v>
      </c>
      <c r="K19">
        <v>21004</v>
      </c>
      <c r="L19" t="s">
        <v>309</v>
      </c>
      <c r="M19" t="s">
        <v>310</v>
      </c>
      <c r="N19" t="s">
        <v>311</v>
      </c>
      <c r="O19">
        <v>21000</v>
      </c>
      <c r="P19" t="s">
        <v>46</v>
      </c>
      <c r="Q19" t="s">
        <v>47</v>
      </c>
      <c r="R19" t="s">
        <v>48</v>
      </c>
      <c r="T19" t="s">
        <v>36</v>
      </c>
      <c r="U19" t="s">
        <v>36</v>
      </c>
      <c r="V19" t="s">
        <v>36</v>
      </c>
      <c r="W19">
        <v>4000</v>
      </c>
      <c r="X19" t="s">
        <v>49</v>
      </c>
      <c r="Y19" t="s">
        <v>50</v>
      </c>
      <c r="Z19" t="s">
        <v>51</v>
      </c>
      <c r="AA19" t="s">
        <v>37</v>
      </c>
      <c r="AB19" t="s">
        <v>52</v>
      </c>
      <c r="AC19" t="s">
        <v>53</v>
      </c>
      <c r="AD19" t="s">
        <v>54</v>
      </c>
      <c r="AE19">
        <v>14.8910750363</v>
      </c>
      <c r="AF19">
        <v>1568</v>
      </c>
      <c r="AG19">
        <v>1568.36862088</v>
      </c>
      <c r="AH19">
        <v>148913.14110199999</v>
      </c>
      <c r="AI19">
        <v>40</v>
      </c>
      <c r="AJ19">
        <v>63259.0186694441</v>
      </c>
      <c r="AK19" s="1">
        <f>intersection_ss_Lnight___surface[[#This Row],[surf m2 bout ss]]/intersection_ss_Lnight___surface[[#This Row],[Shape_Area]]</f>
        <v>0.42480481038348394</v>
      </c>
      <c r="AL19">
        <v>2026</v>
      </c>
      <c r="AM19">
        <f>intersection_ss_Lnight___surface[[#This Row],[Population totale 2024 ss]]*intersection_ss_Lnight___surface[[#This Row],[Part de la surface du qs dans le noise contour]]</f>
        <v>860.6545458369385</v>
      </c>
    </row>
    <row r="20" spans="1:39" x14ac:dyDescent="0.3">
      <c r="A20">
        <v>32</v>
      </c>
      <c r="B20" t="s">
        <v>357</v>
      </c>
      <c r="C20" t="s">
        <v>358</v>
      </c>
      <c r="D20" t="s">
        <v>359</v>
      </c>
      <c r="E20" t="s">
        <v>359</v>
      </c>
      <c r="F20" t="s">
        <v>344</v>
      </c>
      <c r="G20" t="s">
        <v>306</v>
      </c>
      <c r="H20" t="s">
        <v>307</v>
      </c>
      <c r="I20" t="s">
        <v>308</v>
      </c>
      <c r="J20" t="s">
        <v>36</v>
      </c>
      <c r="K20">
        <v>21004</v>
      </c>
      <c r="L20" t="s">
        <v>309</v>
      </c>
      <c r="M20" t="s">
        <v>310</v>
      </c>
      <c r="N20" t="s">
        <v>311</v>
      </c>
      <c r="O20">
        <v>21000</v>
      </c>
      <c r="P20" t="s">
        <v>46</v>
      </c>
      <c r="Q20" t="s">
        <v>47</v>
      </c>
      <c r="R20" t="s">
        <v>48</v>
      </c>
      <c r="T20" t="s">
        <v>36</v>
      </c>
      <c r="U20" t="s">
        <v>36</v>
      </c>
      <c r="V20" t="s">
        <v>36</v>
      </c>
      <c r="W20">
        <v>4000</v>
      </c>
      <c r="X20" t="s">
        <v>49</v>
      </c>
      <c r="Y20" t="s">
        <v>50</v>
      </c>
      <c r="Z20" t="s">
        <v>51</v>
      </c>
      <c r="AA20" t="s">
        <v>37</v>
      </c>
      <c r="AB20" t="s">
        <v>52</v>
      </c>
      <c r="AC20" t="s">
        <v>53</v>
      </c>
      <c r="AD20" t="s">
        <v>54</v>
      </c>
      <c r="AE20">
        <v>14.8910750363</v>
      </c>
      <c r="AF20">
        <v>1568</v>
      </c>
      <c r="AG20">
        <v>1568.36862088</v>
      </c>
      <c r="AH20">
        <v>148913.14110199999</v>
      </c>
      <c r="AI20">
        <v>41</v>
      </c>
      <c r="AJ20">
        <v>85668.592616143593</v>
      </c>
      <c r="AK20" s="1">
        <f>intersection_ss_Lnight___surface[[#This Row],[surf m2 bout ss]]/intersection_ss_Lnight___surface[[#This Row],[Shape_Area]]</f>
        <v>0.57529236158858388</v>
      </c>
      <c r="AL20">
        <v>2026</v>
      </c>
      <c r="AM20">
        <f>intersection_ss_Lnight___surface[[#This Row],[Population totale 2024 ss]]*intersection_ss_Lnight___surface[[#This Row],[Part de la surface du qs dans le noise contour]]</f>
        <v>1165.5423245784709</v>
      </c>
    </row>
    <row r="21" spans="1:39" x14ac:dyDescent="0.3">
      <c r="A21">
        <v>33</v>
      </c>
      <c r="B21" t="s">
        <v>364</v>
      </c>
      <c r="C21" t="s">
        <v>365</v>
      </c>
      <c r="D21" t="s">
        <v>366</v>
      </c>
      <c r="E21" t="s">
        <v>366</v>
      </c>
      <c r="F21" t="s">
        <v>363</v>
      </c>
      <c r="G21" t="s">
        <v>306</v>
      </c>
      <c r="H21" t="s">
        <v>307</v>
      </c>
      <c r="I21" t="s">
        <v>308</v>
      </c>
      <c r="J21" t="s">
        <v>36</v>
      </c>
      <c r="K21">
        <v>21004</v>
      </c>
      <c r="L21" t="s">
        <v>309</v>
      </c>
      <c r="M21" t="s">
        <v>310</v>
      </c>
      <c r="N21" t="s">
        <v>311</v>
      </c>
      <c r="O21">
        <v>21000</v>
      </c>
      <c r="P21" t="s">
        <v>46</v>
      </c>
      <c r="Q21" t="s">
        <v>47</v>
      </c>
      <c r="R21" t="s">
        <v>48</v>
      </c>
      <c r="T21" t="s">
        <v>36</v>
      </c>
      <c r="U21" t="s">
        <v>36</v>
      </c>
      <c r="V21" t="s">
        <v>36</v>
      </c>
      <c r="W21">
        <v>4000</v>
      </c>
      <c r="X21" t="s">
        <v>49</v>
      </c>
      <c r="Y21" t="s">
        <v>50</v>
      </c>
      <c r="Z21" t="s">
        <v>51</v>
      </c>
      <c r="AA21" t="s">
        <v>37</v>
      </c>
      <c r="AB21" t="s">
        <v>52</v>
      </c>
      <c r="AC21" t="s">
        <v>53</v>
      </c>
      <c r="AD21" t="s">
        <v>54</v>
      </c>
      <c r="AE21">
        <v>21.1187139018</v>
      </c>
      <c r="AF21">
        <v>2074</v>
      </c>
      <c r="AG21">
        <v>2073.7911223999999</v>
      </c>
      <c r="AH21">
        <v>211190.540561</v>
      </c>
      <c r="AI21">
        <v>40</v>
      </c>
      <c r="AJ21">
        <v>4248.9521245412798</v>
      </c>
      <c r="AK21" s="1">
        <f>intersection_ss_Lnight___surface[[#This Row],[surf m2 bout ss]]/intersection_ss_Lnight___surface[[#This Row],[Shape_Area]]</f>
        <v>2.0119045641222827E-2</v>
      </c>
      <c r="AL21">
        <v>1532</v>
      </c>
      <c r="AM21">
        <f>intersection_ss_Lnight___surface[[#This Row],[Population totale 2024 ss]]*intersection_ss_Lnight___surface[[#This Row],[Part de la surface du qs dans le noise contour]]</f>
        <v>30.822377922353372</v>
      </c>
    </row>
    <row r="22" spans="1:39" x14ac:dyDescent="0.3">
      <c r="A22">
        <v>34</v>
      </c>
      <c r="B22" t="s">
        <v>370</v>
      </c>
      <c r="C22" t="s">
        <v>371</v>
      </c>
      <c r="D22" t="s">
        <v>372</v>
      </c>
      <c r="E22" t="s">
        <v>372</v>
      </c>
      <c r="F22" t="s">
        <v>363</v>
      </c>
      <c r="G22" t="s">
        <v>306</v>
      </c>
      <c r="H22" t="s">
        <v>307</v>
      </c>
      <c r="I22" t="s">
        <v>308</v>
      </c>
      <c r="J22" t="s">
        <v>36</v>
      </c>
      <c r="K22">
        <v>21004</v>
      </c>
      <c r="L22" t="s">
        <v>309</v>
      </c>
      <c r="M22" t="s">
        <v>310</v>
      </c>
      <c r="N22" t="s">
        <v>311</v>
      </c>
      <c r="O22">
        <v>21000</v>
      </c>
      <c r="P22" t="s">
        <v>46</v>
      </c>
      <c r="Q22" t="s">
        <v>47</v>
      </c>
      <c r="R22" t="s">
        <v>48</v>
      </c>
      <c r="T22" t="s">
        <v>36</v>
      </c>
      <c r="U22" t="s">
        <v>36</v>
      </c>
      <c r="V22" t="s">
        <v>36</v>
      </c>
      <c r="W22">
        <v>4000</v>
      </c>
      <c r="X22" t="s">
        <v>49</v>
      </c>
      <c r="Y22" t="s">
        <v>50</v>
      </c>
      <c r="Z22" t="s">
        <v>51</v>
      </c>
      <c r="AA22" t="s">
        <v>37</v>
      </c>
      <c r="AB22" t="s">
        <v>52</v>
      </c>
      <c r="AC22" t="s">
        <v>53</v>
      </c>
      <c r="AD22" t="s">
        <v>54</v>
      </c>
      <c r="AE22">
        <v>14.934780593499999</v>
      </c>
      <c r="AF22">
        <v>1595</v>
      </c>
      <c r="AG22">
        <v>1594.5680057300001</v>
      </c>
      <c r="AH22">
        <v>149350.212011</v>
      </c>
      <c r="AI22">
        <v>40</v>
      </c>
      <c r="AJ22">
        <v>1.7146270945668201</v>
      </c>
      <c r="AK22" s="1">
        <f>intersection_ss_Lnight___surface[[#This Row],[surf m2 bout ss]]/intersection_ss_Lnight___surface[[#This Row],[Shape_Area]]</f>
        <v>1.1480580251473186E-5</v>
      </c>
      <c r="AL22">
        <v>1305</v>
      </c>
      <c r="AM22">
        <f>intersection_ss_Lnight___surface[[#This Row],[Population totale 2024 ss]]*intersection_ss_Lnight___surface[[#This Row],[Part de la surface du qs dans le noise contour]]</f>
        <v>1.4982157228172508E-2</v>
      </c>
    </row>
    <row r="23" spans="1:39" x14ac:dyDescent="0.3">
      <c r="A23">
        <v>35</v>
      </c>
      <c r="B23" t="s">
        <v>373</v>
      </c>
      <c r="C23" t="s">
        <v>374</v>
      </c>
      <c r="D23" t="s">
        <v>375</v>
      </c>
      <c r="E23" t="s">
        <v>375</v>
      </c>
      <c r="F23" t="s">
        <v>363</v>
      </c>
      <c r="G23" t="s">
        <v>306</v>
      </c>
      <c r="H23" t="s">
        <v>307</v>
      </c>
      <c r="I23" t="s">
        <v>308</v>
      </c>
      <c r="J23" t="s">
        <v>36</v>
      </c>
      <c r="K23">
        <v>21004</v>
      </c>
      <c r="L23" t="s">
        <v>309</v>
      </c>
      <c r="M23" t="s">
        <v>310</v>
      </c>
      <c r="N23" t="s">
        <v>311</v>
      </c>
      <c r="O23">
        <v>21000</v>
      </c>
      <c r="P23" t="s">
        <v>46</v>
      </c>
      <c r="Q23" t="s">
        <v>47</v>
      </c>
      <c r="R23" t="s">
        <v>48</v>
      </c>
      <c r="T23" t="s">
        <v>36</v>
      </c>
      <c r="U23" t="s">
        <v>36</v>
      </c>
      <c r="V23" t="s">
        <v>36</v>
      </c>
      <c r="W23">
        <v>4000</v>
      </c>
      <c r="X23" t="s">
        <v>49</v>
      </c>
      <c r="Y23" t="s">
        <v>50</v>
      </c>
      <c r="Z23" t="s">
        <v>51</v>
      </c>
      <c r="AA23" t="s">
        <v>37</v>
      </c>
      <c r="AB23" t="s">
        <v>52</v>
      </c>
      <c r="AC23" t="s">
        <v>53</v>
      </c>
      <c r="AD23" t="s">
        <v>54</v>
      </c>
      <c r="AE23">
        <v>17.2332713387</v>
      </c>
      <c r="AF23">
        <v>1968</v>
      </c>
      <c r="AG23">
        <v>1968.3362475199999</v>
      </c>
      <c r="AH23">
        <v>172335.482857</v>
      </c>
      <c r="AI23">
        <v>40</v>
      </c>
      <c r="AJ23">
        <v>118888.137102113</v>
      </c>
      <c r="AK23" s="1">
        <f>intersection_ss_Lnight___surface[[#This Row],[surf m2 bout ss]]/intersection_ss_Lnight___surface[[#This Row],[Shape_Area]]</f>
        <v>0.68986453126872094</v>
      </c>
      <c r="AL23">
        <v>1561</v>
      </c>
      <c r="AM23">
        <f>intersection_ss_Lnight___surface[[#This Row],[Population totale 2024 ss]]*intersection_ss_Lnight___surface[[#This Row],[Part de la surface du qs dans le noise contour]]</f>
        <v>1076.8785333104734</v>
      </c>
    </row>
    <row r="24" spans="1:39" x14ac:dyDescent="0.3">
      <c r="A24">
        <v>36</v>
      </c>
      <c r="B24" t="s">
        <v>373</v>
      </c>
      <c r="C24" t="s">
        <v>374</v>
      </c>
      <c r="D24" t="s">
        <v>375</v>
      </c>
      <c r="E24" t="s">
        <v>375</v>
      </c>
      <c r="F24" t="s">
        <v>363</v>
      </c>
      <c r="G24" t="s">
        <v>306</v>
      </c>
      <c r="H24" t="s">
        <v>307</v>
      </c>
      <c r="I24" t="s">
        <v>308</v>
      </c>
      <c r="J24" t="s">
        <v>36</v>
      </c>
      <c r="K24">
        <v>21004</v>
      </c>
      <c r="L24" t="s">
        <v>309</v>
      </c>
      <c r="M24" t="s">
        <v>310</v>
      </c>
      <c r="N24" t="s">
        <v>311</v>
      </c>
      <c r="O24">
        <v>21000</v>
      </c>
      <c r="P24" t="s">
        <v>46</v>
      </c>
      <c r="Q24" t="s">
        <v>47</v>
      </c>
      <c r="R24" t="s">
        <v>48</v>
      </c>
      <c r="T24" t="s">
        <v>36</v>
      </c>
      <c r="U24" t="s">
        <v>36</v>
      </c>
      <c r="V24" t="s">
        <v>36</v>
      </c>
      <c r="W24">
        <v>4000</v>
      </c>
      <c r="X24" t="s">
        <v>49</v>
      </c>
      <c r="Y24" t="s">
        <v>50</v>
      </c>
      <c r="Z24" t="s">
        <v>51</v>
      </c>
      <c r="AA24" t="s">
        <v>37</v>
      </c>
      <c r="AB24" t="s">
        <v>52</v>
      </c>
      <c r="AC24" t="s">
        <v>53</v>
      </c>
      <c r="AD24" t="s">
        <v>54</v>
      </c>
      <c r="AE24">
        <v>17.2332713387</v>
      </c>
      <c r="AF24">
        <v>1968</v>
      </c>
      <c r="AG24">
        <v>1968.3362475199999</v>
      </c>
      <c r="AH24">
        <v>172335.482857</v>
      </c>
      <c r="AI24">
        <v>41</v>
      </c>
      <c r="AJ24">
        <v>6060.8530774507699</v>
      </c>
      <c r="AK24" s="1">
        <f>intersection_ss_Lnight___surface[[#This Row],[surf m2 bout ss]]/intersection_ss_Lnight___surface[[#This Row],[Shape_Area]]</f>
        <v>3.5168921553316593E-2</v>
      </c>
      <c r="AL24">
        <v>1561</v>
      </c>
      <c r="AM24">
        <f>intersection_ss_Lnight___surface[[#This Row],[Population totale 2024 ss]]*intersection_ss_Lnight___surface[[#This Row],[Part de la surface du qs dans le noise contour]]</f>
        <v>54.898686544727198</v>
      </c>
    </row>
    <row r="25" spans="1:39" x14ac:dyDescent="0.3">
      <c r="A25">
        <v>37</v>
      </c>
      <c r="B25" t="s">
        <v>389</v>
      </c>
      <c r="C25" t="s">
        <v>390</v>
      </c>
      <c r="D25" t="s">
        <v>391</v>
      </c>
      <c r="E25" t="s">
        <v>391</v>
      </c>
      <c r="F25" t="s">
        <v>392</v>
      </c>
      <c r="G25" t="s">
        <v>306</v>
      </c>
      <c r="H25" t="s">
        <v>307</v>
      </c>
      <c r="I25" t="s">
        <v>308</v>
      </c>
      <c r="J25" t="s">
        <v>36</v>
      </c>
      <c r="K25">
        <v>21004</v>
      </c>
      <c r="L25" t="s">
        <v>309</v>
      </c>
      <c r="M25" t="s">
        <v>310</v>
      </c>
      <c r="N25" t="s">
        <v>311</v>
      </c>
      <c r="O25">
        <v>21000</v>
      </c>
      <c r="P25" t="s">
        <v>46</v>
      </c>
      <c r="Q25" t="s">
        <v>47</v>
      </c>
      <c r="R25" t="s">
        <v>48</v>
      </c>
      <c r="T25" t="s">
        <v>36</v>
      </c>
      <c r="U25" t="s">
        <v>36</v>
      </c>
      <c r="V25" t="s">
        <v>36</v>
      </c>
      <c r="W25">
        <v>4000</v>
      </c>
      <c r="X25" t="s">
        <v>49</v>
      </c>
      <c r="Y25" t="s">
        <v>50</v>
      </c>
      <c r="Z25" t="s">
        <v>51</v>
      </c>
      <c r="AA25" t="s">
        <v>37</v>
      </c>
      <c r="AB25" t="s">
        <v>52</v>
      </c>
      <c r="AC25" t="s">
        <v>53</v>
      </c>
      <c r="AD25" t="s">
        <v>54</v>
      </c>
      <c r="AE25">
        <v>11.6867859622</v>
      </c>
      <c r="AF25">
        <v>1801</v>
      </c>
      <c r="AG25">
        <v>1800.81288896</v>
      </c>
      <c r="AH25">
        <v>116869.739433</v>
      </c>
      <c r="AI25">
        <v>41</v>
      </c>
      <c r="AJ25">
        <v>59147.114381574102</v>
      </c>
      <c r="AK25" s="1">
        <f>intersection_ss_Lnight___surface[[#This Row],[surf m2 bout ss]]/intersection_ss_Lnight___surface[[#This Row],[Shape_Area]]</f>
        <v>0.50609434630837369</v>
      </c>
      <c r="AL25">
        <v>2728</v>
      </c>
      <c r="AM25">
        <f>intersection_ss_Lnight___surface[[#This Row],[Population totale 2024 ss]]*intersection_ss_Lnight___surface[[#This Row],[Part de la surface du qs dans le noise contour]]</f>
        <v>1380.6253767292435</v>
      </c>
    </row>
    <row r="26" spans="1:39" x14ac:dyDescent="0.3">
      <c r="A26">
        <v>38</v>
      </c>
      <c r="B26" t="s">
        <v>389</v>
      </c>
      <c r="C26" t="s">
        <v>390</v>
      </c>
      <c r="D26" t="s">
        <v>391</v>
      </c>
      <c r="E26" t="s">
        <v>391</v>
      </c>
      <c r="F26" t="s">
        <v>392</v>
      </c>
      <c r="G26" t="s">
        <v>306</v>
      </c>
      <c r="H26" t="s">
        <v>307</v>
      </c>
      <c r="I26" t="s">
        <v>308</v>
      </c>
      <c r="J26" t="s">
        <v>36</v>
      </c>
      <c r="K26">
        <v>21004</v>
      </c>
      <c r="L26" t="s">
        <v>309</v>
      </c>
      <c r="M26" t="s">
        <v>310</v>
      </c>
      <c r="N26" t="s">
        <v>311</v>
      </c>
      <c r="O26">
        <v>21000</v>
      </c>
      <c r="P26" t="s">
        <v>46</v>
      </c>
      <c r="Q26" t="s">
        <v>47</v>
      </c>
      <c r="R26" t="s">
        <v>48</v>
      </c>
      <c r="T26" t="s">
        <v>36</v>
      </c>
      <c r="U26" t="s">
        <v>36</v>
      </c>
      <c r="V26" t="s">
        <v>36</v>
      </c>
      <c r="W26">
        <v>4000</v>
      </c>
      <c r="X26" t="s">
        <v>49</v>
      </c>
      <c r="Y26" t="s">
        <v>50</v>
      </c>
      <c r="Z26" t="s">
        <v>51</v>
      </c>
      <c r="AA26" t="s">
        <v>37</v>
      </c>
      <c r="AB26" t="s">
        <v>52</v>
      </c>
      <c r="AC26" t="s">
        <v>53</v>
      </c>
      <c r="AD26" t="s">
        <v>54</v>
      </c>
      <c r="AE26">
        <v>11.6867859622</v>
      </c>
      <c r="AF26">
        <v>1801</v>
      </c>
      <c r="AG26">
        <v>1800.81288896</v>
      </c>
      <c r="AH26">
        <v>116869.739433</v>
      </c>
      <c r="AI26">
        <v>42</v>
      </c>
      <c r="AJ26">
        <v>57733.900609600198</v>
      </c>
      <c r="AK26" s="1">
        <f>intersection_ss_Lnight___surface[[#This Row],[surf m2 bout ss]]/intersection_ss_Lnight___surface[[#This Row],[Shape_Area]]</f>
        <v>0.49400213339825527</v>
      </c>
      <c r="AL26">
        <v>2728</v>
      </c>
      <c r="AM26">
        <f>intersection_ss_Lnight___surface[[#This Row],[Population totale 2024 ss]]*intersection_ss_Lnight___surface[[#This Row],[Part de la surface du qs dans le noise contour]]</f>
        <v>1347.6378199104404</v>
      </c>
    </row>
    <row r="27" spans="1:39" x14ac:dyDescent="0.3">
      <c r="A27">
        <v>39</v>
      </c>
      <c r="B27" t="s">
        <v>393</v>
      </c>
      <c r="C27" t="s">
        <v>394</v>
      </c>
      <c r="D27" t="s">
        <v>395</v>
      </c>
      <c r="E27" t="s">
        <v>395</v>
      </c>
      <c r="F27" t="s">
        <v>392</v>
      </c>
      <c r="G27" t="s">
        <v>306</v>
      </c>
      <c r="H27" t="s">
        <v>307</v>
      </c>
      <c r="I27" t="s">
        <v>308</v>
      </c>
      <c r="J27" t="s">
        <v>36</v>
      </c>
      <c r="K27">
        <v>21004</v>
      </c>
      <c r="L27" t="s">
        <v>309</v>
      </c>
      <c r="M27" t="s">
        <v>310</v>
      </c>
      <c r="N27" t="s">
        <v>311</v>
      </c>
      <c r="O27">
        <v>21000</v>
      </c>
      <c r="P27" t="s">
        <v>46</v>
      </c>
      <c r="Q27" t="s">
        <v>47</v>
      </c>
      <c r="R27" t="s">
        <v>48</v>
      </c>
      <c r="T27" t="s">
        <v>36</v>
      </c>
      <c r="U27" t="s">
        <v>36</v>
      </c>
      <c r="V27" t="s">
        <v>36</v>
      </c>
      <c r="W27">
        <v>4000</v>
      </c>
      <c r="X27" t="s">
        <v>49</v>
      </c>
      <c r="Y27" t="s">
        <v>50</v>
      </c>
      <c r="Z27" t="s">
        <v>51</v>
      </c>
      <c r="AA27" t="s">
        <v>37</v>
      </c>
      <c r="AB27" t="s">
        <v>52</v>
      </c>
      <c r="AC27" t="s">
        <v>53</v>
      </c>
      <c r="AD27" t="s">
        <v>54</v>
      </c>
      <c r="AE27">
        <v>3.4978536461899998</v>
      </c>
      <c r="AF27">
        <v>1091</v>
      </c>
      <c r="AG27">
        <v>1091.1834521000001</v>
      </c>
      <c r="AH27">
        <v>34979.101882199997</v>
      </c>
      <c r="AI27">
        <v>41</v>
      </c>
      <c r="AJ27">
        <v>25855.6962499209</v>
      </c>
      <c r="AK27" s="1">
        <f>intersection_ss_Lnight___surface[[#This Row],[surf m2 bout ss]]/intersection_ss_Lnight___surface[[#This Row],[Shape_Area]]</f>
        <v>0.73917553220765297</v>
      </c>
      <c r="AL27">
        <v>814</v>
      </c>
      <c r="AM27">
        <f>intersection_ss_Lnight___surface[[#This Row],[Population totale 2024 ss]]*intersection_ss_Lnight___surface[[#This Row],[Part de la surface du qs dans le noise contour]]</f>
        <v>601.68888321702957</v>
      </c>
    </row>
    <row r="28" spans="1:39" x14ac:dyDescent="0.3">
      <c r="A28">
        <v>40</v>
      </c>
      <c r="B28" t="s">
        <v>393</v>
      </c>
      <c r="C28" t="s">
        <v>394</v>
      </c>
      <c r="D28" t="s">
        <v>395</v>
      </c>
      <c r="E28" t="s">
        <v>395</v>
      </c>
      <c r="F28" t="s">
        <v>392</v>
      </c>
      <c r="G28" t="s">
        <v>306</v>
      </c>
      <c r="H28" t="s">
        <v>307</v>
      </c>
      <c r="I28" t="s">
        <v>308</v>
      </c>
      <c r="J28" t="s">
        <v>36</v>
      </c>
      <c r="K28">
        <v>21004</v>
      </c>
      <c r="L28" t="s">
        <v>309</v>
      </c>
      <c r="M28" t="s">
        <v>310</v>
      </c>
      <c r="N28" t="s">
        <v>311</v>
      </c>
      <c r="O28">
        <v>21000</v>
      </c>
      <c r="P28" t="s">
        <v>46</v>
      </c>
      <c r="Q28" t="s">
        <v>47</v>
      </c>
      <c r="R28" t="s">
        <v>48</v>
      </c>
      <c r="T28" t="s">
        <v>36</v>
      </c>
      <c r="U28" t="s">
        <v>36</v>
      </c>
      <c r="V28" t="s">
        <v>36</v>
      </c>
      <c r="W28">
        <v>4000</v>
      </c>
      <c r="X28" t="s">
        <v>49</v>
      </c>
      <c r="Y28" t="s">
        <v>50</v>
      </c>
      <c r="Z28" t="s">
        <v>51</v>
      </c>
      <c r="AA28" t="s">
        <v>37</v>
      </c>
      <c r="AB28" t="s">
        <v>52</v>
      </c>
      <c r="AC28" t="s">
        <v>53</v>
      </c>
      <c r="AD28" t="s">
        <v>54</v>
      </c>
      <c r="AE28">
        <v>3.4978536461899998</v>
      </c>
      <c r="AF28">
        <v>1091</v>
      </c>
      <c r="AG28">
        <v>1091.1834521000001</v>
      </c>
      <c r="AH28">
        <v>34979.101882199997</v>
      </c>
      <c r="AI28">
        <v>42</v>
      </c>
      <c r="AJ28">
        <v>9126.7818665318191</v>
      </c>
      <c r="AK28" s="1">
        <f>intersection_ss_Lnight___surface[[#This Row],[surf m2 bout ss]]/intersection_ss_Lnight___surface[[#This Row],[Shape_Area]]</f>
        <v>0.26092098926005342</v>
      </c>
      <c r="AL28">
        <v>814</v>
      </c>
      <c r="AM28">
        <f>intersection_ss_Lnight___surface[[#This Row],[Population totale 2024 ss]]*intersection_ss_Lnight___surface[[#This Row],[Part de la surface du qs dans le noise contour]]</f>
        <v>212.38968525768348</v>
      </c>
    </row>
    <row r="29" spans="1:39" x14ac:dyDescent="0.3">
      <c r="A29">
        <v>41</v>
      </c>
      <c r="B29" t="s">
        <v>396</v>
      </c>
      <c r="C29" t="s">
        <v>397</v>
      </c>
      <c r="D29" t="s">
        <v>398</v>
      </c>
      <c r="E29" t="s">
        <v>398</v>
      </c>
      <c r="F29" t="s">
        <v>392</v>
      </c>
      <c r="G29" t="s">
        <v>306</v>
      </c>
      <c r="H29" t="s">
        <v>307</v>
      </c>
      <c r="I29" t="s">
        <v>308</v>
      </c>
      <c r="J29" t="s">
        <v>36</v>
      </c>
      <c r="K29">
        <v>21004</v>
      </c>
      <c r="L29" t="s">
        <v>309</v>
      </c>
      <c r="M29" t="s">
        <v>310</v>
      </c>
      <c r="N29" t="s">
        <v>311</v>
      </c>
      <c r="O29">
        <v>21000</v>
      </c>
      <c r="P29" t="s">
        <v>46</v>
      </c>
      <c r="Q29" t="s">
        <v>47</v>
      </c>
      <c r="R29" t="s">
        <v>48</v>
      </c>
      <c r="T29" t="s">
        <v>36</v>
      </c>
      <c r="U29" t="s">
        <v>36</v>
      </c>
      <c r="V29" t="s">
        <v>36</v>
      </c>
      <c r="W29">
        <v>4000</v>
      </c>
      <c r="X29" t="s">
        <v>49</v>
      </c>
      <c r="Y29" t="s">
        <v>50</v>
      </c>
      <c r="Z29" t="s">
        <v>51</v>
      </c>
      <c r="AA29" t="s">
        <v>37</v>
      </c>
      <c r="AB29" t="s">
        <v>52</v>
      </c>
      <c r="AC29" t="s">
        <v>53</v>
      </c>
      <c r="AD29" t="s">
        <v>54</v>
      </c>
      <c r="AE29">
        <v>8.0019989266899998</v>
      </c>
      <c r="AF29">
        <v>1358</v>
      </c>
      <c r="AG29">
        <v>1357.6803842300001</v>
      </c>
      <c r="AH29">
        <v>80021.254576199994</v>
      </c>
      <c r="AI29">
        <v>40</v>
      </c>
      <c r="AJ29">
        <v>58182.310186578899</v>
      </c>
      <c r="AK29" s="1">
        <f>intersection_ss_Lnight___surface[[#This Row],[surf m2 bout ss]]/intersection_ss_Lnight___surface[[#This Row],[Shape_Area]]</f>
        <v>0.72708570360109726</v>
      </c>
      <c r="AL29">
        <v>1698</v>
      </c>
      <c r="AM29">
        <f>intersection_ss_Lnight___surface[[#This Row],[Population totale 2024 ss]]*intersection_ss_Lnight___surface[[#This Row],[Part de la surface du qs dans le noise contour]]</f>
        <v>1234.5915247146631</v>
      </c>
    </row>
    <row r="30" spans="1:39" x14ac:dyDescent="0.3">
      <c r="A30">
        <v>42</v>
      </c>
      <c r="B30" t="s">
        <v>396</v>
      </c>
      <c r="C30" t="s">
        <v>397</v>
      </c>
      <c r="D30" t="s">
        <v>398</v>
      </c>
      <c r="E30" t="s">
        <v>398</v>
      </c>
      <c r="F30" t="s">
        <v>392</v>
      </c>
      <c r="G30" t="s">
        <v>306</v>
      </c>
      <c r="H30" t="s">
        <v>307</v>
      </c>
      <c r="I30" t="s">
        <v>308</v>
      </c>
      <c r="J30" t="s">
        <v>36</v>
      </c>
      <c r="K30">
        <v>21004</v>
      </c>
      <c r="L30" t="s">
        <v>309</v>
      </c>
      <c r="M30" t="s">
        <v>310</v>
      </c>
      <c r="N30" t="s">
        <v>311</v>
      </c>
      <c r="O30">
        <v>21000</v>
      </c>
      <c r="P30" t="s">
        <v>46</v>
      </c>
      <c r="Q30" t="s">
        <v>47</v>
      </c>
      <c r="R30" t="s">
        <v>48</v>
      </c>
      <c r="T30" t="s">
        <v>36</v>
      </c>
      <c r="U30" t="s">
        <v>36</v>
      </c>
      <c r="V30" t="s">
        <v>36</v>
      </c>
      <c r="W30">
        <v>4000</v>
      </c>
      <c r="X30" t="s">
        <v>49</v>
      </c>
      <c r="Y30" t="s">
        <v>50</v>
      </c>
      <c r="Z30" t="s">
        <v>51</v>
      </c>
      <c r="AA30" t="s">
        <v>37</v>
      </c>
      <c r="AB30" t="s">
        <v>52</v>
      </c>
      <c r="AC30" t="s">
        <v>53</v>
      </c>
      <c r="AD30" t="s">
        <v>54</v>
      </c>
      <c r="AE30">
        <v>8.0019989266899998</v>
      </c>
      <c r="AF30">
        <v>1358</v>
      </c>
      <c r="AG30">
        <v>1357.6803842300001</v>
      </c>
      <c r="AH30">
        <v>80021.254576199994</v>
      </c>
      <c r="AI30">
        <v>41</v>
      </c>
      <c r="AJ30">
        <v>21846.719246716199</v>
      </c>
      <c r="AK30" s="1">
        <f>intersection_ss_Lnight___surface[[#This Row],[surf m2 bout ss]]/intersection_ss_Lnight___surface[[#This Row],[Shape_Area]]</f>
        <v>0.27301145629893525</v>
      </c>
      <c r="AL30">
        <v>1698</v>
      </c>
      <c r="AM30">
        <f>intersection_ss_Lnight___surface[[#This Row],[Population totale 2024 ss]]*intersection_ss_Lnight___surface[[#This Row],[Part de la surface du qs dans le noise contour]]</f>
        <v>463.57345279559206</v>
      </c>
    </row>
    <row r="31" spans="1:39" x14ac:dyDescent="0.3">
      <c r="A31">
        <v>43</v>
      </c>
      <c r="B31" t="s">
        <v>423</v>
      </c>
      <c r="C31" t="s">
        <v>424</v>
      </c>
      <c r="D31" t="s">
        <v>425</v>
      </c>
      <c r="E31" t="s">
        <v>425</v>
      </c>
      <c r="F31" t="s">
        <v>426</v>
      </c>
      <c r="G31" t="s">
        <v>427</v>
      </c>
      <c r="H31" t="s">
        <v>428</v>
      </c>
      <c r="I31" t="s">
        <v>429</v>
      </c>
      <c r="J31" t="s">
        <v>36</v>
      </c>
      <c r="K31">
        <v>21004</v>
      </c>
      <c r="L31" t="s">
        <v>309</v>
      </c>
      <c r="M31" t="s">
        <v>310</v>
      </c>
      <c r="N31" t="s">
        <v>311</v>
      </c>
      <c r="O31">
        <v>21000</v>
      </c>
      <c r="P31" t="s">
        <v>46</v>
      </c>
      <c r="Q31" t="s">
        <v>47</v>
      </c>
      <c r="R31" t="s">
        <v>48</v>
      </c>
      <c r="T31" t="s">
        <v>36</v>
      </c>
      <c r="U31" t="s">
        <v>36</v>
      </c>
      <c r="V31" t="s">
        <v>36</v>
      </c>
      <c r="W31">
        <v>4000</v>
      </c>
      <c r="X31" t="s">
        <v>49</v>
      </c>
      <c r="Y31" t="s">
        <v>50</v>
      </c>
      <c r="Z31" t="s">
        <v>51</v>
      </c>
      <c r="AA31" t="s">
        <v>37</v>
      </c>
      <c r="AB31" t="s">
        <v>52</v>
      </c>
      <c r="AC31" t="s">
        <v>53</v>
      </c>
      <c r="AD31" t="s">
        <v>54</v>
      </c>
      <c r="AE31">
        <v>5.3283813606599999</v>
      </c>
      <c r="AF31">
        <v>1063</v>
      </c>
      <c r="AG31">
        <v>1063.2950762099999</v>
      </c>
      <c r="AH31">
        <v>53284.6695636</v>
      </c>
      <c r="AI31">
        <v>42</v>
      </c>
      <c r="AJ31">
        <v>53289.736317772396</v>
      </c>
      <c r="AK31" s="1">
        <f>intersection_ss_Lnight___surface[[#This Row],[surf m2 bout ss]]/intersection_ss_Lnight___surface[[#This Row],[Shape_Area]]</f>
        <v>1.0000950884037358</v>
      </c>
      <c r="AL31">
        <v>1099</v>
      </c>
      <c r="AM31">
        <f>intersection_ss_Lnight___surface[[#This Row],[Population totale 2024 ss]]*intersection_ss_Lnight___surface[[#This Row],[Part de la surface du qs dans le noise contour]]</f>
        <v>1099.1045021557056</v>
      </c>
    </row>
    <row r="32" spans="1:39" x14ac:dyDescent="0.3">
      <c r="A32">
        <v>44</v>
      </c>
      <c r="B32" t="s">
        <v>430</v>
      </c>
      <c r="C32" t="s">
        <v>431</v>
      </c>
      <c r="D32" t="s">
        <v>432</v>
      </c>
      <c r="E32" t="s">
        <v>432</v>
      </c>
      <c r="F32" t="s">
        <v>426</v>
      </c>
      <c r="G32" t="s">
        <v>427</v>
      </c>
      <c r="H32" t="s">
        <v>428</v>
      </c>
      <c r="I32" t="s">
        <v>429</v>
      </c>
      <c r="J32" t="s">
        <v>36</v>
      </c>
      <c r="K32">
        <v>21004</v>
      </c>
      <c r="L32" t="s">
        <v>309</v>
      </c>
      <c r="M32" t="s">
        <v>310</v>
      </c>
      <c r="N32" t="s">
        <v>311</v>
      </c>
      <c r="O32">
        <v>21000</v>
      </c>
      <c r="P32" t="s">
        <v>46</v>
      </c>
      <c r="Q32" t="s">
        <v>47</v>
      </c>
      <c r="R32" t="s">
        <v>48</v>
      </c>
      <c r="T32" t="s">
        <v>36</v>
      </c>
      <c r="U32" t="s">
        <v>36</v>
      </c>
      <c r="V32" t="s">
        <v>36</v>
      </c>
      <c r="W32">
        <v>4000</v>
      </c>
      <c r="X32" t="s">
        <v>49</v>
      </c>
      <c r="Y32" t="s">
        <v>50</v>
      </c>
      <c r="Z32" t="s">
        <v>51</v>
      </c>
      <c r="AA32" t="s">
        <v>37</v>
      </c>
      <c r="AB32" t="s">
        <v>52</v>
      </c>
      <c r="AC32" t="s">
        <v>53</v>
      </c>
      <c r="AD32" t="s">
        <v>54</v>
      </c>
      <c r="AE32">
        <v>24.823114867699999</v>
      </c>
      <c r="AF32">
        <v>2932</v>
      </c>
      <c r="AG32">
        <v>2932.0690768700001</v>
      </c>
      <c r="AH32">
        <v>248235.11925600001</v>
      </c>
      <c r="AI32">
        <v>41</v>
      </c>
      <c r="AJ32">
        <v>45254.938440572398</v>
      </c>
      <c r="AK32" s="1">
        <f>intersection_ss_Lnight___surface[[#This Row],[surf m2 bout ss]]/intersection_ss_Lnight___surface[[#This Row],[Shape_Area]]</f>
        <v>0.18230675247003172</v>
      </c>
      <c r="AL32">
        <v>2859</v>
      </c>
      <c r="AM32">
        <f>intersection_ss_Lnight___surface[[#This Row],[Population totale 2024 ss]]*intersection_ss_Lnight___surface[[#This Row],[Part de la surface du qs dans le noise contour]]</f>
        <v>521.21500531182073</v>
      </c>
    </row>
    <row r="33" spans="1:39" x14ac:dyDescent="0.3">
      <c r="A33">
        <v>45</v>
      </c>
      <c r="B33" t="s">
        <v>430</v>
      </c>
      <c r="C33" t="s">
        <v>431</v>
      </c>
      <c r="D33" t="s">
        <v>432</v>
      </c>
      <c r="E33" t="s">
        <v>432</v>
      </c>
      <c r="F33" t="s">
        <v>426</v>
      </c>
      <c r="G33" t="s">
        <v>427</v>
      </c>
      <c r="H33" t="s">
        <v>428</v>
      </c>
      <c r="I33" t="s">
        <v>429</v>
      </c>
      <c r="J33" t="s">
        <v>36</v>
      </c>
      <c r="K33">
        <v>21004</v>
      </c>
      <c r="L33" t="s">
        <v>309</v>
      </c>
      <c r="M33" t="s">
        <v>310</v>
      </c>
      <c r="N33" t="s">
        <v>311</v>
      </c>
      <c r="O33">
        <v>21000</v>
      </c>
      <c r="P33" t="s">
        <v>46</v>
      </c>
      <c r="Q33" t="s">
        <v>47</v>
      </c>
      <c r="R33" t="s">
        <v>48</v>
      </c>
      <c r="T33" t="s">
        <v>36</v>
      </c>
      <c r="U33" t="s">
        <v>36</v>
      </c>
      <c r="V33" t="s">
        <v>36</v>
      </c>
      <c r="W33">
        <v>4000</v>
      </c>
      <c r="X33" t="s">
        <v>49</v>
      </c>
      <c r="Y33" t="s">
        <v>50</v>
      </c>
      <c r="Z33" t="s">
        <v>51</v>
      </c>
      <c r="AA33" t="s">
        <v>37</v>
      </c>
      <c r="AB33" t="s">
        <v>52</v>
      </c>
      <c r="AC33" t="s">
        <v>53</v>
      </c>
      <c r="AD33" t="s">
        <v>54</v>
      </c>
      <c r="AE33">
        <v>24.823114867699999</v>
      </c>
      <c r="AF33">
        <v>2932</v>
      </c>
      <c r="AG33">
        <v>2932.0690768700001</v>
      </c>
      <c r="AH33">
        <v>248235.11925600001</v>
      </c>
      <c r="AI33">
        <v>42</v>
      </c>
      <c r="AJ33">
        <v>203003.950191518</v>
      </c>
      <c r="AK33" s="1">
        <f>intersection_ss_Lnight___surface[[#This Row],[surf m2 bout ss]]/intersection_ss_Lnight___surface[[#This Row],[Shape_Area]]</f>
        <v>0.8177890010082095</v>
      </c>
      <c r="AL33">
        <v>2859</v>
      </c>
      <c r="AM33">
        <f>intersection_ss_Lnight___surface[[#This Row],[Population totale 2024 ss]]*intersection_ss_Lnight___surface[[#This Row],[Part de la surface du qs dans le noise contour]]</f>
        <v>2338.0587538824711</v>
      </c>
    </row>
    <row r="34" spans="1:39" x14ac:dyDescent="0.3">
      <c r="A34">
        <v>46</v>
      </c>
      <c r="B34" t="s">
        <v>433</v>
      </c>
      <c r="C34" t="s">
        <v>434</v>
      </c>
      <c r="D34" t="s">
        <v>435</v>
      </c>
      <c r="E34" t="s">
        <v>435</v>
      </c>
      <c r="F34" t="s">
        <v>426</v>
      </c>
      <c r="G34" t="s">
        <v>427</v>
      </c>
      <c r="H34" t="s">
        <v>428</v>
      </c>
      <c r="I34" t="s">
        <v>429</v>
      </c>
      <c r="J34" t="s">
        <v>36</v>
      </c>
      <c r="K34">
        <v>21004</v>
      </c>
      <c r="L34" t="s">
        <v>309</v>
      </c>
      <c r="M34" t="s">
        <v>310</v>
      </c>
      <c r="N34" t="s">
        <v>311</v>
      </c>
      <c r="O34">
        <v>21000</v>
      </c>
      <c r="P34" t="s">
        <v>46</v>
      </c>
      <c r="Q34" t="s">
        <v>47</v>
      </c>
      <c r="R34" t="s">
        <v>48</v>
      </c>
      <c r="T34" t="s">
        <v>36</v>
      </c>
      <c r="U34" t="s">
        <v>36</v>
      </c>
      <c r="V34" t="s">
        <v>36</v>
      </c>
      <c r="W34">
        <v>4000</v>
      </c>
      <c r="X34" t="s">
        <v>49</v>
      </c>
      <c r="Y34" t="s">
        <v>50</v>
      </c>
      <c r="Z34" t="s">
        <v>51</v>
      </c>
      <c r="AA34" t="s">
        <v>37</v>
      </c>
      <c r="AB34" t="s">
        <v>52</v>
      </c>
      <c r="AC34" t="s">
        <v>53</v>
      </c>
      <c r="AD34" t="s">
        <v>54</v>
      </c>
      <c r="AE34">
        <v>17.318690544900001</v>
      </c>
      <c r="AF34">
        <v>2598</v>
      </c>
      <c r="AG34">
        <v>2598.3043588199998</v>
      </c>
      <c r="AH34">
        <v>173189.73336499999</v>
      </c>
      <c r="AI34">
        <v>42</v>
      </c>
      <c r="AJ34">
        <v>173206.041330623</v>
      </c>
      <c r="AK34" s="1">
        <f>intersection_ss_Lnight___surface[[#This Row],[surf m2 bout ss]]/intersection_ss_Lnight___surface[[#This Row],[Shape_Area]]</f>
        <v>1.0000941624269877</v>
      </c>
      <c r="AL34">
        <v>4257</v>
      </c>
      <c r="AM34">
        <f>intersection_ss_Lnight___surface[[#This Row],[Population totale 2024 ss]]*intersection_ss_Lnight___surface[[#This Row],[Part de la surface du qs dans le noise contour]]</f>
        <v>4257.4008494516866</v>
      </c>
    </row>
    <row r="35" spans="1:39" x14ac:dyDescent="0.3">
      <c r="A35">
        <v>47</v>
      </c>
      <c r="B35" t="s">
        <v>436</v>
      </c>
      <c r="C35" t="s">
        <v>437</v>
      </c>
      <c r="D35" t="s">
        <v>438</v>
      </c>
      <c r="E35" t="s">
        <v>438</v>
      </c>
      <c r="F35" t="s">
        <v>426</v>
      </c>
      <c r="G35" t="s">
        <v>427</v>
      </c>
      <c r="H35" t="s">
        <v>428</v>
      </c>
      <c r="I35" t="s">
        <v>429</v>
      </c>
      <c r="J35" t="s">
        <v>36</v>
      </c>
      <c r="K35">
        <v>21004</v>
      </c>
      <c r="L35" t="s">
        <v>309</v>
      </c>
      <c r="M35" t="s">
        <v>310</v>
      </c>
      <c r="N35" t="s">
        <v>311</v>
      </c>
      <c r="O35">
        <v>21000</v>
      </c>
      <c r="P35" t="s">
        <v>46</v>
      </c>
      <c r="Q35" t="s">
        <v>47</v>
      </c>
      <c r="R35" t="s">
        <v>48</v>
      </c>
      <c r="T35" t="s">
        <v>36</v>
      </c>
      <c r="U35" t="s">
        <v>36</v>
      </c>
      <c r="V35" t="s">
        <v>36</v>
      </c>
      <c r="W35">
        <v>4000</v>
      </c>
      <c r="X35" t="s">
        <v>49</v>
      </c>
      <c r="Y35" t="s">
        <v>50</v>
      </c>
      <c r="Z35" t="s">
        <v>51</v>
      </c>
      <c r="AA35" t="s">
        <v>37</v>
      </c>
      <c r="AB35" t="s">
        <v>52</v>
      </c>
      <c r="AC35" t="s">
        <v>53</v>
      </c>
      <c r="AD35" t="s">
        <v>54</v>
      </c>
      <c r="AE35">
        <v>47.8949846087</v>
      </c>
      <c r="AF35">
        <v>4217</v>
      </c>
      <c r="AG35">
        <v>4217.0623156600004</v>
      </c>
      <c r="AH35">
        <v>478957.53604899999</v>
      </c>
      <c r="AI35">
        <v>42</v>
      </c>
      <c r="AJ35">
        <v>478683.37359385402</v>
      </c>
      <c r="AK35" s="1">
        <f>intersection_ss_Lnight___surface[[#This Row],[surf m2 bout ss]]/intersection_ss_Lnight___surface[[#This Row],[Shape_Area]]</f>
        <v>0.9994275850477109</v>
      </c>
      <c r="AL35">
        <v>1183</v>
      </c>
      <c r="AM35">
        <f>intersection_ss_Lnight___surface[[#This Row],[Population totale 2024 ss]]*intersection_ss_Lnight___surface[[#This Row],[Part de la surface du qs dans le noise contour]]</f>
        <v>1182.3228331114419</v>
      </c>
    </row>
    <row r="36" spans="1:39" x14ac:dyDescent="0.3">
      <c r="A36">
        <v>48</v>
      </c>
      <c r="B36" t="s">
        <v>436</v>
      </c>
      <c r="C36" t="s">
        <v>437</v>
      </c>
      <c r="D36" t="s">
        <v>438</v>
      </c>
      <c r="E36" t="s">
        <v>438</v>
      </c>
      <c r="F36" t="s">
        <v>426</v>
      </c>
      <c r="G36" t="s">
        <v>427</v>
      </c>
      <c r="H36" t="s">
        <v>428</v>
      </c>
      <c r="I36" t="s">
        <v>429</v>
      </c>
      <c r="J36" t="s">
        <v>36</v>
      </c>
      <c r="K36">
        <v>21004</v>
      </c>
      <c r="L36" t="s">
        <v>309</v>
      </c>
      <c r="M36" t="s">
        <v>310</v>
      </c>
      <c r="N36" t="s">
        <v>311</v>
      </c>
      <c r="O36">
        <v>21000</v>
      </c>
      <c r="P36" t="s">
        <v>46</v>
      </c>
      <c r="Q36" t="s">
        <v>47</v>
      </c>
      <c r="R36" t="s">
        <v>48</v>
      </c>
      <c r="T36" t="s">
        <v>36</v>
      </c>
      <c r="U36" t="s">
        <v>36</v>
      </c>
      <c r="V36" t="s">
        <v>36</v>
      </c>
      <c r="W36">
        <v>4000</v>
      </c>
      <c r="X36" t="s">
        <v>49</v>
      </c>
      <c r="Y36" t="s">
        <v>50</v>
      </c>
      <c r="Z36" t="s">
        <v>51</v>
      </c>
      <c r="AA36" t="s">
        <v>37</v>
      </c>
      <c r="AB36" t="s">
        <v>52</v>
      </c>
      <c r="AC36" t="s">
        <v>53</v>
      </c>
      <c r="AD36" t="s">
        <v>54</v>
      </c>
      <c r="AE36">
        <v>47.8949846087</v>
      </c>
      <c r="AF36">
        <v>4217</v>
      </c>
      <c r="AG36">
        <v>4217.0623156600004</v>
      </c>
      <c r="AH36">
        <v>478957.53604899999</v>
      </c>
      <c r="AI36">
        <v>43</v>
      </c>
      <c r="AJ36">
        <v>319.41137398779398</v>
      </c>
      <c r="AK36" s="1">
        <f>intersection_ss_Lnight___surface[[#This Row],[surf m2 bout ss]]/intersection_ss_Lnight___surface[[#This Row],[Shape_Area]]</f>
        <v>6.6688871130971504E-4</v>
      </c>
      <c r="AL36">
        <v>1183</v>
      </c>
      <c r="AM36">
        <f>intersection_ss_Lnight___surface[[#This Row],[Population totale 2024 ss]]*intersection_ss_Lnight___surface[[#This Row],[Part de la surface du qs dans le noise contour]]</f>
        <v>0.78892934547939286</v>
      </c>
    </row>
    <row r="37" spans="1:39" x14ac:dyDescent="0.3">
      <c r="A37">
        <v>49</v>
      </c>
      <c r="B37" t="s">
        <v>439</v>
      </c>
      <c r="C37" t="s">
        <v>440</v>
      </c>
      <c r="D37" t="s">
        <v>441</v>
      </c>
      <c r="E37" t="s">
        <v>441</v>
      </c>
      <c r="F37" t="s">
        <v>426</v>
      </c>
      <c r="G37" t="s">
        <v>427</v>
      </c>
      <c r="H37" t="s">
        <v>428</v>
      </c>
      <c r="I37" t="s">
        <v>429</v>
      </c>
      <c r="J37" t="s">
        <v>36</v>
      </c>
      <c r="K37">
        <v>21004</v>
      </c>
      <c r="L37" t="s">
        <v>309</v>
      </c>
      <c r="M37" t="s">
        <v>310</v>
      </c>
      <c r="N37" t="s">
        <v>311</v>
      </c>
      <c r="O37">
        <v>21000</v>
      </c>
      <c r="P37" t="s">
        <v>46</v>
      </c>
      <c r="Q37" t="s">
        <v>47</v>
      </c>
      <c r="R37" t="s">
        <v>48</v>
      </c>
      <c r="T37" t="s">
        <v>36</v>
      </c>
      <c r="U37" t="s">
        <v>36</v>
      </c>
      <c r="V37" t="s">
        <v>36</v>
      </c>
      <c r="W37">
        <v>4000</v>
      </c>
      <c r="X37" t="s">
        <v>49</v>
      </c>
      <c r="Y37" t="s">
        <v>50</v>
      </c>
      <c r="Z37" t="s">
        <v>51</v>
      </c>
      <c r="AA37" t="s">
        <v>37</v>
      </c>
      <c r="AB37" t="s">
        <v>52</v>
      </c>
      <c r="AC37" t="s">
        <v>53</v>
      </c>
      <c r="AD37" t="s">
        <v>54</v>
      </c>
      <c r="AE37">
        <v>23.504064395499999</v>
      </c>
      <c r="AF37">
        <v>3798</v>
      </c>
      <c r="AG37">
        <v>3798.2014876799999</v>
      </c>
      <c r="AH37">
        <v>235044.38911700001</v>
      </c>
      <c r="AI37">
        <v>42</v>
      </c>
      <c r="AJ37">
        <v>79449.697904660396</v>
      </c>
      <c r="AK37" s="1">
        <f>intersection_ss_Lnight___surface[[#This Row],[surf m2 bout ss]]/intersection_ss_Lnight___surface[[#This Row],[Shape_Area]]</f>
        <v>0.33801997232578929</v>
      </c>
      <c r="AL37">
        <v>1149</v>
      </c>
      <c r="AM37">
        <f>intersection_ss_Lnight___surface[[#This Row],[Population totale 2024 ss]]*intersection_ss_Lnight___surface[[#This Row],[Part de la surface du qs dans le noise contour]]</f>
        <v>388.38494820233188</v>
      </c>
    </row>
    <row r="38" spans="1:39" x14ac:dyDescent="0.3">
      <c r="A38">
        <v>50</v>
      </c>
      <c r="B38" t="s">
        <v>439</v>
      </c>
      <c r="C38" t="s">
        <v>440</v>
      </c>
      <c r="D38" t="s">
        <v>441</v>
      </c>
      <c r="E38" t="s">
        <v>441</v>
      </c>
      <c r="F38" t="s">
        <v>426</v>
      </c>
      <c r="G38" t="s">
        <v>427</v>
      </c>
      <c r="H38" t="s">
        <v>428</v>
      </c>
      <c r="I38" t="s">
        <v>429</v>
      </c>
      <c r="J38" t="s">
        <v>36</v>
      </c>
      <c r="K38">
        <v>21004</v>
      </c>
      <c r="L38" t="s">
        <v>309</v>
      </c>
      <c r="M38" t="s">
        <v>310</v>
      </c>
      <c r="N38" t="s">
        <v>311</v>
      </c>
      <c r="O38">
        <v>21000</v>
      </c>
      <c r="P38" t="s">
        <v>46</v>
      </c>
      <c r="Q38" t="s">
        <v>47</v>
      </c>
      <c r="R38" t="s">
        <v>48</v>
      </c>
      <c r="T38" t="s">
        <v>36</v>
      </c>
      <c r="U38" t="s">
        <v>36</v>
      </c>
      <c r="V38" t="s">
        <v>36</v>
      </c>
      <c r="W38">
        <v>4000</v>
      </c>
      <c r="X38" t="s">
        <v>49</v>
      </c>
      <c r="Y38" t="s">
        <v>50</v>
      </c>
      <c r="Z38" t="s">
        <v>51</v>
      </c>
      <c r="AA38" t="s">
        <v>37</v>
      </c>
      <c r="AB38" t="s">
        <v>52</v>
      </c>
      <c r="AC38" t="s">
        <v>53</v>
      </c>
      <c r="AD38" t="s">
        <v>54</v>
      </c>
      <c r="AE38">
        <v>23.504064395499999</v>
      </c>
      <c r="AF38">
        <v>3798</v>
      </c>
      <c r="AG38">
        <v>3798.2014876799999</v>
      </c>
      <c r="AH38">
        <v>235044.38911700001</v>
      </c>
      <c r="AI38">
        <v>43</v>
      </c>
      <c r="AJ38">
        <v>155616.562902048</v>
      </c>
      <c r="AK38" s="1">
        <f>intersection_ss_Lnight___surface[[#This Row],[surf m2 bout ss]]/intersection_ss_Lnight___surface[[#This Row],[Shape_Area]]</f>
        <v>0.66207308111739449</v>
      </c>
      <c r="AL38">
        <v>1149</v>
      </c>
      <c r="AM38">
        <f>intersection_ss_Lnight___surface[[#This Row],[Population totale 2024 ss]]*intersection_ss_Lnight___surface[[#This Row],[Part de la surface du qs dans le noise contour]]</f>
        <v>760.72197020388626</v>
      </c>
    </row>
    <row r="39" spans="1:39" x14ac:dyDescent="0.3">
      <c r="A39">
        <v>51</v>
      </c>
      <c r="B39" t="s">
        <v>442</v>
      </c>
      <c r="C39" t="s">
        <v>443</v>
      </c>
      <c r="D39" t="s">
        <v>444</v>
      </c>
      <c r="E39" t="s">
        <v>444</v>
      </c>
      <c r="F39" t="s">
        <v>426</v>
      </c>
      <c r="G39" t="s">
        <v>427</v>
      </c>
      <c r="H39" t="s">
        <v>428</v>
      </c>
      <c r="I39" t="s">
        <v>429</v>
      </c>
      <c r="J39" t="s">
        <v>36</v>
      </c>
      <c r="K39">
        <v>21004</v>
      </c>
      <c r="L39" t="s">
        <v>309</v>
      </c>
      <c r="M39" t="s">
        <v>310</v>
      </c>
      <c r="N39" t="s">
        <v>311</v>
      </c>
      <c r="O39">
        <v>21000</v>
      </c>
      <c r="P39" t="s">
        <v>46</v>
      </c>
      <c r="Q39" t="s">
        <v>47</v>
      </c>
      <c r="R39" t="s">
        <v>48</v>
      </c>
      <c r="T39" t="s">
        <v>36</v>
      </c>
      <c r="U39" t="s">
        <v>36</v>
      </c>
      <c r="V39" t="s">
        <v>36</v>
      </c>
      <c r="W39">
        <v>4000</v>
      </c>
      <c r="X39" t="s">
        <v>49</v>
      </c>
      <c r="Y39" t="s">
        <v>50</v>
      </c>
      <c r="Z39" t="s">
        <v>51</v>
      </c>
      <c r="AA39" t="s">
        <v>37</v>
      </c>
      <c r="AB39" t="s">
        <v>52</v>
      </c>
      <c r="AC39" t="s">
        <v>53</v>
      </c>
      <c r="AD39" t="s">
        <v>54</v>
      </c>
      <c r="AE39">
        <v>8.8000831141900004</v>
      </c>
      <c r="AF39">
        <v>1735</v>
      </c>
      <c r="AG39">
        <v>1735.4706408</v>
      </c>
      <c r="AH39">
        <v>88002.259278400001</v>
      </c>
      <c r="AI39">
        <v>42</v>
      </c>
      <c r="AJ39">
        <v>88010.677560593904</v>
      </c>
      <c r="AK39" s="1">
        <f>intersection_ss_Lnight___surface[[#This Row],[surf m2 bout ss]]/intersection_ss_Lnight___surface[[#This Row],[Shape_Area]]</f>
        <v>1.0000956598417237</v>
      </c>
      <c r="AL39">
        <v>1206</v>
      </c>
      <c r="AM39">
        <f>intersection_ss_Lnight___surface[[#This Row],[Population totale 2024 ss]]*intersection_ss_Lnight___surface[[#This Row],[Part de la surface du qs dans le noise contour]]</f>
        <v>1206.1153657691186</v>
      </c>
    </row>
    <row r="40" spans="1:39" x14ac:dyDescent="0.3">
      <c r="A40">
        <v>52</v>
      </c>
      <c r="B40" t="s">
        <v>445</v>
      </c>
      <c r="C40" t="s">
        <v>446</v>
      </c>
      <c r="D40" t="s">
        <v>447</v>
      </c>
      <c r="E40" t="s">
        <v>447</v>
      </c>
      <c r="F40" t="s">
        <v>426</v>
      </c>
      <c r="G40" t="s">
        <v>427</v>
      </c>
      <c r="H40" t="s">
        <v>428</v>
      </c>
      <c r="I40" t="s">
        <v>429</v>
      </c>
      <c r="J40" t="s">
        <v>36</v>
      </c>
      <c r="K40">
        <v>21004</v>
      </c>
      <c r="L40" t="s">
        <v>309</v>
      </c>
      <c r="M40" t="s">
        <v>310</v>
      </c>
      <c r="N40" t="s">
        <v>311</v>
      </c>
      <c r="O40">
        <v>21000</v>
      </c>
      <c r="P40" t="s">
        <v>46</v>
      </c>
      <c r="Q40" t="s">
        <v>47</v>
      </c>
      <c r="R40" t="s">
        <v>48</v>
      </c>
      <c r="T40" t="s">
        <v>36</v>
      </c>
      <c r="U40" t="s">
        <v>36</v>
      </c>
      <c r="V40" t="s">
        <v>36</v>
      </c>
      <c r="W40">
        <v>4000</v>
      </c>
      <c r="X40" t="s">
        <v>49</v>
      </c>
      <c r="Y40" t="s">
        <v>50</v>
      </c>
      <c r="Z40" t="s">
        <v>51</v>
      </c>
      <c r="AA40" t="s">
        <v>37</v>
      </c>
      <c r="AB40" t="s">
        <v>52</v>
      </c>
      <c r="AC40" t="s">
        <v>53</v>
      </c>
      <c r="AD40" t="s">
        <v>54</v>
      </c>
      <c r="AE40">
        <v>164.308821233</v>
      </c>
      <c r="AF40">
        <v>7599</v>
      </c>
      <c r="AG40">
        <v>7599.4216580399998</v>
      </c>
      <c r="AH40">
        <v>1643114.6752200001</v>
      </c>
      <c r="AI40">
        <v>42</v>
      </c>
      <c r="AJ40">
        <v>8566.8212371105292</v>
      </c>
      <c r="AK40" s="1">
        <f>intersection_ss_Lnight___surface[[#This Row],[surf m2 bout ss]]/intersection_ss_Lnight___surface[[#This Row],[Shape_Area]]</f>
        <v>5.2137695355703034E-3</v>
      </c>
      <c r="AL40">
        <v>77</v>
      </c>
      <c r="AM40">
        <f>intersection_ss_Lnight___surface[[#This Row],[Population totale 2024 ss]]*intersection_ss_Lnight___surface[[#This Row],[Part de la surface du qs dans le noise contour]]</f>
        <v>0.40146025423891335</v>
      </c>
    </row>
    <row r="41" spans="1:39" x14ac:dyDescent="0.3">
      <c r="A41">
        <v>53</v>
      </c>
      <c r="B41" t="s">
        <v>445</v>
      </c>
      <c r="C41" t="s">
        <v>446</v>
      </c>
      <c r="D41" t="s">
        <v>447</v>
      </c>
      <c r="E41" t="s">
        <v>447</v>
      </c>
      <c r="F41" t="s">
        <v>426</v>
      </c>
      <c r="G41" t="s">
        <v>427</v>
      </c>
      <c r="H41" t="s">
        <v>428</v>
      </c>
      <c r="I41" t="s">
        <v>429</v>
      </c>
      <c r="J41" t="s">
        <v>36</v>
      </c>
      <c r="K41">
        <v>21004</v>
      </c>
      <c r="L41" t="s">
        <v>309</v>
      </c>
      <c r="M41" t="s">
        <v>310</v>
      </c>
      <c r="N41" t="s">
        <v>311</v>
      </c>
      <c r="O41">
        <v>21000</v>
      </c>
      <c r="P41" t="s">
        <v>46</v>
      </c>
      <c r="Q41" t="s">
        <v>47</v>
      </c>
      <c r="R41" t="s">
        <v>48</v>
      </c>
      <c r="T41" t="s">
        <v>36</v>
      </c>
      <c r="U41" t="s">
        <v>36</v>
      </c>
      <c r="V41" t="s">
        <v>36</v>
      </c>
      <c r="W41">
        <v>4000</v>
      </c>
      <c r="X41" t="s">
        <v>49</v>
      </c>
      <c r="Y41" t="s">
        <v>50</v>
      </c>
      <c r="Z41" t="s">
        <v>51</v>
      </c>
      <c r="AA41" t="s">
        <v>37</v>
      </c>
      <c r="AB41" t="s">
        <v>52</v>
      </c>
      <c r="AC41" t="s">
        <v>53</v>
      </c>
      <c r="AD41" t="s">
        <v>54</v>
      </c>
      <c r="AE41">
        <v>164.308821233</v>
      </c>
      <c r="AF41">
        <v>7599</v>
      </c>
      <c r="AG41">
        <v>7599.4216580399998</v>
      </c>
      <c r="AH41">
        <v>1643114.6752200001</v>
      </c>
      <c r="AI41">
        <v>43</v>
      </c>
      <c r="AJ41">
        <v>445003.89383094403</v>
      </c>
      <c r="AK41" s="1">
        <f>intersection_ss_Lnight___surface[[#This Row],[surf m2 bout ss]]/intersection_ss_Lnight___surface[[#This Row],[Shape_Area]]</f>
        <v>0.2708294804629881</v>
      </c>
      <c r="AL41">
        <v>77</v>
      </c>
      <c r="AM41">
        <f>intersection_ss_Lnight___surface[[#This Row],[Population totale 2024 ss]]*intersection_ss_Lnight___surface[[#This Row],[Part de la surface du qs dans le noise contour]]</f>
        <v>20.853869995650083</v>
      </c>
    </row>
    <row r="42" spans="1:39" x14ac:dyDescent="0.3">
      <c r="A42">
        <v>54</v>
      </c>
      <c r="B42" t="s">
        <v>445</v>
      </c>
      <c r="C42" t="s">
        <v>446</v>
      </c>
      <c r="D42" t="s">
        <v>447</v>
      </c>
      <c r="E42" t="s">
        <v>447</v>
      </c>
      <c r="F42" t="s">
        <v>426</v>
      </c>
      <c r="G42" t="s">
        <v>427</v>
      </c>
      <c r="H42" t="s">
        <v>428</v>
      </c>
      <c r="I42" t="s">
        <v>429</v>
      </c>
      <c r="J42" t="s">
        <v>36</v>
      </c>
      <c r="K42">
        <v>21004</v>
      </c>
      <c r="L42" t="s">
        <v>309</v>
      </c>
      <c r="M42" t="s">
        <v>310</v>
      </c>
      <c r="N42" t="s">
        <v>311</v>
      </c>
      <c r="O42">
        <v>21000</v>
      </c>
      <c r="P42" t="s">
        <v>46</v>
      </c>
      <c r="Q42" t="s">
        <v>47</v>
      </c>
      <c r="R42" t="s">
        <v>48</v>
      </c>
      <c r="T42" t="s">
        <v>36</v>
      </c>
      <c r="U42" t="s">
        <v>36</v>
      </c>
      <c r="V42" t="s">
        <v>36</v>
      </c>
      <c r="W42">
        <v>4000</v>
      </c>
      <c r="X42" t="s">
        <v>49</v>
      </c>
      <c r="Y42" t="s">
        <v>50</v>
      </c>
      <c r="Z42" t="s">
        <v>51</v>
      </c>
      <c r="AA42" t="s">
        <v>37</v>
      </c>
      <c r="AB42" t="s">
        <v>52</v>
      </c>
      <c r="AC42" t="s">
        <v>53</v>
      </c>
      <c r="AD42" t="s">
        <v>54</v>
      </c>
      <c r="AE42">
        <v>164.308821233</v>
      </c>
      <c r="AF42">
        <v>7599</v>
      </c>
      <c r="AG42">
        <v>7599.4216580399998</v>
      </c>
      <c r="AH42">
        <v>1643114.6752200001</v>
      </c>
      <c r="AI42">
        <v>44</v>
      </c>
      <c r="AJ42">
        <v>364412.861741403</v>
      </c>
      <c r="AK42" s="1">
        <f>intersection_ss_Lnight___surface[[#This Row],[surf m2 bout ss]]/intersection_ss_Lnight___surface[[#This Row],[Shape_Area]]</f>
        <v>0.22178175828939692</v>
      </c>
      <c r="AL42">
        <v>77</v>
      </c>
      <c r="AM42">
        <f>intersection_ss_Lnight___surface[[#This Row],[Population totale 2024 ss]]*intersection_ss_Lnight___surface[[#This Row],[Part de la surface du qs dans le noise contour]]</f>
        <v>17.077195388283563</v>
      </c>
    </row>
    <row r="43" spans="1:39" x14ac:dyDescent="0.3">
      <c r="A43">
        <v>55</v>
      </c>
      <c r="B43" t="s">
        <v>445</v>
      </c>
      <c r="C43" t="s">
        <v>446</v>
      </c>
      <c r="D43" t="s">
        <v>447</v>
      </c>
      <c r="E43" t="s">
        <v>447</v>
      </c>
      <c r="F43" t="s">
        <v>426</v>
      </c>
      <c r="G43" t="s">
        <v>427</v>
      </c>
      <c r="H43" t="s">
        <v>428</v>
      </c>
      <c r="I43" t="s">
        <v>429</v>
      </c>
      <c r="J43" t="s">
        <v>36</v>
      </c>
      <c r="K43">
        <v>21004</v>
      </c>
      <c r="L43" t="s">
        <v>309</v>
      </c>
      <c r="M43" t="s">
        <v>310</v>
      </c>
      <c r="N43" t="s">
        <v>311</v>
      </c>
      <c r="O43">
        <v>21000</v>
      </c>
      <c r="P43" t="s">
        <v>46</v>
      </c>
      <c r="Q43" t="s">
        <v>47</v>
      </c>
      <c r="R43" t="s">
        <v>48</v>
      </c>
      <c r="T43" t="s">
        <v>36</v>
      </c>
      <c r="U43" t="s">
        <v>36</v>
      </c>
      <c r="V43" t="s">
        <v>36</v>
      </c>
      <c r="W43">
        <v>4000</v>
      </c>
      <c r="X43" t="s">
        <v>49</v>
      </c>
      <c r="Y43" t="s">
        <v>50</v>
      </c>
      <c r="Z43" t="s">
        <v>51</v>
      </c>
      <c r="AA43" t="s">
        <v>37</v>
      </c>
      <c r="AB43" t="s">
        <v>52</v>
      </c>
      <c r="AC43" t="s">
        <v>53</v>
      </c>
      <c r="AD43" t="s">
        <v>54</v>
      </c>
      <c r="AE43">
        <v>164.308821233</v>
      </c>
      <c r="AF43">
        <v>7599</v>
      </c>
      <c r="AG43">
        <v>7599.4216580399998</v>
      </c>
      <c r="AH43">
        <v>1643114.6752200001</v>
      </c>
      <c r="AI43">
        <v>45</v>
      </c>
      <c r="AJ43">
        <v>308413.85520016402</v>
      </c>
      <c r="AK43" s="1">
        <f>intersection_ss_Lnight___surface[[#This Row],[surf m2 bout ss]]/intersection_ss_Lnight___surface[[#This Row],[Shape_Area]]</f>
        <v>0.18770074898081587</v>
      </c>
      <c r="AL43">
        <v>77</v>
      </c>
      <c r="AM43">
        <f>intersection_ss_Lnight___surface[[#This Row],[Population totale 2024 ss]]*intersection_ss_Lnight___surface[[#This Row],[Part de la surface du qs dans le noise contour]]</f>
        <v>14.452957671522823</v>
      </c>
    </row>
    <row r="44" spans="1:39" x14ac:dyDescent="0.3">
      <c r="A44">
        <v>56</v>
      </c>
      <c r="B44" t="s">
        <v>445</v>
      </c>
      <c r="C44" t="s">
        <v>446</v>
      </c>
      <c r="D44" t="s">
        <v>447</v>
      </c>
      <c r="E44" t="s">
        <v>447</v>
      </c>
      <c r="F44" t="s">
        <v>426</v>
      </c>
      <c r="G44" t="s">
        <v>427</v>
      </c>
      <c r="H44" t="s">
        <v>428</v>
      </c>
      <c r="I44" t="s">
        <v>429</v>
      </c>
      <c r="J44" t="s">
        <v>36</v>
      </c>
      <c r="K44">
        <v>21004</v>
      </c>
      <c r="L44" t="s">
        <v>309</v>
      </c>
      <c r="M44" t="s">
        <v>310</v>
      </c>
      <c r="N44" t="s">
        <v>311</v>
      </c>
      <c r="O44">
        <v>21000</v>
      </c>
      <c r="P44" t="s">
        <v>46</v>
      </c>
      <c r="Q44" t="s">
        <v>47</v>
      </c>
      <c r="R44" t="s">
        <v>48</v>
      </c>
      <c r="T44" t="s">
        <v>36</v>
      </c>
      <c r="U44" t="s">
        <v>36</v>
      </c>
      <c r="V44" t="s">
        <v>36</v>
      </c>
      <c r="W44">
        <v>4000</v>
      </c>
      <c r="X44" t="s">
        <v>49</v>
      </c>
      <c r="Y44" t="s">
        <v>50</v>
      </c>
      <c r="Z44" t="s">
        <v>51</v>
      </c>
      <c r="AA44" t="s">
        <v>37</v>
      </c>
      <c r="AB44" t="s">
        <v>52</v>
      </c>
      <c r="AC44" t="s">
        <v>53</v>
      </c>
      <c r="AD44" t="s">
        <v>54</v>
      </c>
      <c r="AE44">
        <v>164.308821233</v>
      </c>
      <c r="AF44">
        <v>7599</v>
      </c>
      <c r="AG44">
        <v>7599.4216580399998</v>
      </c>
      <c r="AH44">
        <v>1643114.6752200001</v>
      </c>
      <c r="AI44">
        <v>46</v>
      </c>
      <c r="AJ44">
        <v>276739.48506597901</v>
      </c>
      <c r="AK44" s="1">
        <f>intersection_ss_Lnight___surface[[#This Row],[surf m2 bout ss]]/intersection_ss_Lnight___surface[[#This Row],[Shape_Area]]</f>
        <v>0.16842371943937862</v>
      </c>
      <c r="AL44">
        <v>77</v>
      </c>
      <c r="AM44">
        <f>intersection_ss_Lnight___surface[[#This Row],[Population totale 2024 ss]]*intersection_ss_Lnight___surface[[#This Row],[Part de la surface du qs dans le noise contour]]</f>
        <v>12.968626396832153</v>
      </c>
    </row>
    <row r="45" spans="1:39" x14ac:dyDescent="0.3">
      <c r="A45">
        <v>57</v>
      </c>
      <c r="B45" t="s">
        <v>445</v>
      </c>
      <c r="C45" t="s">
        <v>446</v>
      </c>
      <c r="D45" t="s">
        <v>447</v>
      </c>
      <c r="E45" t="s">
        <v>447</v>
      </c>
      <c r="F45" t="s">
        <v>426</v>
      </c>
      <c r="G45" t="s">
        <v>427</v>
      </c>
      <c r="H45" t="s">
        <v>428</v>
      </c>
      <c r="I45" t="s">
        <v>429</v>
      </c>
      <c r="J45" t="s">
        <v>36</v>
      </c>
      <c r="K45">
        <v>21004</v>
      </c>
      <c r="L45" t="s">
        <v>309</v>
      </c>
      <c r="M45" t="s">
        <v>310</v>
      </c>
      <c r="N45" t="s">
        <v>311</v>
      </c>
      <c r="O45">
        <v>21000</v>
      </c>
      <c r="P45" t="s">
        <v>46</v>
      </c>
      <c r="Q45" t="s">
        <v>47</v>
      </c>
      <c r="R45" t="s">
        <v>48</v>
      </c>
      <c r="T45" t="s">
        <v>36</v>
      </c>
      <c r="U45" t="s">
        <v>36</v>
      </c>
      <c r="V45" t="s">
        <v>36</v>
      </c>
      <c r="W45">
        <v>4000</v>
      </c>
      <c r="X45" t="s">
        <v>49</v>
      </c>
      <c r="Y45" t="s">
        <v>50</v>
      </c>
      <c r="Z45" t="s">
        <v>51</v>
      </c>
      <c r="AA45" t="s">
        <v>37</v>
      </c>
      <c r="AB45" t="s">
        <v>52</v>
      </c>
      <c r="AC45" t="s">
        <v>53</v>
      </c>
      <c r="AD45" t="s">
        <v>54</v>
      </c>
      <c r="AE45">
        <v>164.308821233</v>
      </c>
      <c r="AF45">
        <v>7599</v>
      </c>
      <c r="AG45">
        <v>7599.4216580399998</v>
      </c>
      <c r="AH45">
        <v>1643114.6752200001</v>
      </c>
      <c r="AI45">
        <v>47</v>
      </c>
      <c r="AJ45">
        <v>231063.26830902</v>
      </c>
      <c r="AK45" s="1">
        <f>intersection_ss_Lnight___surface[[#This Row],[surf m2 bout ss]]/intersection_ss_Lnight___surface[[#This Row],[Shape_Area]]</f>
        <v>0.14062516256090432</v>
      </c>
      <c r="AL45">
        <v>77</v>
      </c>
      <c r="AM45">
        <f>intersection_ss_Lnight___surface[[#This Row],[Population totale 2024 ss]]*intersection_ss_Lnight___surface[[#This Row],[Part de la surface du qs dans le noise contour]]</f>
        <v>10.828137517189633</v>
      </c>
    </row>
    <row r="46" spans="1:39" x14ac:dyDescent="0.3">
      <c r="A46">
        <v>58</v>
      </c>
      <c r="B46" t="s">
        <v>445</v>
      </c>
      <c r="C46" t="s">
        <v>446</v>
      </c>
      <c r="D46" t="s">
        <v>447</v>
      </c>
      <c r="E46" t="s">
        <v>447</v>
      </c>
      <c r="F46" t="s">
        <v>426</v>
      </c>
      <c r="G46" t="s">
        <v>427</v>
      </c>
      <c r="H46" t="s">
        <v>428</v>
      </c>
      <c r="I46" t="s">
        <v>429</v>
      </c>
      <c r="J46" t="s">
        <v>36</v>
      </c>
      <c r="K46">
        <v>21004</v>
      </c>
      <c r="L46" t="s">
        <v>309</v>
      </c>
      <c r="M46" t="s">
        <v>310</v>
      </c>
      <c r="N46" t="s">
        <v>311</v>
      </c>
      <c r="O46">
        <v>21000</v>
      </c>
      <c r="P46" t="s">
        <v>46</v>
      </c>
      <c r="Q46" t="s">
        <v>47</v>
      </c>
      <c r="R46" t="s">
        <v>48</v>
      </c>
      <c r="T46" t="s">
        <v>36</v>
      </c>
      <c r="U46" t="s">
        <v>36</v>
      </c>
      <c r="V46" t="s">
        <v>36</v>
      </c>
      <c r="W46">
        <v>4000</v>
      </c>
      <c r="X46" t="s">
        <v>49</v>
      </c>
      <c r="Y46" t="s">
        <v>50</v>
      </c>
      <c r="Z46" t="s">
        <v>51</v>
      </c>
      <c r="AA46" t="s">
        <v>37</v>
      </c>
      <c r="AB46" t="s">
        <v>52</v>
      </c>
      <c r="AC46" t="s">
        <v>53</v>
      </c>
      <c r="AD46" t="s">
        <v>54</v>
      </c>
      <c r="AE46">
        <v>164.308821233</v>
      </c>
      <c r="AF46">
        <v>7599</v>
      </c>
      <c r="AG46">
        <v>7599.4216580399998</v>
      </c>
      <c r="AH46">
        <v>1643114.6752200001</v>
      </c>
      <c r="AI46">
        <v>48</v>
      </c>
      <c r="AJ46">
        <v>9064.05578500312</v>
      </c>
      <c r="AK46" s="1">
        <f>intersection_ss_Lnight___surface[[#This Row],[surf m2 bout ss]]/intersection_ss_Lnight___surface[[#This Row],[Shape_Area]]</f>
        <v>5.5163866050855605E-3</v>
      </c>
      <c r="AL46">
        <v>77</v>
      </c>
      <c r="AM46">
        <f>intersection_ss_Lnight___surface[[#This Row],[Population totale 2024 ss]]*intersection_ss_Lnight___surface[[#This Row],[Part de la surface du qs dans le noise contour]]</f>
        <v>0.42476176859158815</v>
      </c>
    </row>
    <row r="47" spans="1:39" x14ac:dyDescent="0.3">
      <c r="A47">
        <v>59</v>
      </c>
      <c r="B47" t="s">
        <v>448</v>
      </c>
      <c r="C47" t="s">
        <v>449</v>
      </c>
      <c r="D47" t="s">
        <v>450</v>
      </c>
      <c r="E47" t="s">
        <v>450</v>
      </c>
      <c r="F47" t="s">
        <v>426</v>
      </c>
      <c r="G47" t="s">
        <v>427</v>
      </c>
      <c r="H47" t="s">
        <v>428</v>
      </c>
      <c r="I47" t="s">
        <v>429</v>
      </c>
      <c r="J47" t="s">
        <v>36</v>
      </c>
      <c r="K47">
        <v>21004</v>
      </c>
      <c r="L47" t="s">
        <v>309</v>
      </c>
      <c r="M47" t="s">
        <v>310</v>
      </c>
      <c r="N47" t="s">
        <v>311</v>
      </c>
      <c r="O47">
        <v>21000</v>
      </c>
      <c r="P47" t="s">
        <v>46</v>
      </c>
      <c r="Q47" t="s">
        <v>47</v>
      </c>
      <c r="R47" t="s">
        <v>48</v>
      </c>
      <c r="T47" t="s">
        <v>36</v>
      </c>
      <c r="U47" t="s">
        <v>36</v>
      </c>
      <c r="V47" t="s">
        <v>36</v>
      </c>
      <c r="W47">
        <v>4000</v>
      </c>
      <c r="X47" t="s">
        <v>49</v>
      </c>
      <c r="Y47" t="s">
        <v>50</v>
      </c>
      <c r="Z47" t="s">
        <v>51</v>
      </c>
      <c r="AA47" t="s">
        <v>37</v>
      </c>
      <c r="AB47" t="s">
        <v>52</v>
      </c>
      <c r="AC47" t="s">
        <v>53</v>
      </c>
      <c r="AD47" t="s">
        <v>54</v>
      </c>
      <c r="AE47">
        <v>51.108026607699998</v>
      </c>
      <c r="AF47">
        <v>3395</v>
      </c>
      <c r="AG47">
        <v>3394.6082305099999</v>
      </c>
      <c r="AH47">
        <v>511088.49808300001</v>
      </c>
      <c r="AI47">
        <v>41</v>
      </c>
      <c r="AJ47">
        <v>208886.40456714199</v>
      </c>
      <c r="AK47" s="1">
        <f>intersection_ss_Lnight___surface[[#This Row],[surf m2 bout ss]]/intersection_ss_Lnight___surface[[#This Row],[Shape_Area]]</f>
        <v>0.40870887400251993</v>
      </c>
      <c r="AL47">
        <v>844</v>
      </c>
      <c r="AM47">
        <f>intersection_ss_Lnight___surface[[#This Row],[Population totale 2024 ss]]*intersection_ss_Lnight___surface[[#This Row],[Part de la surface du qs dans le noise contour]]</f>
        <v>344.95028965812679</v>
      </c>
    </row>
    <row r="48" spans="1:39" x14ac:dyDescent="0.3">
      <c r="A48">
        <v>60</v>
      </c>
      <c r="B48" t="s">
        <v>448</v>
      </c>
      <c r="C48" t="s">
        <v>449</v>
      </c>
      <c r="D48" t="s">
        <v>450</v>
      </c>
      <c r="E48" t="s">
        <v>450</v>
      </c>
      <c r="F48" t="s">
        <v>426</v>
      </c>
      <c r="G48" t="s">
        <v>427</v>
      </c>
      <c r="H48" t="s">
        <v>428</v>
      </c>
      <c r="I48" t="s">
        <v>429</v>
      </c>
      <c r="J48" t="s">
        <v>36</v>
      </c>
      <c r="K48">
        <v>21004</v>
      </c>
      <c r="L48" t="s">
        <v>309</v>
      </c>
      <c r="M48" t="s">
        <v>310</v>
      </c>
      <c r="N48" t="s">
        <v>311</v>
      </c>
      <c r="O48">
        <v>21000</v>
      </c>
      <c r="P48" t="s">
        <v>46</v>
      </c>
      <c r="Q48" t="s">
        <v>47</v>
      </c>
      <c r="R48" t="s">
        <v>48</v>
      </c>
      <c r="T48" t="s">
        <v>36</v>
      </c>
      <c r="U48" t="s">
        <v>36</v>
      </c>
      <c r="V48" t="s">
        <v>36</v>
      </c>
      <c r="W48">
        <v>4000</v>
      </c>
      <c r="X48" t="s">
        <v>49</v>
      </c>
      <c r="Y48" t="s">
        <v>50</v>
      </c>
      <c r="Z48" t="s">
        <v>51</v>
      </c>
      <c r="AA48" t="s">
        <v>37</v>
      </c>
      <c r="AB48" t="s">
        <v>52</v>
      </c>
      <c r="AC48" t="s">
        <v>53</v>
      </c>
      <c r="AD48" t="s">
        <v>54</v>
      </c>
      <c r="AE48">
        <v>51.108026607699998</v>
      </c>
      <c r="AF48">
        <v>3395</v>
      </c>
      <c r="AG48">
        <v>3394.6082305099999</v>
      </c>
      <c r="AH48">
        <v>511088.49808300001</v>
      </c>
      <c r="AI48">
        <v>42</v>
      </c>
      <c r="AJ48">
        <v>302250.19444291998</v>
      </c>
      <c r="AK48" s="1">
        <f>intersection_ss_Lnight___surface[[#This Row],[surf m2 bout ss]]/intersection_ss_Lnight___surface[[#This Row],[Shape_Area]]</f>
        <v>0.59138524067085341</v>
      </c>
      <c r="AL48">
        <v>844</v>
      </c>
      <c r="AM48">
        <f>intersection_ss_Lnight___surface[[#This Row],[Population totale 2024 ss]]*intersection_ss_Lnight___surface[[#This Row],[Part de la surface du qs dans le noise contour]]</f>
        <v>499.12914312620029</v>
      </c>
    </row>
    <row r="49" spans="1:39" x14ac:dyDescent="0.3">
      <c r="A49">
        <v>61</v>
      </c>
      <c r="B49" t="s">
        <v>451</v>
      </c>
      <c r="C49" t="s">
        <v>452</v>
      </c>
      <c r="D49" t="s">
        <v>453</v>
      </c>
      <c r="E49" t="s">
        <v>453</v>
      </c>
      <c r="F49" t="s">
        <v>454</v>
      </c>
      <c r="G49" t="s">
        <v>455</v>
      </c>
      <c r="H49" t="s">
        <v>456</v>
      </c>
      <c r="I49" t="s">
        <v>457</v>
      </c>
      <c r="J49" t="s">
        <v>36</v>
      </c>
      <c r="K49">
        <v>21004</v>
      </c>
      <c r="L49" t="s">
        <v>309</v>
      </c>
      <c r="M49" t="s">
        <v>310</v>
      </c>
      <c r="N49" t="s">
        <v>311</v>
      </c>
      <c r="O49">
        <v>21000</v>
      </c>
      <c r="P49" t="s">
        <v>46</v>
      </c>
      <c r="Q49" t="s">
        <v>47</v>
      </c>
      <c r="R49" t="s">
        <v>48</v>
      </c>
      <c r="T49" t="s">
        <v>36</v>
      </c>
      <c r="U49" t="s">
        <v>36</v>
      </c>
      <c r="V49" t="s">
        <v>36</v>
      </c>
      <c r="W49">
        <v>4000</v>
      </c>
      <c r="X49" t="s">
        <v>49</v>
      </c>
      <c r="Y49" t="s">
        <v>50</v>
      </c>
      <c r="Z49" t="s">
        <v>51</v>
      </c>
      <c r="AA49" t="s">
        <v>37</v>
      </c>
      <c r="AB49" t="s">
        <v>52</v>
      </c>
      <c r="AC49" t="s">
        <v>53</v>
      </c>
      <c r="AD49" t="s">
        <v>54</v>
      </c>
      <c r="AE49">
        <v>13.7453583065</v>
      </c>
      <c r="AF49">
        <v>3426</v>
      </c>
      <c r="AG49">
        <v>3426.0515056200002</v>
      </c>
      <c r="AH49">
        <v>137455.800017</v>
      </c>
      <c r="AI49">
        <v>41</v>
      </c>
      <c r="AJ49">
        <v>3204.1457189563698</v>
      </c>
      <c r="AK49" s="1">
        <f>intersection_ss_Lnight___surface[[#This Row],[surf m2 bout ss]]/intersection_ss_Lnight___surface[[#This Row],[Shape_Area]]</f>
        <v>2.3310371177935697E-2</v>
      </c>
      <c r="AL49">
        <v>2181</v>
      </c>
      <c r="AM49">
        <f>intersection_ss_Lnight___surface[[#This Row],[Population totale 2024 ss]]*intersection_ss_Lnight___surface[[#This Row],[Part de la surface du qs dans le noise contour]]</f>
        <v>50.839919539077755</v>
      </c>
    </row>
    <row r="50" spans="1:39" x14ac:dyDescent="0.3">
      <c r="A50">
        <v>62</v>
      </c>
      <c r="B50" t="s">
        <v>451</v>
      </c>
      <c r="C50" t="s">
        <v>452</v>
      </c>
      <c r="D50" t="s">
        <v>453</v>
      </c>
      <c r="E50" t="s">
        <v>453</v>
      </c>
      <c r="F50" t="s">
        <v>454</v>
      </c>
      <c r="G50" t="s">
        <v>455</v>
      </c>
      <c r="H50" t="s">
        <v>456</v>
      </c>
      <c r="I50" t="s">
        <v>457</v>
      </c>
      <c r="J50" t="s">
        <v>36</v>
      </c>
      <c r="K50">
        <v>21004</v>
      </c>
      <c r="L50" t="s">
        <v>309</v>
      </c>
      <c r="M50" t="s">
        <v>310</v>
      </c>
      <c r="N50" t="s">
        <v>311</v>
      </c>
      <c r="O50">
        <v>21000</v>
      </c>
      <c r="P50" t="s">
        <v>46</v>
      </c>
      <c r="Q50" t="s">
        <v>47</v>
      </c>
      <c r="R50" t="s">
        <v>48</v>
      </c>
      <c r="T50" t="s">
        <v>36</v>
      </c>
      <c r="U50" t="s">
        <v>36</v>
      </c>
      <c r="V50" t="s">
        <v>36</v>
      </c>
      <c r="W50">
        <v>4000</v>
      </c>
      <c r="X50" t="s">
        <v>49</v>
      </c>
      <c r="Y50" t="s">
        <v>50</v>
      </c>
      <c r="Z50" t="s">
        <v>51</v>
      </c>
      <c r="AA50" t="s">
        <v>37</v>
      </c>
      <c r="AB50" t="s">
        <v>52</v>
      </c>
      <c r="AC50" t="s">
        <v>53</v>
      </c>
      <c r="AD50" t="s">
        <v>54</v>
      </c>
      <c r="AE50">
        <v>13.7453583065</v>
      </c>
      <c r="AF50">
        <v>3426</v>
      </c>
      <c r="AG50">
        <v>3426.0515056200002</v>
      </c>
      <c r="AH50">
        <v>137455.800017</v>
      </c>
      <c r="AI50">
        <v>42</v>
      </c>
      <c r="AJ50">
        <v>109322.511844425</v>
      </c>
      <c r="AK50" s="1">
        <f>intersection_ss_Lnight___surface[[#This Row],[surf m2 bout ss]]/intersection_ss_Lnight___surface[[#This Row],[Shape_Area]]</f>
        <v>0.79532847526917316</v>
      </c>
      <c r="AL50">
        <v>2181</v>
      </c>
      <c r="AM50">
        <f>intersection_ss_Lnight___surface[[#This Row],[Population totale 2024 ss]]*intersection_ss_Lnight___surface[[#This Row],[Part de la surface du qs dans le noise contour]]</f>
        <v>1734.6114045620666</v>
      </c>
    </row>
    <row r="51" spans="1:39" x14ac:dyDescent="0.3">
      <c r="A51">
        <v>63</v>
      </c>
      <c r="B51" t="s">
        <v>451</v>
      </c>
      <c r="C51" t="s">
        <v>452</v>
      </c>
      <c r="D51" t="s">
        <v>453</v>
      </c>
      <c r="E51" t="s">
        <v>453</v>
      </c>
      <c r="F51" t="s">
        <v>454</v>
      </c>
      <c r="G51" t="s">
        <v>455</v>
      </c>
      <c r="H51" t="s">
        <v>456</v>
      </c>
      <c r="I51" t="s">
        <v>457</v>
      </c>
      <c r="J51" t="s">
        <v>36</v>
      </c>
      <c r="K51">
        <v>21004</v>
      </c>
      <c r="L51" t="s">
        <v>309</v>
      </c>
      <c r="M51" t="s">
        <v>310</v>
      </c>
      <c r="N51" t="s">
        <v>311</v>
      </c>
      <c r="O51">
        <v>21000</v>
      </c>
      <c r="P51" t="s">
        <v>46</v>
      </c>
      <c r="Q51" t="s">
        <v>47</v>
      </c>
      <c r="R51" t="s">
        <v>48</v>
      </c>
      <c r="T51" t="s">
        <v>36</v>
      </c>
      <c r="U51" t="s">
        <v>36</v>
      </c>
      <c r="V51" t="s">
        <v>36</v>
      </c>
      <c r="W51">
        <v>4000</v>
      </c>
      <c r="X51" t="s">
        <v>49</v>
      </c>
      <c r="Y51" t="s">
        <v>50</v>
      </c>
      <c r="Z51" t="s">
        <v>51</v>
      </c>
      <c r="AA51" t="s">
        <v>37</v>
      </c>
      <c r="AB51" t="s">
        <v>52</v>
      </c>
      <c r="AC51" t="s">
        <v>53</v>
      </c>
      <c r="AD51" t="s">
        <v>54</v>
      </c>
      <c r="AE51">
        <v>13.7453583065</v>
      </c>
      <c r="AF51">
        <v>3426</v>
      </c>
      <c r="AG51">
        <v>3426.0515056200002</v>
      </c>
      <c r="AH51">
        <v>137455.800017</v>
      </c>
      <c r="AI51">
        <v>43</v>
      </c>
      <c r="AJ51">
        <v>24941.730596052901</v>
      </c>
      <c r="AK51" s="1">
        <f>intersection_ss_Lnight___surface[[#This Row],[surf m2 bout ss]]/intersection_ss_Lnight___surface[[#This Row],[Shape_Area]]</f>
        <v>0.18145273311834206</v>
      </c>
      <c r="AL51">
        <v>2181</v>
      </c>
      <c r="AM51">
        <f>intersection_ss_Lnight___surface[[#This Row],[Population totale 2024 ss]]*intersection_ss_Lnight___surface[[#This Row],[Part de la surface du qs dans le noise contour]]</f>
        <v>395.74841093110405</v>
      </c>
    </row>
    <row r="52" spans="1:39" x14ac:dyDescent="0.3">
      <c r="A52">
        <v>64</v>
      </c>
      <c r="B52" t="s">
        <v>458</v>
      </c>
      <c r="C52" t="s">
        <v>459</v>
      </c>
      <c r="D52" t="s">
        <v>460</v>
      </c>
      <c r="E52" t="s">
        <v>460</v>
      </c>
      <c r="F52" t="s">
        <v>454</v>
      </c>
      <c r="G52" t="s">
        <v>455</v>
      </c>
      <c r="H52" t="s">
        <v>456</v>
      </c>
      <c r="I52" t="s">
        <v>457</v>
      </c>
      <c r="J52" t="s">
        <v>36</v>
      </c>
      <c r="K52">
        <v>21004</v>
      </c>
      <c r="L52" t="s">
        <v>309</v>
      </c>
      <c r="M52" t="s">
        <v>310</v>
      </c>
      <c r="N52" t="s">
        <v>311</v>
      </c>
      <c r="O52">
        <v>21000</v>
      </c>
      <c r="P52" t="s">
        <v>46</v>
      </c>
      <c r="Q52" t="s">
        <v>47</v>
      </c>
      <c r="R52" t="s">
        <v>48</v>
      </c>
      <c r="T52" t="s">
        <v>36</v>
      </c>
      <c r="U52" t="s">
        <v>36</v>
      </c>
      <c r="V52" t="s">
        <v>36</v>
      </c>
      <c r="W52">
        <v>4000</v>
      </c>
      <c r="X52" t="s">
        <v>49</v>
      </c>
      <c r="Y52" t="s">
        <v>50</v>
      </c>
      <c r="Z52" t="s">
        <v>51</v>
      </c>
      <c r="AA52" t="s">
        <v>37</v>
      </c>
      <c r="AB52" t="s">
        <v>52</v>
      </c>
      <c r="AC52" t="s">
        <v>53</v>
      </c>
      <c r="AD52" t="s">
        <v>54</v>
      </c>
      <c r="AE52">
        <v>2.1035161171499999</v>
      </c>
      <c r="AF52">
        <v>713</v>
      </c>
      <c r="AG52">
        <v>712.93773474099999</v>
      </c>
      <c r="AH52">
        <v>21035.4872068</v>
      </c>
      <c r="AI52">
        <v>41</v>
      </c>
      <c r="AJ52">
        <v>21037.408949639601</v>
      </c>
      <c r="AK52" s="1">
        <f>intersection_ss_Lnight___surface[[#This Row],[surf m2 bout ss]]/intersection_ss_Lnight___surface[[#This Row],[Shape_Area]]</f>
        <v>1.0000913571823038</v>
      </c>
      <c r="AL52">
        <v>549</v>
      </c>
      <c r="AM52">
        <f>intersection_ss_Lnight___surface[[#This Row],[Population totale 2024 ss]]*intersection_ss_Lnight___surface[[#This Row],[Part de la surface du qs dans le noise contour]]</f>
        <v>549.05015509308475</v>
      </c>
    </row>
    <row r="53" spans="1:39" x14ac:dyDescent="0.3">
      <c r="A53">
        <v>65</v>
      </c>
      <c r="B53" t="s">
        <v>461</v>
      </c>
      <c r="C53" t="s">
        <v>462</v>
      </c>
      <c r="D53" t="s">
        <v>463</v>
      </c>
      <c r="E53" t="s">
        <v>463</v>
      </c>
      <c r="F53" t="s">
        <v>454</v>
      </c>
      <c r="G53" t="s">
        <v>455</v>
      </c>
      <c r="H53" t="s">
        <v>456</v>
      </c>
      <c r="I53" t="s">
        <v>457</v>
      </c>
      <c r="J53" t="s">
        <v>36</v>
      </c>
      <c r="K53">
        <v>21004</v>
      </c>
      <c r="L53" t="s">
        <v>309</v>
      </c>
      <c r="M53" t="s">
        <v>310</v>
      </c>
      <c r="N53" t="s">
        <v>311</v>
      </c>
      <c r="O53">
        <v>21000</v>
      </c>
      <c r="P53" t="s">
        <v>46</v>
      </c>
      <c r="Q53" t="s">
        <v>47</v>
      </c>
      <c r="R53" t="s">
        <v>48</v>
      </c>
      <c r="T53" t="s">
        <v>36</v>
      </c>
      <c r="U53" t="s">
        <v>36</v>
      </c>
      <c r="V53" t="s">
        <v>36</v>
      </c>
      <c r="W53">
        <v>4000</v>
      </c>
      <c r="X53" t="s">
        <v>49</v>
      </c>
      <c r="Y53" t="s">
        <v>50</v>
      </c>
      <c r="Z53" t="s">
        <v>51</v>
      </c>
      <c r="AA53" t="s">
        <v>37</v>
      </c>
      <c r="AB53" t="s">
        <v>52</v>
      </c>
      <c r="AC53" t="s">
        <v>53</v>
      </c>
      <c r="AD53" t="s">
        <v>54</v>
      </c>
      <c r="AE53">
        <v>24.627124170999998</v>
      </c>
      <c r="AF53">
        <v>2151</v>
      </c>
      <c r="AG53">
        <v>2150.5926627099998</v>
      </c>
      <c r="AH53">
        <v>246275.20621599999</v>
      </c>
      <c r="AI53">
        <v>40</v>
      </c>
      <c r="AJ53">
        <v>210431.194515032</v>
      </c>
      <c r="AK53" s="1">
        <f>intersection_ss_Lnight___surface[[#This Row],[surf m2 bout ss]]/intersection_ss_Lnight___surface[[#This Row],[Shape_Area]]</f>
        <v>0.85445545959859892</v>
      </c>
      <c r="AL53">
        <v>5225</v>
      </c>
      <c r="AM53">
        <f>intersection_ss_Lnight___surface[[#This Row],[Population totale 2024 ss]]*intersection_ss_Lnight___surface[[#This Row],[Part de la surface du qs dans le noise contour]]</f>
        <v>4464.5297764026791</v>
      </c>
    </row>
    <row r="54" spans="1:39" x14ac:dyDescent="0.3">
      <c r="A54">
        <v>66</v>
      </c>
      <c r="B54" t="s">
        <v>461</v>
      </c>
      <c r="C54" t="s">
        <v>462</v>
      </c>
      <c r="D54" t="s">
        <v>463</v>
      </c>
      <c r="E54" t="s">
        <v>463</v>
      </c>
      <c r="F54" t="s">
        <v>454</v>
      </c>
      <c r="G54" t="s">
        <v>455</v>
      </c>
      <c r="H54" t="s">
        <v>456</v>
      </c>
      <c r="I54" t="s">
        <v>457</v>
      </c>
      <c r="J54" t="s">
        <v>36</v>
      </c>
      <c r="K54">
        <v>21004</v>
      </c>
      <c r="L54" t="s">
        <v>309</v>
      </c>
      <c r="M54" t="s">
        <v>310</v>
      </c>
      <c r="N54" t="s">
        <v>311</v>
      </c>
      <c r="O54">
        <v>21000</v>
      </c>
      <c r="P54" t="s">
        <v>46</v>
      </c>
      <c r="Q54" t="s">
        <v>47</v>
      </c>
      <c r="R54" t="s">
        <v>48</v>
      </c>
      <c r="T54" t="s">
        <v>36</v>
      </c>
      <c r="U54" t="s">
        <v>36</v>
      </c>
      <c r="V54" t="s">
        <v>36</v>
      </c>
      <c r="W54">
        <v>4000</v>
      </c>
      <c r="X54" t="s">
        <v>49</v>
      </c>
      <c r="Y54" t="s">
        <v>50</v>
      </c>
      <c r="Z54" t="s">
        <v>51</v>
      </c>
      <c r="AA54" t="s">
        <v>37</v>
      </c>
      <c r="AB54" t="s">
        <v>52</v>
      </c>
      <c r="AC54" t="s">
        <v>53</v>
      </c>
      <c r="AD54" t="s">
        <v>54</v>
      </c>
      <c r="AE54">
        <v>24.627124170999998</v>
      </c>
      <c r="AF54">
        <v>2151</v>
      </c>
      <c r="AG54">
        <v>2150.5926627099998</v>
      </c>
      <c r="AH54">
        <v>246275.20621599999</v>
      </c>
      <c r="AI54">
        <v>41</v>
      </c>
      <c r="AJ54">
        <v>35866.322075680997</v>
      </c>
      <c r="AK54" s="1">
        <f>intersection_ss_Lnight___surface[[#This Row],[surf m2 bout ss]]/intersection_ss_Lnight___surface[[#This Row],[Shape_Area]]</f>
        <v>0.14563513163490688</v>
      </c>
      <c r="AL54">
        <v>5225</v>
      </c>
      <c r="AM54">
        <f>intersection_ss_Lnight___surface[[#This Row],[Population totale 2024 ss]]*intersection_ss_Lnight___surface[[#This Row],[Part de la surface du qs dans le noise contour]]</f>
        <v>760.94356279238843</v>
      </c>
    </row>
    <row r="55" spans="1:39" x14ac:dyDescent="0.3">
      <c r="A55">
        <v>67</v>
      </c>
      <c r="B55" t="s">
        <v>464</v>
      </c>
      <c r="C55" t="s">
        <v>465</v>
      </c>
      <c r="D55" t="s">
        <v>466</v>
      </c>
      <c r="E55" t="s">
        <v>466</v>
      </c>
      <c r="F55" t="s">
        <v>454</v>
      </c>
      <c r="G55" t="s">
        <v>455</v>
      </c>
      <c r="H55" t="s">
        <v>456</v>
      </c>
      <c r="I55" t="s">
        <v>457</v>
      </c>
      <c r="J55" t="s">
        <v>36</v>
      </c>
      <c r="K55">
        <v>21004</v>
      </c>
      <c r="L55" t="s">
        <v>309</v>
      </c>
      <c r="M55" t="s">
        <v>310</v>
      </c>
      <c r="N55" t="s">
        <v>311</v>
      </c>
      <c r="O55">
        <v>21000</v>
      </c>
      <c r="P55" t="s">
        <v>46</v>
      </c>
      <c r="Q55" t="s">
        <v>47</v>
      </c>
      <c r="R55" t="s">
        <v>48</v>
      </c>
      <c r="T55" t="s">
        <v>36</v>
      </c>
      <c r="U55" t="s">
        <v>36</v>
      </c>
      <c r="V55" t="s">
        <v>36</v>
      </c>
      <c r="W55">
        <v>4000</v>
      </c>
      <c r="X55" t="s">
        <v>49</v>
      </c>
      <c r="Y55" t="s">
        <v>50</v>
      </c>
      <c r="Z55" t="s">
        <v>51</v>
      </c>
      <c r="AA55" t="s">
        <v>37</v>
      </c>
      <c r="AB55" t="s">
        <v>52</v>
      </c>
      <c r="AC55" t="s">
        <v>53</v>
      </c>
      <c r="AD55" t="s">
        <v>54</v>
      </c>
      <c r="AE55">
        <v>33.237373652899997</v>
      </c>
      <c r="AF55">
        <v>2350</v>
      </c>
      <c r="AG55">
        <v>2349.9350076599999</v>
      </c>
      <c r="AH55">
        <v>332379.07333099999</v>
      </c>
      <c r="AI55">
        <v>40</v>
      </c>
      <c r="AJ55">
        <v>200737.157839783</v>
      </c>
      <c r="AK55" s="1">
        <f>intersection_ss_Lnight___surface[[#This Row],[surf m2 bout ss]]/intersection_ss_Lnight___surface[[#This Row],[Shape_Area]]</f>
        <v>0.60394042208511345</v>
      </c>
      <c r="AL55">
        <v>5580</v>
      </c>
      <c r="AM55">
        <f>intersection_ss_Lnight___surface[[#This Row],[Population totale 2024 ss]]*intersection_ss_Lnight___surface[[#This Row],[Part de la surface du qs dans le noise contour]]</f>
        <v>3369.9875552349331</v>
      </c>
    </row>
    <row r="56" spans="1:39" x14ac:dyDescent="0.3">
      <c r="A56">
        <v>68</v>
      </c>
      <c r="B56" t="s">
        <v>464</v>
      </c>
      <c r="C56" t="s">
        <v>465</v>
      </c>
      <c r="D56" t="s">
        <v>466</v>
      </c>
      <c r="E56" t="s">
        <v>466</v>
      </c>
      <c r="F56" t="s">
        <v>454</v>
      </c>
      <c r="G56" t="s">
        <v>455</v>
      </c>
      <c r="H56" t="s">
        <v>456</v>
      </c>
      <c r="I56" t="s">
        <v>457</v>
      </c>
      <c r="J56" t="s">
        <v>36</v>
      </c>
      <c r="K56">
        <v>21004</v>
      </c>
      <c r="L56" t="s">
        <v>309</v>
      </c>
      <c r="M56" t="s">
        <v>310</v>
      </c>
      <c r="N56" t="s">
        <v>311</v>
      </c>
      <c r="O56">
        <v>21000</v>
      </c>
      <c r="P56" t="s">
        <v>46</v>
      </c>
      <c r="Q56" t="s">
        <v>47</v>
      </c>
      <c r="R56" t="s">
        <v>48</v>
      </c>
      <c r="T56" t="s">
        <v>36</v>
      </c>
      <c r="U56" t="s">
        <v>36</v>
      </c>
      <c r="V56" t="s">
        <v>36</v>
      </c>
      <c r="W56">
        <v>4000</v>
      </c>
      <c r="X56" t="s">
        <v>49</v>
      </c>
      <c r="Y56" t="s">
        <v>50</v>
      </c>
      <c r="Z56" t="s">
        <v>51</v>
      </c>
      <c r="AA56" t="s">
        <v>37</v>
      </c>
      <c r="AB56" t="s">
        <v>52</v>
      </c>
      <c r="AC56" t="s">
        <v>53</v>
      </c>
      <c r="AD56" t="s">
        <v>54</v>
      </c>
      <c r="AE56">
        <v>33.237373652899997</v>
      </c>
      <c r="AF56">
        <v>2350</v>
      </c>
      <c r="AG56">
        <v>2349.9350076599999</v>
      </c>
      <c r="AH56">
        <v>332379.07333099999</v>
      </c>
      <c r="AI56">
        <v>41</v>
      </c>
      <c r="AJ56">
        <v>131671.591605528</v>
      </c>
      <c r="AK56" s="1">
        <f>intersection_ss_Lnight___surface[[#This Row],[surf m2 bout ss]]/intersection_ss_Lnight___surface[[#This Row],[Shape_Area]]</f>
        <v>0.39614886185810722</v>
      </c>
      <c r="AL56">
        <v>5580</v>
      </c>
      <c r="AM56">
        <f>intersection_ss_Lnight___surface[[#This Row],[Population totale 2024 ss]]*intersection_ss_Lnight___surface[[#This Row],[Part de la surface du qs dans le noise contour]]</f>
        <v>2210.5106491682382</v>
      </c>
    </row>
    <row r="57" spans="1:39" x14ac:dyDescent="0.3">
      <c r="A57">
        <v>69</v>
      </c>
      <c r="B57" t="s">
        <v>467</v>
      </c>
      <c r="C57" t="s">
        <v>468</v>
      </c>
      <c r="D57" t="s">
        <v>469</v>
      </c>
      <c r="E57" t="s">
        <v>469</v>
      </c>
      <c r="F57" t="s">
        <v>454</v>
      </c>
      <c r="G57" t="s">
        <v>455</v>
      </c>
      <c r="H57" t="s">
        <v>456</v>
      </c>
      <c r="I57" t="s">
        <v>457</v>
      </c>
      <c r="J57" t="s">
        <v>36</v>
      </c>
      <c r="K57">
        <v>21004</v>
      </c>
      <c r="L57" t="s">
        <v>309</v>
      </c>
      <c r="M57" t="s">
        <v>310</v>
      </c>
      <c r="N57" t="s">
        <v>311</v>
      </c>
      <c r="O57">
        <v>21000</v>
      </c>
      <c r="P57" t="s">
        <v>46</v>
      </c>
      <c r="Q57" t="s">
        <v>47</v>
      </c>
      <c r="R57" t="s">
        <v>48</v>
      </c>
      <c r="T57" t="s">
        <v>36</v>
      </c>
      <c r="U57" t="s">
        <v>36</v>
      </c>
      <c r="V57" t="s">
        <v>36</v>
      </c>
      <c r="W57">
        <v>4000</v>
      </c>
      <c r="X57" t="s">
        <v>49</v>
      </c>
      <c r="Y57" t="s">
        <v>50</v>
      </c>
      <c r="Z57" t="s">
        <v>51</v>
      </c>
      <c r="AA57" t="s">
        <v>37</v>
      </c>
      <c r="AB57" t="s">
        <v>52</v>
      </c>
      <c r="AC57" t="s">
        <v>53</v>
      </c>
      <c r="AD57" t="s">
        <v>54</v>
      </c>
      <c r="AE57">
        <v>40.230581466399997</v>
      </c>
      <c r="AF57">
        <v>2888</v>
      </c>
      <c r="AG57">
        <v>2887.5739980600001</v>
      </c>
      <c r="AH57">
        <v>402312.29969700001</v>
      </c>
      <c r="AI57">
        <v>40</v>
      </c>
      <c r="AJ57">
        <v>70972.405294385899</v>
      </c>
      <c r="AK57" s="1">
        <f>intersection_ss_Lnight___surface[[#This Row],[surf m2 bout ss]]/intersection_ss_Lnight___surface[[#This Row],[Shape_Area]]</f>
        <v>0.17641122418538657</v>
      </c>
      <c r="AL57">
        <v>2940</v>
      </c>
      <c r="AM57">
        <f>intersection_ss_Lnight___surface[[#This Row],[Population totale 2024 ss]]*intersection_ss_Lnight___surface[[#This Row],[Part de la surface du qs dans le noise contour]]</f>
        <v>518.64899910503652</v>
      </c>
    </row>
    <row r="58" spans="1:39" x14ac:dyDescent="0.3">
      <c r="A58">
        <v>70</v>
      </c>
      <c r="B58" t="s">
        <v>467</v>
      </c>
      <c r="C58" t="s">
        <v>468</v>
      </c>
      <c r="D58" t="s">
        <v>469</v>
      </c>
      <c r="E58" t="s">
        <v>469</v>
      </c>
      <c r="F58" t="s">
        <v>454</v>
      </c>
      <c r="G58" t="s">
        <v>455</v>
      </c>
      <c r="H58" t="s">
        <v>456</v>
      </c>
      <c r="I58" t="s">
        <v>457</v>
      </c>
      <c r="J58" t="s">
        <v>36</v>
      </c>
      <c r="K58">
        <v>21004</v>
      </c>
      <c r="L58" t="s">
        <v>309</v>
      </c>
      <c r="M58" t="s">
        <v>310</v>
      </c>
      <c r="N58" t="s">
        <v>311</v>
      </c>
      <c r="O58">
        <v>21000</v>
      </c>
      <c r="P58" t="s">
        <v>46</v>
      </c>
      <c r="Q58" t="s">
        <v>47</v>
      </c>
      <c r="R58" t="s">
        <v>48</v>
      </c>
      <c r="T58" t="s">
        <v>36</v>
      </c>
      <c r="U58" t="s">
        <v>36</v>
      </c>
      <c r="V58" t="s">
        <v>36</v>
      </c>
      <c r="W58">
        <v>4000</v>
      </c>
      <c r="X58" t="s">
        <v>49</v>
      </c>
      <c r="Y58" t="s">
        <v>50</v>
      </c>
      <c r="Z58" t="s">
        <v>51</v>
      </c>
      <c r="AA58" t="s">
        <v>37</v>
      </c>
      <c r="AB58" t="s">
        <v>52</v>
      </c>
      <c r="AC58" t="s">
        <v>53</v>
      </c>
      <c r="AD58" t="s">
        <v>54</v>
      </c>
      <c r="AE58">
        <v>40.230581466399997</v>
      </c>
      <c r="AF58">
        <v>2888</v>
      </c>
      <c r="AG58">
        <v>2887.5739980600001</v>
      </c>
      <c r="AH58">
        <v>402312.29969700001</v>
      </c>
      <c r="AI58">
        <v>41</v>
      </c>
      <c r="AJ58">
        <v>321412.95425226999</v>
      </c>
      <c r="AK58" s="1">
        <f>intersection_ss_Lnight___surface[[#This Row],[surf m2 bout ss]]/intersection_ss_Lnight___surface[[#This Row],[Shape_Area]]</f>
        <v>0.79891406376176155</v>
      </c>
      <c r="AL58">
        <v>2940</v>
      </c>
      <c r="AM58">
        <f>intersection_ss_Lnight___surface[[#This Row],[Population totale 2024 ss]]*intersection_ss_Lnight___surface[[#This Row],[Part de la surface du qs dans le noise contour]]</f>
        <v>2348.807347459579</v>
      </c>
    </row>
    <row r="59" spans="1:39" x14ac:dyDescent="0.3">
      <c r="A59">
        <v>71</v>
      </c>
      <c r="B59" t="s">
        <v>467</v>
      </c>
      <c r="C59" t="s">
        <v>468</v>
      </c>
      <c r="D59" t="s">
        <v>469</v>
      </c>
      <c r="E59" t="s">
        <v>469</v>
      </c>
      <c r="F59" t="s">
        <v>454</v>
      </c>
      <c r="G59" t="s">
        <v>455</v>
      </c>
      <c r="H59" t="s">
        <v>456</v>
      </c>
      <c r="I59" t="s">
        <v>457</v>
      </c>
      <c r="J59" t="s">
        <v>36</v>
      </c>
      <c r="K59">
        <v>21004</v>
      </c>
      <c r="L59" t="s">
        <v>309</v>
      </c>
      <c r="M59" t="s">
        <v>310</v>
      </c>
      <c r="N59" t="s">
        <v>311</v>
      </c>
      <c r="O59">
        <v>21000</v>
      </c>
      <c r="P59" t="s">
        <v>46</v>
      </c>
      <c r="Q59" t="s">
        <v>47</v>
      </c>
      <c r="R59" t="s">
        <v>48</v>
      </c>
      <c r="T59" t="s">
        <v>36</v>
      </c>
      <c r="U59" t="s">
        <v>36</v>
      </c>
      <c r="V59" t="s">
        <v>36</v>
      </c>
      <c r="W59">
        <v>4000</v>
      </c>
      <c r="X59" t="s">
        <v>49</v>
      </c>
      <c r="Y59" t="s">
        <v>50</v>
      </c>
      <c r="Z59" t="s">
        <v>51</v>
      </c>
      <c r="AA59" t="s">
        <v>37</v>
      </c>
      <c r="AB59" t="s">
        <v>52</v>
      </c>
      <c r="AC59" t="s">
        <v>53</v>
      </c>
      <c r="AD59" t="s">
        <v>54</v>
      </c>
      <c r="AE59">
        <v>40.230581466399997</v>
      </c>
      <c r="AF59">
        <v>2888</v>
      </c>
      <c r="AG59">
        <v>2887.5739980600001</v>
      </c>
      <c r="AH59">
        <v>402312.29969700001</v>
      </c>
      <c r="AI59">
        <v>42</v>
      </c>
      <c r="AJ59">
        <v>9963.2989153154194</v>
      </c>
      <c r="AK59" s="1">
        <f>intersection_ss_Lnight___surface[[#This Row],[surf m2 bout ss]]/intersection_ss_Lnight___surface[[#This Row],[Shape_Area]]</f>
        <v>2.4765086533072043E-2</v>
      </c>
      <c r="AL59">
        <v>2940</v>
      </c>
      <c r="AM59">
        <f>intersection_ss_Lnight___surface[[#This Row],[Population totale 2024 ss]]*intersection_ss_Lnight___surface[[#This Row],[Part de la surface du qs dans le noise contour]]</f>
        <v>72.809354407231808</v>
      </c>
    </row>
    <row r="60" spans="1:39" x14ac:dyDescent="0.3">
      <c r="A60">
        <v>72</v>
      </c>
      <c r="B60" t="s">
        <v>470</v>
      </c>
      <c r="C60" t="s">
        <v>36</v>
      </c>
      <c r="D60" t="s">
        <v>36</v>
      </c>
      <c r="E60" t="s">
        <v>36</v>
      </c>
      <c r="F60" t="s">
        <v>454</v>
      </c>
      <c r="G60" t="s">
        <v>455</v>
      </c>
      <c r="H60" t="s">
        <v>456</v>
      </c>
      <c r="I60" t="s">
        <v>457</v>
      </c>
      <c r="J60" t="s">
        <v>36</v>
      </c>
      <c r="K60">
        <v>21004</v>
      </c>
      <c r="L60" t="s">
        <v>309</v>
      </c>
      <c r="M60" t="s">
        <v>310</v>
      </c>
      <c r="N60" t="s">
        <v>311</v>
      </c>
      <c r="O60">
        <v>21000</v>
      </c>
      <c r="P60" t="s">
        <v>46</v>
      </c>
      <c r="Q60" t="s">
        <v>47</v>
      </c>
      <c r="R60" t="s">
        <v>48</v>
      </c>
      <c r="T60" t="s">
        <v>36</v>
      </c>
      <c r="U60" t="s">
        <v>36</v>
      </c>
      <c r="V60" t="s">
        <v>36</v>
      </c>
      <c r="W60">
        <v>4000</v>
      </c>
      <c r="X60" t="s">
        <v>49</v>
      </c>
      <c r="Y60" t="s">
        <v>50</v>
      </c>
      <c r="Z60" t="s">
        <v>51</v>
      </c>
      <c r="AA60" t="s">
        <v>37</v>
      </c>
      <c r="AB60" t="s">
        <v>52</v>
      </c>
      <c r="AC60" t="s">
        <v>53</v>
      </c>
      <c r="AD60" t="s">
        <v>54</v>
      </c>
      <c r="AE60">
        <v>258.70871880599998</v>
      </c>
      <c r="AF60">
        <v>7783</v>
      </c>
      <c r="AG60">
        <v>7783.3021857000003</v>
      </c>
      <c r="AH60">
        <v>2587128.8445700002</v>
      </c>
      <c r="AI60">
        <v>40</v>
      </c>
      <c r="AJ60">
        <v>5737.5454158196198</v>
      </c>
      <c r="AK60" s="1">
        <f>intersection_ss_Lnight___surface[[#This Row],[surf m2 bout ss]]/intersection_ss_Lnight___surface[[#This Row],[Shape_Area]]</f>
        <v>2.2177269709090356E-3</v>
      </c>
      <c r="AL60">
        <v>27</v>
      </c>
      <c r="AM60">
        <f>intersection_ss_Lnight___surface[[#This Row],[Population totale 2024 ss]]*intersection_ss_Lnight___surface[[#This Row],[Part de la surface du qs dans le noise contour]]</f>
        <v>5.9878628214543962E-2</v>
      </c>
    </row>
    <row r="61" spans="1:39" x14ac:dyDescent="0.3">
      <c r="A61">
        <v>73</v>
      </c>
      <c r="B61" t="s">
        <v>470</v>
      </c>
      <c r="C61" t="s">
        <v>36</v>
      </c>
      <c r="D61" t="s">
        <v>36</v>
      </c>
      <c r="E61" t="s">
        <v>36</v>
      </c>
      <c r="F61" t="s">
        <v>454</v>
      </c>
      <c r="G61" t="s">
        <v>455</v>
      </c>
      <c r="H61" t="s">
        <v>456</v>
      </c>
      <c r="I61" t="s">
        <v>457</v>
      </c>
      <c r="J61" t="s">
        <v>36</v>
      </c>
      <c r="K61">
        <v>21004</v>
      </c>
      <c r="L61" t="s">
        <v>309</v>
      </c>
      <c r="M61" t="s">
        <v>310</v>
      </c>
      <c r="N61" t="s">
        <v>311</v>
      </c>
      <c r="O61">
        <v>21000</v>
      </c>
      <c r="P61" t="s">
        <v>46</v>
      </c>
      <c r="Q61" t="s">
        <v>47</v>
      </c>
      <c r="R61" t="s">
        <v>48</v>
      </c>
      <c r="T61" t="s">
        <v>36</v>
      </c>
      <c r="U61" t="s">
        <v>36</v>
      </c>
      <c r="V61" t="s">
        <v>36</v>
      </c>
      <c r="W61">
        <v>4000</v>
      </c>
      <c r="X61" t="s">
        <v>49</v>
      </c>
      <c r="Y61" t="s">
        <v>50</v>
      </c>
      <c r="Z61" t="s">
        <v>51</v>
      </c>
      <c r="AA61" t="s">
        <v>37</v>
      </c>
      <c r="AB61" t="s">
        <v>52</v>
      </c>
      <c r="AC61" t="s">
        <v>53</v>
      </c>
      <c r="AD61" t="s">
        <v>54</v>
      </c>
      <c r="AE61">
        <v>258.70871880599998</v>
      </c>
      <c r="AF61">
        <v>7783</v>
      </c>
      <c r="AG61">
        <v>7783.3021857000003</v>
      </c>
      <c r="AH61">
        <v>2587128.8445700002</v>
      </c>
      <c r="AI61">
        <v>41</v>
      </c>
      <c r="AJ61">
        <v>437019.05684348202</v>
      </c>
      <c r="AK61" s="1">
        <f>intersection_ss_Lnight___surface[[#This Row],[surf m2 bout ss]]/intersection_ss_Lnight___surface[[#This Row],[Shape_Area]]</f>
        <v>0.16892048409599708</v>
      </c>
      <c r="AL61">
        <v>27</v>
      </c>
      <c r="AM61">
        <f>intersection_ss_Lnight___surface[[#This Row],[Population totale 2024 ss]]*intersection_ss_Lnight___surface[[#This Row],[Part de la surface du qs dans le noise contour]]</f>
        <v>4.5608530705919215</v>
      </c>
    </row>
    <row r="62" spans="1:39" x14ac:dyDescent="0.3">
      <c r="A62">
        <v>74</v>
      </c>
      <c r="B62" t="s">
        <v>470</v>
      </c>
      <c r="C62" t="s">
        <v>36</v>
      </c>
      <c r="D62" t="s">
        <v>36</v>
      </c>
      <c r="E62" t="s">
        <v>36</v>
      </c>
      <c r="F62" t="s">
        <v>454</v>
      </c>
      <c r="G62" t="s">
        <v>455</v>
      </c>
      <c r="H62" t="s">
        <v>456</v>
      </c>
      <c r="I62" t="s">
        <v>457</v>
      </c>
      <c r="J62" t="s">
        <v>36</v>
      </c>
      <c r="K62">
        <v>21004</v>
      </c>
      <c r="L62" t="s">
        <v>309</v>
      </c>
      <c r="M62" t="s">
        <v>310</v>
      </c>
      <c r="N62" t="s">
        <v>311</v>
      </c>
      <c r="O62">
        <v>21000</v>
      </c>
      <c r="P62" t="s">
        <v>46</v>
      </c>
      <c r="Q62" t="s">
        <v>47</v>
      </c>
      <c r="R62" t="s">
        <v>48</v>
      </c>
      <c r="T62" t="s">
        <v>36</v>
      </c>
      <c r="U62" t="s">
        <v>36</v>
      </c>
      <c r="V62" t="s">
        <v>36</v>
      </c>
      <c r="W62">
        <v>4000</v>
      </c>
      <c r="X62" t="s">
        <v>49</v>
      </c>
      <c r="Y62" t="s">
        <v>50</v>
      </c>
      <c r="Z62" t="s">
        <v>51</v>
      </c>
      <c r="AA62" t="s">
        <v>37</v>
      </c>
      <c r="AB62" t="s">
        <v>52</v>
      </c>
      <c r="AC62" t="s">
        <v>53</v>
      </c>
      <c r="AD62" t="s">
        <v>54</v>
      </c>
      <c r="AE62">
        <v>258.70871880599998</v>
      </c>
      <c r="AF62">
        <v>7783</v>
      </c>
      <c r="AG62">
        <v>7783.3021857000003</v>
      </c>
      <c r="AH62">
        <v>2587128.8445700002</v>
      </c>
      <c r="AI62">
        <v>42</v>
      </c>
      <c r="AJ62">
        <v>859103.16313512495</v>
      </c>
      <c r="AK62" s="1">
        <f>intersection_ss_Lnight___surface[[#This Row],[surf m2 bout ss]]/intersection_ss_Lnight___surface[[#This Row],[Shape_Area]]</f>
        <v>0.33206817856723875</v>
      </c>
      <c r="AL62">
        <v>27</v>
      </c>
      <c r="AM62">
        <f>intersection_ss_Lnight___surface[[#This Row],[Population totale 2024 ss]]*intersection_ss_Lnight___surface[[#This Row],[Part de la surface du qs dans le noise contour]]</f>
        <v>8.9658408213154459</v>
      </c>
    </row>
    <row r="63" spans="1:39" x14ac:dyDescent="0.3">
      <c r="A63">
        <v>75</v>
      </c>
      <c r="B63" t="s">
        <v>470</v>
      </c>
      <c r="C63" t="s">
        <v>36</v>
      </c>
      <c r="D63" t="s">
        <v>36</v>
      </c>
      <c r="E63" t="s">
        <v>36</v>
      </c>
      <c r="F63" t="s">
        <v>454</v>
      </c>
      <c r="G63" t="s">
        <v>455</v>
      </c>
      <c r="H63" t="s">
        <v>456</v>
      </c>
      <c r="I63" t="s">
        <v>457</v>
      </c>
      <c r="J63" t="s">
        <v>36</v>
      </c>
      <c r="K63">
        <v>21004</v>
      </c>
      <c r="L63" t="s">
        <v>309</v>
      </c>
      <c r="M63" t="s">
        <v>310</v>
      </c>
      <c r="N63" t="s">
        <v>311</v>
      </c>
      <c r="O63">
        <v>21000</v>
      </c>
      <c r="P63" t="s">
        <v>46</v>
      </c>
      <c r="Q63" t="s">
        <v>47</v>
      </c>
      <c r="R63" t="s">
        <v>48</v>
      </c>
      <c r="T63" t="s">
        <v>36</v>
      </c>
      <c r="U63" t="s">
        <v>36</v>
      </c>
      <c r="V63" t="s">
        <v>36</v>
      </c>
      <c r="W63">
        <v>4000</v>
      </c>
      <c r="X63" t="s">
        <v>49</v>
      </c>
      <c r="Y63" t="s">
        <v>50</v>
      </c>
      <c r="Z63" t="s">
        <v>51</v>
      </c>
      <c r="AA63" t="s">
        <v>37</v>
      </c>
      <c r="AB63" t="s">
        <v>52</v>
      </c>
      <c r="AC63" t="s">
        <v>53</v>
      </c>
      <c r="AD63" t="s">
        <v>54</v>
      </c>
      <c r="AE63">
        <v>258.70871880599998</v>
      </c>
      <c r="AF63">
        <v>7783</v>
      </c>
      <c r="AG63">
        <v>7783.3021857000003</v>
      </c>
      <c r="AH63">
        <v>2587128.8445700002</v>
      </c>
      <c r="AI63">
        <v>43</v>
      </c>
      <c r="AJ63">
        <v>893333.49893094203</v>
      </c>
      <c r="AK63" s="1">
        <f>intersection_ss_Lnight___surface[[#This Row],[surf m2 bout ss]]/intersection_ss_Lnight___surface[[#This Row],[Shape_Area]]</f>
        <v>0.34529919172982693</v>
      </c>
      <c r="AL63">
        <v>27</v>
      </c>
      <c r="AM63">
        <f>intersection_ss_Lnight___surface[[#This Row],[Population totale 2024 ss]]*intersection_ss_Lnight___surface[[#This Row],[Part de la surface du qs dans le noise contour]]</f>
        <v>9.3230781767053266</v>
      </c>
    </row>
    <row r="64" spans="1:39" x14ac:dyDescent="0.3">
      <c r="A64">
        <v>76</v>
      </c>
      <c r="B64" t="s">
        <v>470</v>
      </c>
      <c r="C64" t="s">
        <v>36</v>
      </c>
      <c r="D64" t="s">
        <v>36</v>
      </c>
      <c r="E64" t="s">
        <v>36</v>
      </c>
      <c r="F64" t="s">
        <v>454</v>
      </c>
      <c r="G64" t="s">
        <v>455</v>
      </c>
      <c r="H64" t="s">
        <v>456</v>
      </c>
      <c r="I64" t="s">
        <v>457</v>
      </c>
      <c r="J64" t="s">
        <v>36</v>
      </c>
      <c r="K64">
        <v>21004</v>
      </c>
      <c r="L64" t="s">
        <v>309</v>
      </c>
      <c r="M64" t="s">
        <v>310</v>
      </c>
      <c r="N64" t="s">
        <v>311</v>
      </c>
      <c r="O64">
        <v>21000</v>
      </c>
      <c r="P64" t="s">
        <v>46</v>
      </c>
      <c r="Q64" t="s">
        <v>47</v>
      </c>
      <c r="R64" t="s">
        <v>48</v>
      </c>
      <c r="T64" t="s">
        <v>36</v>
      </c>
      <c r="U64" t="s">
        <v>36</v>
      </c>
      <c r="V64" t="s">
        <v>36</v>
      </c>
      <c r="W64">
        <v>4000</v>
      </c>
      <c r="X64" t="s">
        <v>49</v>
      </c>
      <c r="Y64" t="s">
        <v>50</v>
      </c>
      <c r="Z64" t="s">
        <v>51</v>
      </c>
      <c r="AA64" t="s">
        <v>37</v>
      </c>
      <c r="AB64" t="s">
        <v>52</v>
      </c>
      <c r="AC64" t="s">
        <v>53</v>
      </c>
      <c r="AD64" t="s">
        <v>54</v>
      </c>
      <c r="AE64">
        <v>258.70871880599998</v>
      </c>
      <c r="AF64">
        <v>7783</v>
      </c>
      <c r="AG64">
        <v>7783.3021857000003</v>
      </c>
      <c r="AH64">
        <v>2587128.8445700002</v>
      </c>
      <c r="AI64">
        <v>44</v>
      </c>
      <c r="AJ64">
        <v>392168.13309451903</v>
      </c>
      <c r="AK64" s="1">
        <f>intersection_ss_Lnight___surface[[#This Row],[surf m2 bout ss]]/intersection_ss_Lnight___surface[[#This Row],[Shape_Area]]</f>
        <v>0.15158430702731399</v>
      </c>
      <c r="AL64">
        <v>27</v>
      </c>
      <c r="AM64">
        <f>intersection_ss_Lnight___surface[[#This Row],[Population totale 2024 ss]]*intersection_ss_Lnight___surface[[#This Row],[Part de la surface du qs dans le noise contour]]</f>
        <v>4.0927762897374773</v>
      </c>
    </row>
    <row r="65" spans="1:39" x14ac:dyDescent="0.3">
      <c r="A65">
        <v>77</v>
      </c>
      <c r="B65" t="s">
        <v>471</v>
      </c>
      <c r="C65" t="s">
        <v>472</v>
      </c>
      <c r="D65" t="s">
        <v>473</v>
      </c>
      <c r="E65" t="s">
        <v>473</v>
      </c>
      <c r="F65" t="s">
        <v>454</v>
      </c>
      <c r="G65" t="s">
        <v>455</v>
      </c>
      <c r="H65" t="s">
        <v>456</v>
      </c>
      <c r="I65" t="s">
        <v>457</v>
      </c>
      <c r="J65" t="s">
        <v>36</v>
      </c>
      <c r="K65">
        <v>21004</v>
      </c>
      <c r="L65" t="s">
        <v>309</v>
      </c>
      <c r="M65" t="s">
        <v>310</v>
      </c>
      <c r="N65" t="s">
        <v>311</v>
      </c>
      <c r="O65">
        <v>21000</v>
      </c>
      <c r="P65" t="s">
        <v>46</v>
      </c>
      <c r="Q65" t="s">
        <v>47</v>
      </c>
      <c r="R65" t="s">
        <v>48</v>
      </c>
      <c r="T65" t="s">
        <v>36</v>
      </c>
      <c r="U65" t="s">
        <v>36</v>
      </c>
      <c r="V65" t="s">
        <v>36</v>
      </c>
      <c r="W65">
        <v>4000</v>
      </c>
      <c r="X65" t="s">
        <v>49</v>
      </c>
      <c r="Y65" t="s">
        <v>50</v>
      </c>
      <c r="Z65" t="s">
        <v>51</v>
      </c>
      <c r="AA65" t="s">
        <v>37</v>
      </c>
      <c r="AB65" t="s">
        <v>52</v>
      </c>
      <c r="AC65" t="s">
        <v>53</v>
      </c>
      <c r="AD65" t="s">
        <v>54</v>
      </c>
      <c r="AE65">
        <v>7.1404081893500004</v>
      </c>
      <c r="AF65">
        <v>1350</v>
      </c>
      <c r="AG65">
        <v>1350.49355012</v>
      </c>
      <c r="AH65">
        <v>71405.227085100007</v>
      </c>
      <c r="AI65">
        <v>41</v>
      </c>
      <c r="AJ65">
        <v>24655.226209592998</v>
      </c>
      <c r="AK65" s="1">
        <f>intersection_ss_Lnight___surface[[#This Row],[surf m2 bout ss]]/intersection_ss_Lnight___surface[[#This Row],[Shape_Area]]</f>
        <v>0.34528601358846117</v>
      </c>
      <c r="AL65">
        <v>5</v>
      </c>
      <c r="AM65">
        <f>intersection_ss_Lnight___surface[[#This Row],[Population totale 2024 ss]]*intersection_ss_Lnight___surface[[#This Row],[Part de la surface du qs dans le noise contour]]</f>
        <v>1.7264300679423059</v>
      </c>
    </row>
    <row r="66" spans="1:39" x14ac:dyDescent="0.3">
      <c r="A66">
        <v>78</v>
      </c>
      <c r="B66" t="s">
        <v>471</v>
      </c>
      <c r="C66" t="s">
        <v>472</v>
      </c>
      <c r="D66" t="s">
        <v>473</v>
      </c>
      <c r="E66" t="s">
        <v>473</v>
      </c>
      <c r="F66" t="s">
        <v>454</v>
      </c>
      <c r="G66" t="s">
        <v>455</v>
      </c>
      <c r="H66" t="s">
        <v>456</v>
      </c>
      <c r="I66" t="s">
        <v>457</v>
      </c>
      <c r="J66" t="s">
        <v>36</v>
      </c>
      <c r="K66">
        <v>21004</v>
      </c>
      <c r="L66" t="s">
        <v>309</v>
      </c>
      <c r="M66" t="s">
        <v>310</v>
      </c>
      <c r="N66" t="s">
        <v>311</v>
      </c>
      <c r="O66">
        <v>21000</v>
      </c>
      <c r="P66" t="s">
        <v>46</v>
      </c>
      <c r="Q66" t="s">
        <v>47</v>
      </c>
      <c r="R66" t="s">
        <v>48</v>
      </c>
      <c r="T66" t="s">
        <v>36</v>
      </c>
      <c r="U66" t="s">
        <v>36</v>
      </c>
      <c r="V66" t="s">
        <v>36</v>
      </c>
      <c r="W66">
        <v>4000</v>
      </c>
      <c r="X66" t="s">
        <v>49</v>
      </c>
      <c r="Y66" t="s">
        <v>50</v>
      </c>
      <c r="Z66" t="s">
        <v>51</v>
      </c>
      <c r="AA66" t="s">
        <v>37</v>
      </c>
      <c r="AB66" t="s">
        <v>52</v>
      </c>
      <c r="AC66" t="s">
        <v>53</v>
      </c>
      <c r="AD66" t="s">
        <v>54</v>
      </c>
      <c r="AE66">
        <v>7.1404081893500004</v>
      </c>
      <c r="AF66">
        <v>1350</v>
      </c>
      <c r="AG66">
        <v>1350.49355012</v>
      </c>
      <c r="AH66">
        <v>71405.227085100007</v>
      </c>
      <c r="AI66">
        <v>42</v>
      </c>
      <c r="AJ66">
        <v>46756.525450904403</v>
      </c>
      <c r="AK66" s="1">
        <f>intersection_ss_Lnight___surface[[#This Row],[surf m2 bout ss]]/intersection_ss_Lnight___surface[[#This Row],[Shape_Area]]</f>
        <v>0.65480536033000025</v>
      </c>
      <c r="AL66">
        <v>5</v>
      </c>
      <c r="AM66">
        <f>intersection_ss_Lnight___surface[[#This Row],[Population totale 2024 ss]]*intersection_ss_Lnight___surface[[#This Row],[Part de la surface du qs dans le noise contour]]</f>
        <v>3.2740268016500012</v>
      </c>
    </row>
    <row r="67" spans="1:39" x14ac:dyDescent="0.3">
      <c r="A67">
        <v>79</v>
      </c>
      <c r="B67" t="s">
        <v>474</v>
      </c>
      <c r="C67" t="s">
        <v>475</v>
      </c>
      <c r="D67" t="s">
        <v>476</v>
      </c>
      <c r="E67" t="s">
        <v>476</v>
      </c>
      <c r="F67" t="s">
        <v>477</v>
      </c>
      <c r="G67" t="s">
        <v>455</v>
      </c>
      <c r="H67" t="s">
        <v>456</v>
      </c>
      <c r="I67" t="s">
        <v>457</v>
      </c>
      <c r="J67" t="s">
        <v>36</v>
      </c>
      <c r="K67">
        <v>21004</v>
      </c>
      <c r="L67" t="s">
        <v>309</v>
      </c>
      <c r="M67" t="s">
        <v>310</v>
      </c>
      <c r="N67" t="s">
        <v>311</v>
      </c>
      <c r="O67">
        <v>21000</v>
      </c>
      <c r="P67" t="s">
        <v>46</v>
      </c>
      <c r="Q67" t="s">
        <v>47</v>
      </c>
      <c r="R67" t="s">
        <v>48</v>
      </c>
      <c r="T67" t="s">
        <v>36</v>
      </c>
      <c r="U67" t="s">
        <v>36</v>
      </c>
      <c r="V67" t="s">
        <v>36</v>
      </c>
      <c r="W67">
        <v>4000</v>
      </c>
      <c r="X67" t="s">
        <v>49</v>
      </c>
      <c r="Y67" t="s">
        <v>50</v>
      </c>
      <c r="Z67" t="s">
        <v>51</v>
      </c>
      <c r="AA67" t="s">
        <v>37</v>
      </c>
      <c r="AB67" t="s">
        <v>52</v>
      </c>
      <c r="AC67" t="s">
        <v>53</v>
      </c>
      <c r="AD67" t="s">
        <v>54</v>
      </c>
      <c r="AE67">
        <v>40.0034212451</v>
      </c>
      <c r="AF67">
        <v>4150</v>
      </c>
      <c r="AG67">
        <v>4150.2764053800001</v>
      </c>
      <c r="AH67">
        <v>400040.64127700002</v>
      </c>
      <c r="AI67">
        <v>42</v>
      </c>
      <c r="AJ67">
        <v>175.59056121110899</v>
      </c>
      <c r="AK67" s="1">
        <f>intersection_ss_Lnight___surface[[#This Row],[surf m2 bout ss]]/intersection_ss_Lnight___surface[[#This Row],[Shape_Area]]</f>
        <v>4.3893180615497734E-4</v>
      </c>
      <c r="AL67">
        <v>5812</v>
      </c>
      <c r="AM67">
        <f>intersection_ss_Lnight___surface[[#This Row],[Population totale 2024 ss]]*intersection_ss_Lnight___surface[[#This Row],[Part de la surface du qs dans le noise contour]]</f>
        <v>2.5510716573727281</v>
      </c>
    </row>
    <row r="68" spans="1:39" x14ac:dyDescent="0.3">
      <c r="A68">
        <v>80</v>
      </c>
      <c r="B68" t="s">
        <v>474</v>
      </c>
      <c r="C68" t="s">
        <v>475</v>
      </c>
      <c r="D68" t="s">
        <v>476</v>
      </c>
      <c r="E68" t="s">
        <v>476</v>
      </c>
      <c r="F68" t="s">
        <v>477</v>
      </c>
      <c r="G68" t="s">
        <v>455</v>
      </c>
      <c r="H68" t="s">
        <v>456</v>
      </c>
      <c r="I68" t="s">
        <v>457</v>
      </c>
      <c r="J68" t="s">
        <v>36</v>
      </c>
      <c r="K68">
        <v>21004</v>
      </c>
      <c r="L68" t="s">
        <v>309</v>
      </c>
      <c r="M68" t="s">
        <v>310</v>
      </c>
      <c r="N68" t="s">
        <v>311</v>
      </c>
      <c r="O68">
        <v>21000</v>
      </c>
      <c r="P68" t="s">
        <v>46</v>
      </c>
      <c r="Q68" t="s">
        <v>47</v>
      </c>
      <c r="R68" t="s">
        <v>48</v>
      </c>
      <c r="T68" t="s">
        <v>36</v>
      </c>
      <c r="U68" t="s">
        <v>36</v>
      </c>
      <c r="V68" t="s">
        <v>36</v>
      </c>
      <c r="W68">
        <v>4000</v>
      </c>
      <c r="X68" t="s">
        <v>49</v>
      </c>
      <c r="Y68" t="s">
        <v>50</v>
      </c>
      <c r="Z68" t="s">
        <v>51</v>
      </c>
      <c r="AA68" t="s">
        <v>37</v>
      </c>
      <c r="AB68" t="s">
        <v>52</v>
      </c>
      <c r="AC68" t="s">
        <v>53</v>
      </c>
      <c r="AD68" t="s">
        <v>54</v>
      </c>
      <c r="AE68">
        <v>40.0034212451</v>
      </c>
      <c r="AF68">
        <v>4150</v>
      </c>
      <c r="AG68">
        <v>4150.2764053800001</v>
      </c>
      <c r="AH68">
        <v>400040.64127700002</v>
      </c>
      <c r="AI68">
        <v>43</v>
      </c>
      <c r="AJ68">
        <v>294280.81510435598</v>
      </c>
      <c r="AK68" s="1">
        <f>intersection_ss_Lnight___surface[[#This Row],[surf m2 bout ss]]/intersection_ss_Lnight___surface[[#This Row],[Shape_Area]]</f>
        <v>0.73562729567915874</v>
      </c>
      <c r="AL68">
        <v>5812</v>
      </c>
      <c r="AM68">
        <f>intersection_ss_Lnight___surface[[#This Row],[Population totale 2024 ss]]*intersection_ss_Lnight___surface[[#This Row],[Part de la surface du qs dans le noise contour]]</f>
        <v>4275.4658424872705</v>
      </c>
    </row>
    <row r="69" spans="1:39" x14ac:dyDescent="0.3">
      <c r="A69">
        <v>81</v>
      </c>
      <c r="B69" t="s">
        <v>474</v>
      </c>
      <c r="C69" t="s">
        <v>475</v>
      </c>
      <c r="D69" t="s">
        <v>476</v>
      </c>
      <c r="E69" t="s">
        <v>476</v>
      </c>
      <c r="F69" t="s">
        <v>477</v>
      </c>
      <c r="G69" t="s">
        <v>455</v>
      </c>
      <c r="H69" t="s">
        <v>456</v>
      </c>
      <c r="I69" t="s">
        <v>457</v>
      </c>
      <c r="J69" t="s">
        <v>36</v>
      </c>
      <c r="K69">
        <v>21004</v>
      </c>
      <c r="L69" t="s">
        <v>309</v>
      </c>
      <c r="M69" t="s">
        <v>310</v>
      </c>
      <c r="N69" t="s">
        <v>311</v>
      </c>
      <c r="O69">
        <v>21000</v>
      </c>
      <c r="P69" t="s">
        <v>46</v>
      </c>
      <c r="Q69" t="s">
        <v>47</v>
      </c>
      <c r="R69" t="s">
        <v>48</v>
      </c>
      <c r="T69" t="s">
        <v>36</v>
      </c>
      <c r="U69" t="s">
        <v>36</v>
      </c>
      <c r="V69" t="s">
        <v>36</v>
      </c>
      <c r="W69">
        <v>4000</v>
      </c>
      <c r="X69" t="s">
        <v>49</v>
      </c>
      <c r="Y69" t="s">
        <v>50</v>
      </c>
      <c r="Z69" t="s">
        <v>51</v>
      </c>
      <c r="AA69" t="s">
        <v>37</v>
      </c>
      <c r="AB69" t="s">
        <v>52</v>
      </c>
      <c r="AC69" t="s">
        <v>53</v>
      </c>
      <c r="AD69" t="s">
        <v>54</v>
      </c>
      <c r="AE69">
        <v>40.0034212451</v>
      </c>
      <c r="AF69">
        <v>4150</v>
      </c>
      <c r="AG69">
        <v>4150.2764053800001</v>
      </c>
      <c r="AH69">
        <v>400040.64127700002</v>
      </c>
      <c r="AI69">
        <v>44</v>
      </c>
      <c r="AJ69">
        <v>103220.625678146</v>
      </c>
      <c r="AK69" s="1">
        <f>intersection_ss_Lnight___surface[[#This Row],[surf m2 bout ss]]/intersection_ss_Lnight___surface[[#This Row],[Shape_Area]]</f>
        <v>0.25802534799626264</v>
      </c>
      <c r="AL69">
        <v>5812</v>
      </c>
      <c r="AM69">
        <f>intersection_ss_Lnight___surface[[#This Row],[Population totale 2024 ss]]*intersection_ss_Lnight___surface[[#This Row],[Part de la surface du qs dans le noise contour]]</f>
        <v>1499.6433225542785</v>
      </c>
    </row>
    <row r="70" spans="1:39" x14ac:dyDescent="0.3">
      <c r="A70">
        <v>82</v>
      </c>
      <c r="B70" t="s">
        <v>474</v>
      </c>
      <c r="C70" t="s">
        <v>475</v>
      </c>
      <c r="D70" t="s">
        <v>476</v>
      </c>
      <c r="E70" t="s">
        <v>476</v>
      </c>
      <c r="F70" t="s">
        <v>477</v>
      </c>
      <c r="G70" t="s">
        <v>455</v>
      </c>
      <c r="H70" t="s">
        <v>456</v>
      </c>
      <c r="I70" t="s">
        <v>457</v>
      </c>
      <c r="J70" t="s">
        <v>36</v>
      </c>
      <c r="K70">
        <v>21004</v>
      </c>
      <c r="L70" t="s">
        <v>309</v>
      </c>
      <c r="M70" t="s">
        <v>310</v>
      </c>
      <c r="N70" t="s">
        <v>311</v>
      </c>
      <c r="O70">
        <v>21000</v>
      </c>
      <c r="P70" t="s">
        <v>46</v>
      </c>
      <c r="Q70" t="s">
        <v>47</v>
      </c>
      <c r="R70" t="s">
        <v>48</v>
      </c>
      <c r="T70" t="s">
        <v>36</v>
      </c>
      <c r="U70" t="s">
        <v>36</v>
      </c>
      <c r="V70" t="s">
        <v>36</v>
      </c>
      <c r="W70">
        <v>4000</v>
      </c>
      <c r="X70" t="s">
        <v>49</v>
      </c>
      <c r="Y70" t="s">
        <v>50</v>
      </c>
      <c r="Z70" t="s">
        <v>51</v>
      </c>
      <c r="AA70" t="s">
        <v>37</v>
      </c>
      <c r="AB70" t="s">
        <v>52</v>
      </c>
      <c r="AC70" t="s">
        <v>53</v>
      </c>
      <c r="AD70" t="s">
        <v>54</v>
      </c>
      <c r="AE70">
        <v>40.0034212451</v>
      </c>
      <c r="AF70">
        <v>4150</v>
      </c>
      <c r="AG70">
        <v>4150.2764053800001</v>
      </c>
      <c r="AH70">
        <v>400040.64127700002</v>
      </c>
      <c r="AI70">
        <v>45</v>
      </c>
      <c r="AJ70">
        <v>2398.71334041399</v>
      </c>
      <c r="AK70" s="1">
        <f>intersection_ss_Lnight___surface[[#This Row],[surf m2 bout ss]]/intersection_ss_Lnight___surface[[#This Row],[Shape_Area]]</f>
        <v>5.9961741206015357E-3</v>
      </c>
      <c r="AL70">
        <v>5812</v>
      </c>
      <c r="AM70">
        <f>intersection_ss_Lnight___surface[[#This Row],[Population totale 2024 ss]]*intersection_ss_Lnight___surface[[#This Row],[Part de la surface du qs dans le noise contour]]</f>
        <v>34.849763988936125</v>
      </c>
    </row>
    <row r="71" spans="1:39" x14ac:dyDescent="0.3">
      <c r="A71">
        <v>83</v>
      </c>
      <c r="B71" t="s">
        <v>478</v>
      </c>
      <c r="C71" t="s">
        <v>479</v>
      </c>
      <c r="D71" t="s">
        <v>480</v>
      </c>
      <c r="E71" t="s">
        <v>480</v>
      </c>
      <c r="F71" t="s">
        <v>477</v>
      </c>
      <c r="G71" t="s">
        <v>455</v>
      </c>
      <c r="H71" t="s">
        <v>456</v>
      </c>
      <c r="I71" t="s">
        <v>457</v>
      </c>
      <c r="J71" t="s">
        <v>36</v>
      </c>
      <c r="K71">
        <v>21004</v>
      </c>
      <c r="L71" t="s">
        <v>309</v>
      </c>
      <c r="M71" t="s">
        <v>310</v>
      </c>
      <c r="N71" t="s">
        <v>311</v>
      </c>
      <c r="O71">
        <v>21000</v>
      </c>
      <c r="P71" t="s">
        <v>46</v>
      </c>
      <c r="Q71" t="s">
        <v>47</v>
      </c>
      <c r="R71" t="s">
        <v>48</v>
      </c>
      <c r="T71" t="s">
        <v>36</v>
      </c>
      <c r="U71" t="s">
        <v>36</v>
      </c>
      <c r="V71" t="s">
        <v>36</v>
      </c>
      <c r="W71">
        <v>4000</v>
      </c>
      <c r="X71" t="s">
        <v>49</v>
      </c>
      <c r="Y71" t="s">
        <v>50</v>
      </c>
      <c r="Z71" t="s">
        <v>51</v>
      </c>
      <c r="AA71" t="s">
        <v>37</v>
      </c>
      <c r="AB71" t="s">
        <v>52</v>
      </c>
      <c r="AC71" t="s">
        <v>53</v>
      </c>
      <c r="AD71" t="s">
        <v>54</v>
      </c>
      <c r="AE71">
        <v>8.1818739673900005</v>
      </c>
      <c r="AF71">
        <v>1629</v>
      </c>
      <c r="AG71">
        <v>1628.7172322700001</v>
      </c>
      <c r="AH71">
        <v>81820.0594403</v>
      </c>
      <c r="AI71">
        <v>43</v>
      </c>
      <c r="AJ71">
        <v>41069.979652692498</v>
      </c>
      <c r="AK71" s="1">
        <f>intersection_ss_Lnight___surface[[#This Row],[surf m2 bout ss]]/intersection_ss_Lnight___surface[[#This Row],[Shape_Area]]</f>
        <v>0.50195489875754984</v>
      </c>
      <c r="AL71">
        <v>939</v>
      </c>
      <c r="AM71">
        <f>intersection_ss_Lnight___surface[[#This Row],[Population totale 2024 ss]]*intersection_ss_Lnight___surface[[#This Row],[Part de la surface du qs dans le noise contour]]</f>
        <v>471.33564993333931</v>
      </c>
    </row>
    <row r="72" spans="1:39" x14ac:dyDescent="0.3">
      <c r="A72">
        <v>84</v>
      </c>
      <c r="B72" t="s">
        <v>478</v>
      </c>
      <c r="C72" t="s">
        <v>479</v>
      </c>
      <c r="D72" t="s">
        <v>480</v>
      </c>
      <c r="E72" t="s">
        <v>480</v>
      </c>
      <c r="F72" t="s">
        <v>477</v>
      </c>
      <c r="G72" t="s">
        <v>455</v>
      </c>
      <c r="H72" t="s">
        <v>456</v>
      </c>
      <c r="I72" t="s">
        <v>457</v>
      </c>
      <c r="J72" t="s">
        <v>36</v>
      </c>
      <c r="K72">
        <v>21004</v>
      </c>
      <c r="L72" t="s">
        <v>309</v>
      </c>
      <c r="M72" t="s">
        <v>310</v>
      </c>
      <c r="N72" t="s">
        <v>311</v>
      </c>
      <c r="O72">
        <v>21000</v>
      </c>
      <c r="P72" t="s">
        <v>46</v>
      </c>
      <c r="Q72" t="s">
        <v>47</v>
      </c>
      <c r="R72" t="s">
        <v>48</v>
      </c>
      <c r="T72" t="s">
        <v>36</v>
      </c>
      <c r="U72" t="s">
        <v>36</v>
      </c>
      <c r="V72" t="s">
        <v>36</v>
      </c>
      <c r="W72">
        <v>4000</v>
      </c>
      <c r="X72" t="s">
        <v>49</v>
      </c>
      <c r="Y72" t="s">
        <v>50</v>
      </c>
      <c r="Z72" t="s">
        <v>51</v>
      </c>
      <c r="AA72" t="s">
        <v>37</v>
      </c>
      <c r="AB72" t="s">
        <v>52</v>
      </c>
      <c r="AC72" t="s">
        <v>53</v>
      </c>
      <c r="AD72" t="s">
        <v>54</v>
      </c>
      <c r="AE72">
        <v>8.1818739673900005</v>
      </c>
      <c r="AF72">
        <v>1629</v>
      </c>
      <c r="AG72">
        <v>1628.7172322700001</v>
      </c>
      <c r="AH72">
        <v>81820.0594403</v>
      </c>
      <c r="AI72">
        <v>44</v>
      </c>
      <c r="AJ72">
        <v>40757.1919284826</v>
      </c>
      <c r="AK72" s="1">
        <f>intersection_ss_Lnight___surface[[#This Row],[surf m2 bout ss]]/intersection_ss_Lnight___surface[[#This Row],[Shape_Area]]</f>
        <v>0.49813202541390333</v>
      </c>
      <c r="AL72">
        <v>939</v>
      </c>
      <c r="AM72">
        <f>intersection_ss_Lnight___surface[[#This Row],[Population totale 2024 ss]]*intersection_ss_Lnight___surface[[#This Row],[Part de la surface du qs dans le noise contour]]</f>
        <v>467.74597186365526</v>
      </c>
    </row>
    <row r="73" spans="1:39" x14ac:dyDescent="0.3">
      <c r="A73">
        <v>85</v>
      </c>
      <c r="B73" t="s">
        <v>481</v>
      </c>
      <c r="C73" t="s">
        <v>482</v>
      </c>
      <c r="D73" t="s">
        <v>483</v>
      </c>
      <c r="E73" t="s">
        <v>483</v>
      </c>
      <c r="F73" t="s">
        <v>477</v>
      </c>
      <c r="G73" t="s">
        <v>455</v>
      </c>
      <c r="H73" t="s">
        <v>456</v>
      </c>
      <c r="I73" t="s">
        <v>457</v>
      </c>
      <c r="J73" t="s">
        <v>36</v>
      </c>
      <c r="K73">
        <v>21004</v>
      </c>
      <c r="L73" t="s">
        <v>309</v>
      </c>
      <c r="M73" t="s">
        <v>310</v>
      </c>
      <c r="N73" t="s">
        <v>311</v>
      </c>
      <c r="O73">
        <v>21000</v>
      </c>
      <c r="P73" t="s">
        <v>46</v>
      </c>
      <c r="Q73" t="s">
        <v>47</v>
      </c>
      <c r="R73" t="s">
        <v>48</v>
      </c>
      <c r="T73" t="s">
        <v>36</v>
      </c>
      <c r="U73" t="s">
        <v>36</v>
      </c>
      <c r="V73" t="s">
        <v>36</v>
      </c>
      <c r="W73">
        <v>4000</v>
      </c>
      <c r="X73" t="s">
        <v>49</v>
      </c>
      <c r="Y73" t="s">
        <v>50</v>
      </c>
      <c r="Z73" t="s">
        <v>51</v>
      </c>
      <c r="AA73" t="s">
        <v>37</v>
      </c>
      <c r="AB73" t="s">
        <v>52</v>
      </c>
      <c r="AC73" t="s">
        <v>53</v>
      </c>
      <c r="AD73" t="s">
        <v>54</v>
      </c>
      <c r="AE73">
        <v>10.652471436600001</v>
      </c>
      <c r="AF73">
        <v>1615</v>
      </c>
      <c r="AG73">
        <v>1615.29307062</v>
      </c>
      <c r="AH73">
        <v>106526.426504</v>
      </c>
      <c r="AI73">
        <v>43</v>
      </c>
      <c r="AJ73">
        <v>44465.815314896397</v>
      </c>
      <c r="AK73" s="1">
        <f>intersection_ss_Lnight___surface[[#This Row],[surf m2 bout ss]]/intersection_ss_Lnight___surface[[#This Row],[Shape_Area]]</f>
        <v>0.41741581665866484</v>
      </c>
      <c r="AL73">
        <v>2680</v>
      </c>
      <c r="AM73">
        <f>intersection_ss_Lnight___surface[[#This Row],[Population totale 2024 ss]]*intersection_ss_Lnight___surface[[#This Row],[Part de la surface du qs dans le noise contour]]</f>
        <v>1118.6743886452218</v>
      </c>
    </row>
    <row r="74" spans="1:39" x14ac:dyDescent="0.3">
      <c r="A74">
        <v>86</v>
      </c>
      <c r="B74" t="s">
        <v>481</v>
      </c>
      <c r="C74" t="s">
        <v>482</v>
      </c>
      <c r="D74" t="s">
        <v>483</v>
      </c>
      <c r="E74" t="s">
        <v>483</v>
      </c>
      <c r="F74" t="s">
        <v>477</v>
      </c>
      <c r="G74" t="s">
        <v>455</v>
      </c>
      <c r="H74" t="s">
        <v>456</v>
      </c>
      <c r="I74" t="s">
        <v>457</v>
      </c>
      <c r="J74" t="s">
        <v>36</v>
      </c>
      <c r="K74">
        <v>21004</v>
      </c>
      <c r="L74" t="s">
        <v>309</v>
      </c>
      <c r="M74" t="s">
        <v>310</v>
      </c>
      <c r="N74" t="s">
        <v>311</v>
      </c>
      <c r="O74">
        <v>21000</v>
      </c>
      <c r="P74" t="s">
        <v>46</v>
      </c>
      <c r="Q74" t="s">
        <v>47</v>
      </c>
      <c r="R74" t="s">
        <v>48</v>
      </c>
      <c r="T74" t="s">
        <v>36</v>
      </c>
      <c r="U74" t="s">
        <v>36</v>
      </c>
      <c r="V74" t="s">
        <v>36</v>
      </c>
      <c r="W74">
        <v>4000</v>
      </c>
      <c r="X74" t="s">
        <v>49</v>
      </c>
      <c r="Y74" t="s">
        <v>50</v>
      </c>
      <c r="Z74" t="s">
        <v>51</v>
      </c>
      <c r="AA74" t="s">
        <v>37</v>
      </c>
      <c r="AB74" t="s">
        <v>52</v>
      </c>
      <c r="AC74" t="s">
        <v>53</v>
      </c>
      <c r="AD74" t="s">
        <v>54</v>
      </c>
      <c r="AE74">
        <v>10.652471436600001</v>
      </c>
      <c r="AF74">
        <v>1615</v>
      </c>
      <c r="AG74">
        <v>1615.29307062</v>
      </c>
      <c r="AH74">
        <v>106526.426504</v>
      </c>
      <c r="AI74">
        <v>44</v>
      </c>
      <c r="AJ74">
        <v>62069.845446400803</v>
      </c>
      <c r="AK74" s="1">
        <f>intersection_ss_Lnight___surface[[#This Row],[surf m2 bout ss]]/intersection_ss_Lnight___surface[[#This Row],[Shape_Area]]</f>
        <v>0.58267086847290539</v>
      </c>
      <c r="AL74">
        <v>2680</v>
      </c>
      <c r="AM74">
        <f>intersection_ss_Lnight___surface[[#This Row],[Population totale 2024 ss]]*intersection_ss_Lnight___surface[[#This Row],[Part de la surface du qs dans le noise contour]]</f>
        <v>1561.5579275073865</v>
      </c>
    </row>
    <row r="75" spans="1:39" x14ac:dyDescent="0.3">
      <c r="A75">
        <v>87</v>
      </c>
      <c r="B75" t="s">
        <v>484</v>
      </c>
      <c r="C75" t="s">
        <v>485</v>
      </c>
      <c r="D75" t="s">
        <v>486</v>
      </c>
      <c r="E75" t="s">
        <v>486</v>
      </c>
      <c r="F75" t="s">
        <v>477</v>
      </c>
      <c r="G75" t="s">
        <v>455</v>
      </c>
      <c r="H75" t="s">
        <v>456</v>
      </c>
      <c r="I75" t="s">
        <v>457</v>
      </c>
      <c r="J75" t="s">
        <v>36</v>
      </c>
      <c r="K75">
        <v>21004</v>
      </c>
      <c r="L75" t="s">
        <v>309</v>
      </c>
      <c r="M75" t="s">
        <v>310</v>
      </c>
      <c r="N75" t="s">
        <v>311</v>
      </c>
      <c r="O75">
        <v>21000</v>
      </c>
      <c r="P75" t="s">
        <v>46</v>
      </c>
      <c r="Q75" t="s">
        <v>47</v>
      </c>
      <c r="R75" t="s">
        <v>48</v>
      </c>
      <c r="T75" t="s">
        <v>36</v>
      </c>
      <c r="U75" t="s">
        <v>36</v>
      </c>
      <c r="V75" t="s">
        <v>36</v>
      </c>
      <c r="W75">
        <v>4000</v>
      </c>
      <c r="X75" t="s">
        <v>49</v>
      </c>
      <c r="Y75" t="s">
        <v>50</v>
      </c>
      <c r="Z75" t="s">
        <v>51</v>
      </c>
      <c r="AA75" t="s">
        <v>37</v>
      </c>
      <c r="AB75" t="s">
        <v>52</v>
      </c>
      <c r="AC75" t="s">
        <v>53</v>
      </c>
      <c r="AD75" t="s">
        <v>54</v>
      </c>
      <c r="AE75">
        <v>30.439585597600001</v>
      </c>
      <c r="AF75">
        <v>3551</v>
      </c>
      <c r="AG75">
        <v>3551.23274305</v>
      </c>
      <c r="AH75">
        <v>304400.75639900001</v>
      </c>
      <c r="AI75">
        <v>42</v>
      </c>
      <c r="AJ75">
        <v>41257.976155285702</v>
      </c>
      <c r="AK75" s="1">
        <f>intersection_ss_Lnight___surface[[#This Row],[surf m2 bout ss]]/intersection_ss_Lnight___surface[[#This Row],[Shape_Area]]</f>
        <v>0.13553834965247558</v>
      </c>
      <c r="AL75">
        <v>735</v>
      </c>
      <c r="AM75">
        <f>intersection_ss_Lnight___surface[[#This Row],[Population totale 2024 ss]]*intersection_ss_Lnight___surface[[#This Row],[Part de la surface du qs dans le noise contour]]</f>
        <v>99.620686994569553</v>
      </c>
    </row>
    <row r="76" spans="1:39" x14ac:dyDescent="0.3">
      <c r="A76">
        <v>88</v>
      </c>
      <c r="B76" t="s">
        <v>484</v>
      </c>
      <c r="C76" t="s">
        <v>485</v>
      </c>
      <c r="D76" t="s">
        <v>486</v>
      </c>
      <c r="E76" t="s">
        <v>486</v>
      </c>
      <c r="F76" t="s">
        <v>477</v>
      </c>
      <c r="G76" t="s">
        <v>455</v>
      </c>
      <c r="H76" t="s">
        <v>456</v>
      </c>
      <c r="I76" t="s">
        <v>457</v>
      </c>
      <c r="J76" t="s">
        <v>36</v>
      </c>
      <c r="K76">
        <v>21004</v>
      </c>
      <c r="L76" t="s">
        <v>309</v>
      </c>
      <c r="M76" t="s">
        <v>310</v>
      </c>
      <c r="N76" t="s">
        <v>311</v>
      </c>
      <c r="O76">
        <v>21000</v>
      </c>
      <c r="P76" t="s">
        <v>46</v>
      </c>
      <c r="Q76" t="s">
        <v>47</v>
      </c>
      <c r="R76" t="s">
        <v>48</v>
      </c>
      <c r="T76" t="s">
        <v>36</v>
      </c>
      <c r="U76" t="s">
        <v>36</v>
      </c>
      <c r="V76" t="s">
        <v>36</v>
      </c>
      <c r="W76">
        <v>4000</v>
      </c>
      <c r="X76" t="s">
        <v>49</v>
      </c>
      <c r="Y76" t="s">
        <v>50</v>
      </c>
      <c r="Z76" t="s">
        <v>51</v>
      </c>
      <c r="AA76" t="s">
        <v>37</v>
      </c>
      <c r="AB76" t="s">
        <v>52</v>
      </c>
      <c r="AC76" t="s">
        <v>53</v>
      </c>
      <c r="AD76" t="s">
        <v>54</v>
      </c>
      <c r="AE76">
        <v>30.439585597600001</v>
      </c>
      <c r="AF76">
        <v>3551</v>
      </c>
      <c r="AG76">
        <v>3551.23274305</v>
      </c>
      <c r="AH76">
        <v>304400.75639900001</v>
      </c>
      <c r="AI76">
        <v>43</v>
      </c>
      <c r="AJ76">
        <v>164642.75505874099</v>
      </c>
      <c r="AK76" s="1">
        <f>intersection_ss_Lnight___surface[[#This Row],[surf m2 bout ss]]/intersection_ss_Lnight___surface[[#This Row],[Shape_Area]]</f>
        <v>0.54087498666702349</v>
      </c>
      <c r="AL76">
        <v>735</v>
      </c>
      <c r="AM76">
        <f>intersection_ss_Lnight___surface[[#This Row],[Population totale 2024 ss]]*intersection_ss_Lnight___surface[[#This Row],[Part de la surface du qs dans le noise contour]]</f>
        <v>397.54311520026226</v>
      </c>
    </row>
    <row r="77" spans="1:39" x14ac:dyDescent="0.3">
      <c r="A77">
        <v>89</v>
      </c>
      <c r="B77" t="s">
        <v>484</v>
      </c>
      <c r="C77" t="s">
        <v>485</v>
      </c>
      <c r="D77" t="s">
        <v>486</v>
      </c>
      <c r="E77" t="s">
        <v>486</v>
      </c>
      <c r="F77" t="s">
        <v>477</v>
      </c>
      <c r="G77" t="s">
        <v>455</v>
      </c>
      <c r="H77" t="s">
        <v>456</v>
      </c>
      <c r="I77" t="s">
        <v>457</v>
      </c>
      <c r="J77" t="s">
        <v>36</v>
      </c>
      <c r="K77">
        <v>21004</v>
      </c>
      <c r="L77" t="s">
        <v>309</v>
      </c>
      <c r="M77" t="s">
        <v>310</v>
      </c>
      <c r="N77" t="s">
        <v>311</v>
      </c>
      <c r="O77">
        <v>21000</v>
      </c>
      <c r="P77" t="s">
        <v>46</v>
      </c>
      <c r="Q77" t="s">
        <v>47</v>
      </c>
      <c r="R77" t="s">
        <v>48</v>
      </c>
      <c r="T77" t="s">
        <v>36</v>
      </c>
      <c r="U77" t="s">
        <v>36</v>
      </c>
      <c r="V77" t="s">
        <v>36</v>
      </c>
      <c r="W77">
        <v>4000</v>
      </c>
      <c r="X77" t="s">
        <v>49</v>
      </c>
      <c r="Y77" t="s">
        <v>50</v>
      </c>
      <c r="Z77" t="s">
        <v>51</v>
      </c>
      <c r="AA77" t="s">
        <v>37</v>
      </c>
      <c r="AB77" t="s">
        <v>52</v>
      </c>
      <c r="AC77" t="s">
        <v>53</v>
      </c>
      <c r="AD77" t="s">
        <v>54</v>
      </c>
      <c r="AE77">
        <v>30.439585597600001</v>
      </c>
      <c r="AF77">
        <v>3551</v>
      </c>
      <c r="AG77">
        <v>3551.23274305</v>
      </c>
      <c r="AH77">
        <v>304400.75639900001</v>
      </c>
      <c r="AI77">
        <v>44</v>
      </c>
      <c r="AJ77">
        <v>98526.486613317902</v>
      </c>
      <c r="AK77" s="1">
        <f>intersection_ss_Lnight___surface[[#This Row],[surf m2 bout ss]]/intersection_ss_Lnight___surface[[#This Row],[Shape_Area]]</f>
        <v>0.32367359325537332</v>
      </c>
      <c r="AL77">
        <v>735</v>
      </c>
      <c r="AM77">
        <f>intersection_ss_Lnight___surface[[#This Row],[Population totale 2024 ss]]*intersection_ss_Lnight___surface[[#This Row],[Part de la surface du qs dans le noise contour]]</f>
        <v>237.90009104269939</v>
      </c>
    </row>
    <row r="78" spans="1:39" x14ac:dyDescent="0.3">
      <c r="A78">
        <v>90</v>
      </c>
      <c r="B78" t="s">
        <v>487</v>
      </c>
      <c r="C78" t="s">
        <v>488</v>
      </c>
      <c r="D78" t="s">
        <v>489</v>
      </c>
      <c r="E78" t="s">
        <v>489</v>
      </c>
      <c r="F78" t="s">
        <v>477</v>
      </c>
      <c r="G78" t="s">
        <v>455</v>
      </c>
      <c r="H78" t="s">
        <v>456</v>
      </c>
      <c r="I78" t="s">
        <v>457</v>
      </c>
      <c r="J78" t="s">
        <v>36</v>
      </c>
      <c r="K78">
        <v>21004</v>
      </c>
      <c r="L78" t="s">
        <v>309</v>
      </c>
      <c r="M78" t="s">
        <v>310</v>
      </c>
      <c r="N78" t="s">
        <v>311</v>
      </c>
      <c r="O78">
        <v>21000</v>
      </c>
      <c r="P78" t="s">
        <v>46</v>
      </c>
      <c r="Q78" t="s">
        <v>47</v>
      </c>
      <c r="R78" t="s">
        <v>48</v>
      </c>
      <c r="T78" t="s">
        <v>36</v>
      </c>
      <c r="U78" t="s">
        <v>36</v>
      </c>
      <c r="V78" t="s">
        <v>36</v>
      </c>
      <c r="W78">
        <v>4000</v>
      </c>
      <c r="X78" t="s">
        <v>49</v>
      </c>
      <c r="Y78" t="s">
        <v>50</v>
      </c>
      <c r="Z78" t="s">
        <v>51</v>
      </c>
      <c r="AA78" t="s">
        <v>37</v>
      </c>
      <c r="AB78" t="s">
        <v>52</v>
      </c>
      <c r="AC78" t="s">
        <v>53</v>
      </c>
      <c r="AD78" t="s">
        <v>54</v>
      </c>
      <c r="AE78">
        <v>20.312783686100001</v>
      </c>
      <c r="AF78">
        <v>4764</v>
      </c>
      <c r="AG78">
        <v>4764.0169100200001</v>
      </c>
      <c r="AH78">
        <v>203131.08228</v>
      </c>
      <c r="AI78">
        <v>42</v>
      </c>
      <c r="AJ78">
        <v>12683.2333304733</v>
      </c>
      <c r="AK78" s="1">
        <f>intersection_ss_Lnight___surface[[#This Row],[surf m2 bout ss]]/intersection_ss_Lnight___surface[[#This Row],[Shape_Area]]</f>
        <v>6.2438663685109863E-2</v>
      </c>
      <c r="AL78">
        <v>0</v>
      </c>
      <c r="AM78">
        <f>intersection_ss_Lnight___surface[[#This Row],[Population totale 2024 ss]]*intersection_ss_Lnight___surface[[#This Row],[Part de la surface du qs dans le noise contour]]</f>
        <v>0</v>
      </c>
    </row>
    <row r="79" spans="1:39" x14ac:dyDescent="0.3">
      <c r="A79">
        <v>91</v>
      </c>
      <c r="B79" t="s">
        <v>487</v>
      </c>
      <c r="C79" t="s">
        <v>488</v>
      </c>
      <c r="D79" t="s">
        <v>489</v>
      </c>
      <c r="E79" t="s">
        <v>489</v>
      </c>
      <c r="F79" t="s">
        <v>477</v>
      </c>
      <c r="G79" t="s">
        <v>455</v>
      </c>
      <c r="H79" t="s">
        <v>456</v>
      </c>
      <c r="I79" t="s">
        <v>457</v>
      </c>
      <c r="J79" t="s">
        <v>36</v>
      </c>
      <c r="K79">
        <v>21004</v>
      </c>
      <c r="L79" t="s">
        <v>309</v>
      </c>
      <c r="M79" t="s">
        <v>310</v>
      </c>
      <c r="N79" t="s">
        <v>311</v>
      </c>
      <c r="O79">
        <v>21000</v>
      </c>
      <c r="P79" t="s">
        <v>46</v>
      </c>
      <c r="Q79" t="s">
        <v>47</v>
      </c>
      <c r="R79" t="s">
        <v>48</v>
      </c>
      <c r="T79" t="s">
        <v>36</v>
      </c>
      <c r="U79" t="s">
        <v>36</v>
      </c>
      <c r="V79" t="s">
        <v>36</v>
      </c>
      <c r="W79">
        <v>4000</v>
      </c>
      <c r="X79" t="s">
        <v>49</v>
      </c>
      <c r="Y79" t="s">
        <v>50</v>
      </c>
      <c r="Z79" t="s">
        <v>51</v>
      </c>
      <c r="AA79" t="s">
        <v>37</v>
      </c>
      <c r="AB79" t="s">
        <v>52</v>
      </c>
      <c r="AC79" t="s">
        <v>53</v>
      </c>
      <c r="AD79" t="s">
        <v>54</v>
      </c>
      <c r="AE79">
        <v>20.312783686100001</v>
      </c>
      <c r="AF79">
        <v>4764</v>
      </c>
      <c r="AG79">
        <v>4764.0169100200001</v>
      </c>
      <c r="AH79">
        <v>203131.08228</v>
      </c>
      <c r="AI79">
        <v>43</v>
      </c>
      <c r="AJ79">
        <v>78097.079182479501</v>
      </c>
      <c r="AK79" s="1">
        <f>intersection_ss_Lnight___surface[[#This Row],[surf m2 bout ss]]/intersection_ss_Lnight___surface[[#This Row],[Shape_Area]]</f>
        <v>0.38446641600042725</v>
      </c>
      <c r="AL79">
        <v>0</v>
      </c>
      <c r="AM79">
        <f>intersection_ss_Lnight___surface[[#This Row],[Population totale 2024 ss]]*intersection_ss_Lnight___surface[[#This Row],[Part de la surface du qs dans le noise contour]]</f>
        <v>0</v>
      </c>
    </row>
    <row r="80" spans="1:39" x14ac:dyDescent="0.3">
      <c r="A80">
        <v>92</v>
      </c>
      <c r="B80" t="s">
        <v>487</v>
      </c>
      <c r="C80" t="s">
        <v>488</v>
      </c>
      <c r="D80" t="s">
        <v>489</v>
      </c>
      <c r="E80" t="s">
        <v>489</v>
      </c>
      <c r="F80" t="s">
        <v>477</v>
      </c>
      <c r="G80" t="s">
        <v>455</v>
      </c>
      <c r="H80" t="s">
        <v>456</v>
      </c>
      <c r="I80" t="s">
        <v>457</v>
      </c>
      <c r="J80" t="s">
        <v>36</v>
      </c>
      <c r="K80">
        <v>21004</v>
      </c>
      <c r="L80" t="s">
        <v>309</v>
      </c>
      <c r="M80" t="s">
        <v>310</v>
      </c>
      <c r="N80" t="s">
        <v>311</v>
      </c>
      <c r="O80">
        <v>21000</v>
      </c>
      <c r="P80" t="s">
        <v>46</v>
      </c>
      <c r="Q80" t="s">
        <v>47</v>
      </c>
      <c r="R80" t="s">
        <v>48</v>
      </c>
      <c r="T80" t="s">
        <v>36</v>
      </c>
      <c r="U80" t="s">
        <v>36</v>
      </c>
      <c r="V80" t="s">
        <v>36</v>
      </c>
      <c r="W80">
        <v>4000</v>
      </c>
      <c r="X80" t="s">
        <v>49</v>
      </c>
      <c r="Y80" t="s">
        <v>50</v>
      </c>
      <c r="Z80" t="s">
        <v>51</v>
      </c>
      <c r="AA80" t="s">
        <v>37</v>
      </c>
      <c r="AB80" t="s">
        <v>52</v>
      </c>
      <c r="AC80" t="s">
        <v>53</v>
      </c>
      <c r="AD80" t="s">
        <v>54</v>
      </c>
      <c r="AE80">
        <v>20.312783686100001</v>
      </c>
      <c r="AF80">
        <v>4764</v>
      </c>
      <c r="AG80">
        <v>4764.0169100200001</v>
      </c>
      <c r="AH80">
        <v>203131.08228</v>
      </c>
      <c r="AI80">
        <v>44</v>
      </c>
      <c r="AJ80">
        <v>112354.855224317</v>
      </c>
      <c r="AK80" s="1">
        <f>intersection_ss_Lnight___surface[[#This Row],[surf m2 bout ss]]/intersection_ss_Lnight___surface[[#This Row],[Shape_Area]]</f>
        <v>0.55311503273263118</v>
      </c>
      <c r="AL80">
        <v>0</v>
      </c>
      <c r="AM80">
        <f>intersection_ss_Lnight___surface[[#This Row],[Population totale 2024 ss]]*intersection_ss_Lnight___surface[[#This Row],[Part de la surface du qs dans le noise contour]]</f>
        <v>0</v>
      </c>
    </row>
    <row r="81" spans="1:39" x14ac:dyDescent="0.3">
      <c r="A81">
        <v>93</v>
      </c>
      <c r="B81" t="s">
        <v>487</v>
      </c>
      <c r="C81" t="s">
        <v>488</v>
      </c>
      <c r="D81" t="s">
        <v>489</v>
      </c>
      <c r="E81" t="s">
        <v>489</v>
      </c>
      <c r="F81" t="s">
        <v>477</v>
      </c>
      <c r="G81" t="s">
        <v>455</v>
      </c>
      <c r="H81" t="s">
        <v>456</v>
      </c>
      <c r="I81" t="s">
        <v>457</v>
      </c>
      <c r="J81" t="s">
        <v>36</v>
      </c>
      <c r="K81">
        <v>21004</v>
      </c>
      <c r="L81" t="s">
        <v>309</v>
      </c>
      <c r="M81" t="s">
        <v>310</v>
      </c>
      <c r="N81" t="s">
        <v>311</v>
      </c>
      <c r="O81">
        <v>21000</v>
      </c>
      <c r="P81" t="s">
        <v>46</v>
      </c>
      <c r="Q81" t="s">
        <v>47</v>
      </c>
      <c r="R81" t="s">
        <v>48</v>
      </c>
      <c r="T81" t="s">
        <v>36</v>
      </c>
      <c r="U81" t="s">
        <v>36</v>
      </c>
      <c r="V81" t="s">
        <v>36</v>
      </c>
      <c r="W81">
        <v>4000</v>
      </c>
      <c r="X81" t="s">
        <v>49</v>
      </c>
      <c r="Y81" t="s">
        <v>50</v>
      </c>
      <c r="Z81" t="s">
        <v>51</v>
      </c>
      <c r="AA81" t="s">
        <v>37</v>
      </c>
      <c r="AB81" t="s">
        <v>52</v>
      </c>
      <c r="AC81" t="s">
        <v>53</v>
      </c>
      <c r="AD81" t="s">
        <v>54</v>
      </c>
      <c r="AE81">
        <v>20.312783686100001</v>
      </c>
      <c r="AF81">
        <v>4764</v>
      </c>
      <c r="AG81">
        <v>4764.0169100200001</v>
      </c>
      <c r="AH81">
        <v>203131.08228</v>
      </c>
      <c r="AI81">
        <v>45</v>
      </c>
      <c r="AJ81">
        <v>14.028451404068599</v>
      </c>
      <c r="AK81" s="1">
        <f>intersection_ss_Lnight___surface[[#This Row],[surf m2 bout ss]]/intersection_ss_Lnight___surface[[#This Row],[Shape_Area]]</f>
        <v>6.9061077441272614E-5</v>
      </c>
      <c r="AL81">
        <v>0</v>
      </c>
      <c r="AM81">
        <f>intersection_ss_Lnight___surface[[#This Row],[Population totale 2024 ss]]*intersection_ss_Lnight___surface[[#This Row],[Part de la surface du qs dans le noise contour]]</f>
        <v>0</v>
      </c>
    </row>
    <row r="82" spans="1:39" x14ac:dyDescent="0.3">
      <c r="A82">
        <v>94</v>
      </c>
      <c r="B82" t="s">
        <v>490</v>
      </c>
      <c r="C82" t="s">
        <v>491</v>
      </c>
      <c r="D82" t="s">
        <v>492</v>
      </c>
      <c r="E82" t="s">
        <v>492</v>
      </c>
      <c r="F82" t="s">
        <v>493</v>
      </c>
      <c r="G82" t="s">
        <v>455</v>
      </c>
      <c r="H82" t="s">
        <v>456</v>
      </c>
      <c r="I82" t="s">
        <v>457</v>
      </c>
      <c r="J82" t="s">
        <v>36</v>
      </c>
      <c r="K82">
        <v>21004</v>
      </c>
      <c r="L82" t="s">
        <v>309</v>
      </c>
      <c r="M82" t="s">
        <v>310</v>
      </c>
      <c r="N82" t="s">
        <v>311</v>
      </c>
      <c r="O82">
        <v>21000</v>
      </c>
      <c r="P82" t="s">
        <v>46</v>
      </c>
      <c r="Q82" t="s">
        <v>47</v>
      </c>
      <c r="R82" t="s">
        <v>48</v>
      </c>
      <c r="T82" t="s">
        <v>36</v>
      </c>
      <c r="U82" t="s">
        <v>36</v>
      </c>
      <c r="V82" t="s">
        <v>36</v>
      </c>
      <c r="W82">
        <v>4000</v>
      </c>
      <c r="X82" t="s">
        <v>49</v>
      </c>
      <c r="Y82" t="s">
        <v>50</v>
      </c>
      <c r="Z82" t="s">
        <v>51</v>
      </c>
      <c r="AA82" t="s">
        <v>37</v>
      </c>
      <c r="AB82" t="s">
        <v>52</v>
      </c>
      <c r="AC82" t="s">
        <v>53</v>
      </c>
      <c r="AD82" t="s">
        <v>54</v>
      </c>
      <c r="AE82">
        <v>31.438785150099999</v>
      </c>
      <c r="AF82">
        <v>2732</v>
      </c>
      <c r="AG82">
        <v>2731.9651582900001</v>
      </c>
      <c r="AH82">
        <v>314392.93085399998</v>
      </c>
      <c r="AI82">
        <v>40</v>
      </c>
      <c r="AJ82">
        <v>0.98457019752822805</v>
      </c>
      <c r="AK82" s="1">
        <f>intersection_ss_Lnight___surface[[#This Row],[surf m2 bout ss]]/intersection_ss_Lnight___surface[[#This Row],[Shape_Area]]</f>
        <v>3.1316550116244496E-6</v>
      </c>
      <c r="AL82">
        <v>6057</v>
      </c>
      <c r="AM82">
        <f>intersection_ss_Lnight___surface[[#This Row],[Population totale 2024 ss]]*intersection_ss_Lnight___surface[[#This Row],[Part de la surface du qs dans le noise contour]]</f>
        <v>1.8968434405409292E-2</v>
      </c>
    </row>
    <row r="83" spans="1:39" x14ac:dyDescent="0.3">
      <c r="A83">
        <v>95</v>
      </c>
      <c r="B83" t="s">
        <v>490</v>
      </c>
      <c r="C83" t="s">
        <v>491</v>
      </c>
      <c r="D83" t="s">
        <v>492</v>
      </c>
      <c r="E83" t="s">
        <v>492</v>
      </c>
      <c r="F83" t="s">
        <v>493</v>
      </c>
      <c r="G83" t="s">
        <v>455</v>
      </c>
      <c r="H83" t="s">
        <v>456</v>
      </c>
      <c r="I83" t="s">
        <v>457</v>
      </c>
      <c r="J83" t="s">
        <v>36</v>
      </c>
      <c r="K83">
        <v>21004</v>
      </c>
      <c r="L83" t="s">
        <v>309</v>
      </c>
      <c r="M83" t="s">
        <v>310</v>
      </c>
      <c r="N83" t="s">
        <v>311</v>
      </c>
      <c r="O83">
        <v>21000</v>
      </c>
      <c r="P83" t="s">
        <v>46</v>
      </c>
      <c r="Q83" t="s">
        <v>47</v>
      </c>
      <c r="R83" t="s">
        <v>48</v>
      </c>
      <c r="T83" t="s">
        <v>36</v>
      </c>
      <c r="U83" t="s">
        <v>36</v>
      </c>
      <c r="V83" t="s">
        <v>36</v>
      </c>
      <c r="W83">
        <v>4000</v>
      </c>
      <c r="X83" t="s">
        <v>49</v>
      </c>
      <c r="Y83" t="s">
        <v>50</v>
      </c>
      <c r="Z83" t="s">
        <v>51</v>
      </c>
      <c r="AA83" t="s">
        <v>37</v>
      </c>
      <c r="AB83" t="s">
        <v>52</v>
      </c>
      <c r="AC83" t="s">
        <v>53</v>
      </c>
      <c r="AD83" t="s">
        <v>54</v>
      </c>
      <c r="AE83">
        <v>31.438785150099999</v>
      </c>
      <c r="AF83">
        <v>2732</v>
      </c>
      <c r="AG83">
        <v>2731.9651582900001</v>
      </c>
      <c r="AH83">
        <v>314392.93085399998</v>
      </c>
      <c r="AI83">
        <v>41</v>
      </c>
      <c r="AJ83">
        <v>168468.78779786601</v>
      </c>
      <c r="AK83" s="1">
        <f>intersection_ss_Lnight___surface[[#This Row],[surf m2 bout ss]]/intersection_ss_Lnight___surface[[#This Row],[Shape_Area]]</f>
        <v>0.53585424882247346</v>
      </c>
      <c r="AL83">
        <v>6057</v>
      </c>
      <c r="AM83">
        <f>intersection_ss_Lnight___surface[[#This Row],[Population totale 2024 ss]]*intersection_ss_Lnight___surface[[#This Row],[Part de la surface du qs dans le noise contour]]</f>
        <v>3245.6691851177216</v>
      </c>
    </row>
    <row r="84" spans="1:39" x14ac:dyDescent="0.3">
      <c r="A84">
        <v>96</v>
      </c>
      <c r="B84" t="s">
        <v>490</v>
      </c>
      <c r="C84" t="s">
        <v>491</v>
      </c>
      <c r="D84" t="s">
        <v>492</v>
      </c>
      <c r="E84" t="s">
        <v>492</v>
      </c>
      <c r="F84" t="s">
        <v>493</v>
      </c>
      <c r="G84" t="s">
        <v>455</v>
      </c>
      <c r="H84" t="s">
        <v>456</v>
      </c>
      <c r="I84" t="s">
        <v>457</v>
      </c>
      <c r="J84" t="s">
        <v>36</v>
      </c>
      <c r="K84">
        <v>21004</v>
      </c>
      <c r="L84" t="s">
        <v>309</v>
      </c>
      <c r="M84" t="s">
        <v>310</v>
      </c>
      <c r="N84" t="s">
        <v>311</v>
      </c>
      <c r="O84">
        <v>21000</v>
      </c>
      <c r="P84" t="s">
        <v>46</v>
      </c>
      <c r="Q84" t="s">
        <v>47</v>
      </c>
      <c r="R84" t="s">
        <v>48</v>
      </c>
      <c r="T84" t="s">
        <v>36</v>
      </c>
      <c r="U84" t="s">
        <v>36</v>
      </c>
      <c r="V84" t="s">
        <v>36</v>
      </c>
      <c r="W84">
        <v>4000</v>
      </c>
      <c r="X84" t="s">
        <v>49</v>
      </c>
      <c r="Y84" t="s">
        <v>50</v>
      </c>
      <c r="Z84" t="s">
        <v>51</v>
      </c>
      <c r="AA84" t="s">
        <v>37</v>
      </c>
      <c r="AB84" t="s">
        <v>52</v>
      </c>
      <c r="AC84" t="s">
        <v>53</v>
      </c>
      <c r="AD84" t="s">
        <v>54</v>
      </c>
      <c r="AE84">
        <v>31.438785150099999</v>
      </c>
      <c r="AF84">
        <v>2732</v>
      </c>
      <c r="AG84">
        <v>2731.9651582900001</v>
      </c>
      <c r="AH84">
        <v>314392.93085399998</v>
      </c>
      <c r="AI84">
        <v>42</v>
      </c>
      <c r="AJ84">
        <v>145952.09650894301</v>
      </c>
      <c r="AK84" s="1">
        <f>intersection_ss_Lnight___surface[[#This Row],[surf m2 bout ss]]/intersection_ss_Lnight___surface[[#This Row],[Shape_Area]]</f>
        <v>0.4642346636499956</v>
      </c>
      <c r="AL84">
        <v>6057</v>
      </c>
      <c r="AM84">
        <f>intersection_ss_Lnight___surface[[#This Row],[Population totale 2024 ss]]*intersection_ss_Lnight___surface[[#This Row],[Part de la surface du qs dans le noise contour]]</f>
        <v>2811.8693577280233</v>
      </c>
    </row>
    <row r="85" spans="1:39" x14ac:dyDescent="0.3">
      <c r="A85">
        <v>97</v>
      </c>
      <c r="B85" t="s">
        <v>494</v>
      </c>
      <c r="C85" t="s">
        <v>495</v>
      </c>
      <c r="D85" t="s">
        <v>496</v>
      </c>
      <c r="E85" t="s">
        <v>496</v>
      </c>
      <c r="F85" t="s">
        <v>493</v>
      </c>
      <c r="G85" t="s">
        <v>455</v>
      </c>
      <c r="H85" t="s">
        <v>456</v>
      </c>
      <c r="I85" t="s">
        <v>457</v>
      </c>
      <c r="J85" t="s">
        <v>36</v>
      </c>
      <c r="K85">
        <v>21004</v>
      </c>
      <c r="L85" t="s">
        <v>309</v>
      </c>
      <c r="M85" t="s">
        <v>310</v>
      </c>
      <c r="N85" t="s">
        <v>311</v>
      </c>
      <c r="O85">
        <v>21000</v>
      </c>
      <c r="P85" t="s">
        <v>46</v>
      </c>
      <c r="Q85" t="s">
        <v>47</v>
      </c>
      <c r="R85" t="s">
        <v>48</v>
      </c>
      <c r="T85" t="s">
        <v>36</v>
      </c>
      <c r="U85" t="s">
        <v>36</v>
      </c>
      <c r="V85" t="s">
        <v>36</v>
      </c>
      <c r="W85">
        <v>4000</v>
      </c>
      <c r="X85" t="s">
        <v>49</v>
      </c>
      <c r="Y85" t="s">
        <v>50</v>
      </c>
      <c r="Z85" t="s">
        <v>51</v>
      </c>
      <c r="AA85" t="s">
        <v>37</v>
      </c>
      <c r="AB85" t="s">
        <v>52</v>
      </c>
      <c r="AC85" t="s">
        <v>53</v>
      </c>
      <c r="AD85" t="s">
        <v>54</v>
      </c>
      <c r="AE85">
        <v>33.858588080700002</v>
      </c>
      <c r="AF85">
        <v>2894</v>
      </c>
      <c r="AG85">
        <v>2893.63201033</v>
      </c>
      <c r="AH85">
        <v>338591.29954400001</v>
      </c>
      <c r="AI85">
        <v>41</v>
      </c>
      <c r="AJ85">
        <v>39910.041506179201</v>
      </c>
      <c r="AK85" s="1">
        <f>intersection_ss_Lnight___surface[[#This Row],[surf m2 bout ss]]/intersection_ss_Lnight___surface[[#This Row],[Shape_Area]]</f>
        <v>0.11787084180818676</v>
      </c>
      <c r="AL85">
        <v>7180</v>
      </c>
      <c r="AM85">
        <f>intersection_ss_Lnight___surface[[#This Row],[Population totale 2024 ss]]*intersection_ss_Lnight___surface[[#This Row],[Part de la surface du qs dans le noise contour]]</f>
        <v>846.3126441827809</v>
      </c>
    </row>
    <row r="86" spans="1:39" x14ac:dyDescent="0.3">
      <c r="A86">
        <v>98</v>
      </c>
      <c r="B86" t="s">
        <v>494</v>
      </c>
      <c r="C86" t="s">
        <v>495</v>
      </c>
      <c r="D86" t="s">
        <v>496</v>
      </c>
      <c r="E86" t="s">
        <v>496</v>
      </c>
      <c r="F86" t="s">
        <v>493</v>
      </c>
      <c r="G86" t="s">
        <v>455</v>
      </c>
      <c r="H86" t="s">
        <v>456</v>
      </c>
      <c r="I86" t="s">
        <v>457</v>
      </c>
      <c r="J86" t="s">
        <v>36</v>
      </c>
      <c r="K86">
        <v>21004</v>
      </c>
      <c r="L86" t="s">
        <v>309</v>
      </c>
      <c r="M86" t="s">
        <v>310</v>
      </c>
      <c r="N86" t="s">
        <v>311</v>
      </c>
      <c r="O86">
        <v>21000</v>
      </c>
      <c r="P86" t="s">
        <v>46</v>
      </c>
      <c r="Q86" t="s">
        <v>47</v>
      </c>
      <c r="R86" t="s">
        <v>48</v>
      </c>
      <c r="T86" t="s">
        <v>36</v>
      </c>
      <c r="U86" t="s">
        <v>36</v>
      </c>
      <c r="V86" t="s">
        <v>36</v>
      </c>
      <c r="W86">
        <v>4000</v>
      </c>
      <c r="X86" t="s">
        <v>49</v>
      </c>
      <c r="Y86" t="s">
        <v>50</v>
      </c>
      <c r="Z86" t="s">
        <v>51</v>
      </c>
      <c r="AA86" t="s">
        <v>37</v>
      </c>
      <c r="AB86" t="s">
        <v>52</v>
      </c>
      <c r="AC86" t="s">
        <v>53</v>
      </c>
      <c r="AD86" t="s">
        <v>54</v>
      </c>
      <c r="AE86">
        <v>33.858588080700002</v>
      </c>
      <c r="AF86">
        <v>2894</v>
      </c>
      <c r="AG86">
        <v>2893.63201033</v>
      </c>
      <c r="AH86">
        <v>338591.29954400001</v>
      </c>
      <c r="AI86">
        <v>42</v>
      </c>
      <c r="AJ86">
        <v>249019.6581919</v>
      </c>
      <c r="AK86" s="1">
        <f>intersection_ss_Lnight___surface[[#This Row],[surf m2 bout ss]]/intersection_ss_Lnight___surface[[#This Row],[Shape_Area]]</f>
        <v>0.73545793565064665</v>
      </c>
      <c r="AL86">
        <v>7180</v>
      </c>
      <c r="AM86">
        <f>intersection_ss_Lnight___surface[[#This Row],[Population totale 2024 ss]]*intersection_ss_Lnight___surface[[#This Row],[Part de la surface du qs dans le noise contour]]</f>
        <v>5280.5879779716433</v>
      </c>
    </row>
    <row r="87" spans="1:39" x14ac:dyDescent="0.3">
      <c r="A87">
        <v>99</v>
      </c>
      <c r="B87" t="s">
        <v>494</v>
      </c>
      <c r="C87" t="s">
        <v>495</v>
      </c>
      <c r="D87" t="s">
        <v>496</v>
      </c>
      <c r="E87" t="s">
        <v>496</v>
      </c>
      <c r="F87" t="s">
        <v>493</v>
      </c>
      <c r="G87" t="s">
        <v>455</v>
      </c>
      <c r="H87" t="s">
        <v>456</v>
      </c>
      <c r="I87" t="s">
        <v>457</v>
      </c>
      <c r="J87" t="s">
        <v>36</v>
      </c>
      <c r="K87">
        <v>21004</v>
      </c>
      <c r="L87" t="s">
        <v>309</v>
      </c>
      <c r="M87" t="s">
        <v>310</v>
      </c>
      <c r="N87" t="s">
        <v>311</v>
      </c>
      <c r="O87">
        <v>21000</v>
      </c>
      <c r="P87" t="s">
        <v>46</v>
      </c>
      <c r="Q87" t="s">
        <v>47</v>
      </c>
      <c r="R87" t="s">
        <v>48</v>
      </c>
      <c r="T87" t="s">
        <v>36</v>
      </c>
      <c r="U87" t="s">
        <v>36</v>
      </c>
      <c r="V87" t="s">
        <v>36</v>
      </c>
      <c r="W87">
        <v>4000</v>
      </c>
      <c r="X87" t="s">
        <v>49</v>
      </c>
      <c r="Y87" t="s">
        <v>50</v>
      </c>
      <c r="Z87" t="s">
        <v>51</v>
      </c>
      <c r="AA87" t="s">
        <v>37</v>
      </c>
      <c r="AB87" t="s">
        <v>52</v>
      </c>
      <c r="AC87" t="s">
        <v>53</v>
      </c>
      <c r="AD87" t="s">
        <v>54</v>
      </c>
      <c r="AE87">
        <v>33.858588080700002</v>
      </c>
      <c r="AF87">
        <v>2894</v>
      </c>
      <c r="AG87">
        <v>2893.63201033</v>
      </c>
      <c r="AH87">
        <v>338591.29954400001</v>
      </c>
      <c r="AI87">
        <v>43</v>
      </c>
      <c r="AJ87">
        <v>49693.017397127303</v>
      </c>
      <c r="AK87" s="1">
        <f>intersection_ss_Lnight___surface[[#This Row],[surf m2 bout ss]]/intersection_ss_Lnight___surface[[#This Row],[Shape_Area]]</f>
        <v>0.14676401155036084</v>
      </c>
      <c r="AL87">
        <v>7180</v>
      </c>
      <c r="AM87">
        <f>intersection_ss_Lnight___surface[[#This Row],[Population totale 2024 ss]]*intersection_ss_Lnight___surface[[#This Row],[Part de la surface du qs dans le noise contour]]</f>
        <v>1053.7656029315908</v>
      </c>
    </row>
    <row r="88" spans="1:39" x14ac:dyDescent="0.3">
      <c r="A88">
        <v>100</v>
      </c>
      <c r="B88" t="s">
        <v>497</v>
      </c>
      <c r="C88" t="s">
        <v>498</v>
      </c>
      <c r="D88" t="s">
        <v>499</v>
      </c>
      <c r="E88" t="s">
        <v>499</v>
      </c>
      <c r="F88" t="s">
        <v>493</v>
      </c>
      <c r="G88" t="s">
        <v>455</v>
      </c>
      <c r="H88" t="s">
        <v>456</v>
      </c>
      <c r="I88" t="s">
        <v>457</v>
      </c>
      <c r="J88" t="s">
        <v>36</v>
      </c>
      <c r="K88">
        <v>21004</v>
      </c>
      <c r="L88" t="s">
        <v>309</v>
      </c>
      <c r="M88" t="s">
        <v>310</v>
      </c>
      <c r="N88" t="s">
        <v>311</v>
      </c>
      <c r="O88">
        <v>21000</v>
      </c>
      <c r="P88" t="s">
        <v>46</v>
      </c>
      <c r="Q88" t="s">
        <v>47</v>
      </c>
      <c r="R88" t="s">
        <v>48</v>
      </c>
      <c r="T88" t="s">
        <v>36</v>
      </c>
      <c r="U88" t="s">
        <v>36</v>
      </c>
      <c r="V88" t="s">
        <v>36</v>
      </c>
      <c r="W88">
        <v>4000</v>
      </c>
      <c r="X88" t="s">
        <v>49</v>
      </c>
      <c r="Y88" t="s">
        <v>50</v>
      </c>
      <c r="Z88" t="s">
        <v>51</v>
      </c>
      <c r="AA88" t="s">
        <v>37</v>
      </c>
      <c r="AB88" t="s">
        <v>52</v>
      </c>
      <c r="AC88" t="s">
        <v>53</v>
      </c>
      <c r="AD88" t="s">
        <v>54</v>
      </c>
      <c r="AE88">
        <v>16.666521018400001</v>
      </c>
      <c r="AF88">
        <v>1847</v>
      </c>
      <c r="AG88">
        <v>1846.74667647</v>
      </c>
      <c r="AH88">
        <v>166667.89789600001</v>
      </c>
      <c r="AI88">
        <v>41</v>
      </c>
      <c r="AJ88">
        <v>166683.39994198299</v>
      </c>
      <c r="AK88" s="1">
        <f>intersection_ss_Lnight___surface[[#This Row],[surf m2 bout ss]]/intersection_ss_Lnight___surface[[#This Row],[Shape_Area]]</f>
        <v>1.0000930115887863</v>
      </c>
      <c r="AL88">
        <v>3940</v>
      </c>
      <c r="AM88">
        <f>intersection_ss_Lnight___surface[[#This Row],[Population totale 2024 ss]]*intersection_ss_Lnight___surface[[#This Row],[Part de la surface du qs dans le noise contour]]</f>
        <v>3940.366465659818</v>
      </c>
    </row>
    <row r="89" spans="1:39" x14ac:dyDescent="0.3">
      <c r="A89">
        <v>101</v>
      </c>
      <c r="B89" t="s">
        <v>500</v>
      </c>
      <c r="C89" t="s">
        <v>501</v>
      </c>
      <c r="D89" t="s">
        <v>502</v>
      </c>
      <c r="E89" t="s">
        <v>502</v>
      </c>
      <c r="F89" t="s">
        <v>493</v>
      </c>
      <c r="G89" t="s">
        <v>455</v>
      </c>
      <c r="H89" t="s">
        <v>456</v>
      </c>
      <c r="I89" t="s">
        <v>457</v>
      </c>
      <c r="J89" t="s">
        <v>36</v>
      </c>
      <c r="K89">
        <v>21004</v>
      </c>
      <c r="L89" t="s">
        <v>309</v>
      </c>
      <c r="M89" t="s">
        <v>310</v>
      </c>
      <c r="N89" t="s">
        <v>311</v>
      </c>
      <c r="O89">
        <v>21000</v>
      </c>
      <c r="P89" t="s">
        <v>46</v>
      </c>
      <c r="Q89" t="s">
        <v>47</v>
      </c>
      <c r="R89" t="s">
        <v>48</v>
      </c>
      <c r="T89" t="s">
        <v>36</v>
      </c>
      <c r="U89" t="s">
        <v>36</v>
      </c>
      <c r="V89" t="s">
        <v>36</v>
      </c>
      <c r="W89">
        <v>4000</v>
      </c>
      <c r="X89" t="s">
        <v>49</v>
      </c>
      <c r="Y89" t="s">
        <v>50</v>
      </c>
      <c r="Z89" t="s">
        <v>51</v>
      </c>
      <c r="AA89" t="s">
        <v>37</v>
      </c>
      <c r="AB89" t="s">
        <v>52</v>
      </c>
      <c r="AC89" t="s">
        <v>53</v>
      </c>
      <c r="AD89" t="s">
        <v>54</v>
      </c>
      <c r="AE89">
        <v>49.815736032099998</v>
      </c>
      <c r="AF89">
        <v>3257</v>
      </c>
      <c r="AG89">
        <v>3256.7471231499999</v>
      </c>
      <c r="AH89">
        <v>498165.37321799999</v>
      </c>
      <c r="AI89">
        <v>40</v>
      </c>
      <c r="AJ89">
        <v>366832.88221056003</v>
      </c>
      <c r="AK89" s="1">
        <f>intersection_ss_Lnight___surface[[#This Row],[surf m2 bout ss]]/intersection_ss_Lnight___surface[[#This Row],[Shape_Area]]</f>
        <v>0.73636768417067777</v>
      </c>
      <c r="AL89">
        <v>9213</v>
      </c>
      <c r="AM89">
        <f>intersection_ss_Lnight___surface[[#This Row],[Population totale 2024 ss]]*intersection_ss_Lnight___surface[[#This Row],[Part de la surface du qs dans le noise contour]]</f>
        <v>6784.1554742644539</v>
      </c>
    </row>
    <row r="90" spans="1:39" x14ac:dyDescent="0.3">
      <c r="A90">
        <v>102</v>
      </c>
      <c r="B90" t="s">
        <v>500</v>
      </c>
      <c r="C90" t="s">
        <v>501</v>
      </c>
      <c r="D90" t="s">
        <v>502</v>
      </c>
      <c r="E90" t="s">
        <v>502</v>
      </c>
      <c r="F90" t="s">
        <v>493</v>
      </c>
      <c r="G90" t="s">
        <v>455</v>
      </c>
      <c r="H90" t="s">
        <v>456</v>
      </c>
      <c r="I90" t="s">
        <v>457</v>
      </c>
      <c r="J90" t="s">
        <v>36</v>
      </c>
      <c r="K90">
        <v>21004</v>
      </c>
      <c r="L90" t="s">
        <v>309</v>
      </c>
      <c r="M90" t="s">
        <v>310</v>
      </c>
      <c r="N90" t="s">
        <v>311</v>
      </c>
      <c r="O90">
        <v>21000</v>
      </c>
      <c r="P90" t="s">
        <v>46</v>
      </c>
      <c r="Q90" t="s">
        <v>47</v>
      </c>
      <c r="R90" t="s">
        <v>48</v>
      </c>
      <c r="T90" t="s">
        <v>36</v>
      </c>
      <c r="U90" t="s">
        <v>36</v>
      </c>
      <c r="V90" t="s">
        <v>36</v>
      </c>
      <c r="W90">
        <v>4000</v>
      </c>
      <c r="X90" t="s">
        <v>49</v>
      </c>
      <c r="Y90" t="s">
        <v>50</v>
      </c>
      <c r="Z90" t="s">
        <v>51</v>
      </c>
      <c r="AA90" t="s">
        <v>37</v>
      </c>
      <c r="AB90" t="s">
        <v>52</v>
      </c>
      <c r="AC90" t="s">
        <v>53</v>
      </c>
      <c r="AD90" t="s">
        <v>54</v>
      </c>
      <c r="AE90">
        <v>49.815736032099998</v>
      </c>
      <c r="AF90">
        <v>3257</v>
      </c>
      <c r="AG90">
        <v>3256.7471231499999</v>
      </c>
      <c r="AH90">
        <v>498165.37321799999</v>
      </c>
      <c r="AI90">
        <v>41</v>
      </c>
      <c r="AJ90">
        <v>131378.33418636001</v>
      </c>
      <c r="AK90" s="1">
        <f>intersection_ss_Lnight___surface[[#This Row],[surf m2 bout ss]]/intersection_ss_Lnight___surface[[#This Row],[Shape_Area]]</f>
        <v>0.26372433984661575</v>
      </c>
      <c r="AL90">
        <v>9213</v>
      </c>
      <c r="AM90">
        <f>intersection_ss_Lnight___surface[[#This Row],[Population totale 2024 ss]]*intersection_ss_Lnight___surface[[#This Row],[Part de la surface du qs dans le noise contour]]</f>
        <v>2429.6923430068709</v>
      </c>
    </row>
    <row r="91" spans="1:39" x14ac:dyDescent="0.3">
      <c r="A91">
        <v>103</v>
      </c>
      <c r="B91" t="s">
        <v>503</v>
      </c>
      <c r="C91" t="s">
        <v>504</v>
      </c>
      <c r="D91" t="s">
        <v>505</v>
      </c>
      <c r="E91" t="s">
        <v>505</v>
      </c>
      <c r="F91" t="s">
        <v>506</v>
      </c>
      <c r="G91" t="s">
        <v>455</v>
      </c>
      <c r="H91" t="s">
        <v>456</v>
      </c>
      <c r="I91" t="s">
        <v>457</v>
      </c>
      <c r="J91" t="s">
        <v>36</v>
      </c>
      <c r="K91">
        <v>21004</v>
      </c>
      <c r="L91" t="s">
        <v>309</v>
      </c>
      <c r="M91" t="s">
        <v>310</v>
      </c>
      <c r="N91" t="s">
        <v>311</v>
      </c>
      <c r="O91">
        <v>21000</v>
      </c>
      <c r="P91" t="s">
        <v>46</v>
      </c>
      <c r="Q91" t="s">
        <v>47</v>
      </c>
      <c r="R91" t="s">
        <v>48</v>
      </c>
      <c r="T91" t="s">
        <v>36</v>
      </c>
      <c r="U91" t="s">
        <v>36</v>
      </c>
      <c r="V91" t="s">
        <v>36</v>
      </c>
      <c r="W91">
        <v>4000</v>
      </c>
      <c r="X91" t="s">
        <v>49</v>
      </c>
      <c r="Y91" t="s">
        <v>50</v>
      </c>
      <c r="Z91" t="s">
        <v>51</v>
      </c>
      <c r="AA91" t="s">
        <v>37</v>
      </c>
      <c r="AB91" t="s">
        <v>52</v>
      </c>
      <c r="AC91" t="s">
        <v>53</v>
      </c>
      <c r="AD91" t="s">
        <v>54</v>
      </c>
      <c r="AE91">
        <v>14.096719091300001</v>
      </c>
      <c r="AF91">
        <v>2016</v>
      </c>
      <c r="AG91">
        <v>2016.12792911</v>
      </c>
      <c r="AH91">
        <v>140969.455464</v>
      </c>
      <c r="AI91">
        <v>42</v>
      </c>
      <c r="AJ91">
        <v>18487.0144062564</v>
      </c>
      <c r="AK91" s="1">
        <f>intersection_ss_Lnight___surface[[#This Row],[surf m2 bout ss]]/intersection_ss_Lnight___surface[[#This Row],[Shape_Area]]</f>
        <v>0.13114198636439731</v>
      </c>
      <c r="AL91">
        <v>1311</v>
      </c>
      <c r="AM91">
        <f>intersection_ss_Lnight___surface[[#This Row],[Population totale 2024 ss]]*intersection_ss_Lnight___surface[[#This Row],[Part de la surface du qs dans le noise contour]]</f>
        <v>171.92714412372487</v>
      </c>
    </row>
    <row r="92" spans="1:39" x14ac:dyDescent="0.3">
      <c r="A92">
        <v>104</v>
      </c>
      <c r="B92" t="s">
        <v>503</v>
      </c>
      <c r="C92" t="s">
        <v>504</v>
      </c>
      <c r="D92" t="s">
        <v>505</v>
      </c>
      <c r="E92" t="s">
        <v>505</v>
      </c>
      <c r="F92" t="s">
        <v>506</v>
      </c>
      <c r="G92" t="s">
        <v>455</v>
      </c>
      <c r="H92" t="s">
        <v>456</v>
      </c>
      <c r="I92" t="s">
        <v>457</v>
      </c>
      <c r="J92" t="s">
        <v>36</v>
      </c>
      <c r="K92">
        <v>21004</v>
      </c>
      <c r="L92" t="s">
        <v>309</v>
      </c>
      <c r="M92" t="s">
        <v>310</v>
      </c>
      <c r="N92" t="s">
        <v>311</v>
      </c>
      <c r="O92">
        <v>21000</v>
      </c>
      <c r="P92" t="s">
        <v>46</v>
      </c>
      <c r="Q92" t="s">
        <v>47</v>
      </c>
      <c r="R92" t="s">
        <v>48</v>
      </c>
      <c r="T92" t="s">
        <v>36</v>
      </c>
      <c r="U92" t="s">
        <v>36</v>
      </c>
      <c r="V92" t="s">
        <v>36</v>
      </c>
      <c r="W92">
        <v>4000</v>
      </c>
      <c r="X92" t="s">
        <v>49</v>
      </c>
      <c r="Y92" t="s">
        <v>50</v>
      </c>
      <c r="Z92" t="s">
        <v>51</v>
      </c>
      <c r="AA92" t="s">
        <v>37</v>
      </c>
      <c r="AB92" t="s">
        <v>52</v>
      </c>
      <c r="AC92" t="s">
        <v>53</v>
      </c>
      <c r="AD92" t="s">
        <v>54</v>
      </c>
      <c r="AE92">
        <v>14.096719091300001</v>
      </c>
      <c r="AF92">
        <v>2016</v>
      </c>
      <c r="AG92">
        <v>2016.12792911</v>
      </c>
      <c r="AH92">
        <v>140969.455464</v>
      </c>
      <c r="AI92">
        <v>43</v>
      </c>
      <c r="AJ92">
        <v>122494.658916271</v>
      </c>
      <c r="AK92" s="1">
        <f>intersection_ss_Lnight___surface[[#This Row],[surf m2 bout ss]]/intersection_ss_Lnight___surface[[#This Row],[Shape_Area]]</f>
        <v>0.86894468388971691</v>
      </c>
      <c r="AL92">
        <v>1311</v>
      </c>
      <c r="AM92">
        <f>intersection_ss_Lnight___surface[[#This Row],[Population totale 2024 ss]]*intersection_ss_Lnight___surface[[#This Row],[Part de la surface du qs dans le noise contour]]</f>
        <v>1139.1864805794189</v>
      </c>
    </row>
    <row r="93" spans="1:39" x14ac:dyDescent="0.3">
      <c r="A93">
        <v>105</v>
      </c>
      <c r="B93" t="s">
        <v>507</v>
      </c>
      <c r="C93" t="s">
        <v>508</v>
      </c>
      <c r="D93" t="s">
        <v>509</v>
      </c>
      <c r="E93" t="s">
        <v>509</v>
      </c>
      <c r="F93" t="s">
        <v>506</v>
      </c>
      <c r="G93" t="s">
        <v>455</v>
      </c>
      <c r="H93" t="s">
        <v>456</v>
      </c>
      <c r="I93" t="s">
        <v>457</v>
      </c>
      <c r="J93" t="s">
        <v>36</v>
      </c>
      <c r="K93">
        <v>21004</v>
      </c>
      <c r="L93" t="s">
        <v>309</v>
      </c>
      <c r="M93" t="s">
        <v>310</v>
      </c>
      <c r="N93" t="s">
        <v>311</v>
      </c>
      <c r="O93">
        <v>21000</v>
      </c>
      <c r="P93" t="s">
        <v>46</v>
      </c>
      <c r="Q93" t="s">
        <v>47</v>
      </c>
      <c r="R93" t="s">
        <v>48</v>
      </c>
      <c r="T93" t="s">
        <v>36</v>
      </c>
      <c r="U93" t="s">
        <v>36</v>
      </c>
      <c r="V93" t="s">
        <v>36</v>
      </c>
      <c r="W93">
        <v>4000</v>
      </c>
      <c r="X93" t="s">
        <v>49</v>
      </c>
      <c r="Y93" t="s">
        <v>50</v>
      </c>
      <c r="Z93" t="s">
        <v>51</v>
      </c>
      <c r="AA93" t="s">
        <v>37</v>
      </c>
      <c r="AB93" t="s">
        <v>52</v>
      </c>
      <c r="AC93" t="s">
        <v>53</v>
      </c>
      <c r="AD93" t="s">
        <v>54</v>
      </c>
      <c r="AE93">
        <v>10.7918480044</v>
      </c>
      <c r="AF93">
        <v>1744</v>
      </c>
      <c r="AG93">
        <v>1743.62830403</v>
      </c>
      <c r="AH93">
        <v>107920.216356</v>
      </c>
      <c r="AI93">
        <v>41</v>
      </c>
      <c r="AJ93">
        <v>28207.561150209</v>
      </c>
      <c r="AK93" s="1">
        <f>intersection_ss_Lnight___surface[[#This Row],[surf m2 bout ss]]/intersection_ss_Lnight___surface[[#This Row],[Shape_Area]]</f>
        <v>0.26137420867615552</v>
      </c>
      <c r="AL93">
        <v>1465</v>
      </c>
      <c r="AM93">
        <f>intersection_ss_Lnight___surface[[#This Row],[Population totale 2024 ss]]*intersection_ss_Lnight___surface[[#This Row],[Part de la surface du qs dans le noise contour]]</f>
        <v>382.91321571056784</v>
      </c>
    </row>
    <row r="94" spans="1:39" x14ac:dyDescent="0.3">
      <c r="A94">
        <v>106</v>
      </c>
      <c r="B94" t="s">
        <v>507</v>
      </c>
      <c r="C94" t="s">
        <v>508</v>
      </c>
      <c r="D94" t="s">
        <v>509</v>
      </c>
      <c r="E94" t="s">
        <v>509</v>
      </c>
      <c r="F94" t="s">
        <v>506</v>
      </c>
      <c r="G94" t="s">
        <v>455</v>
      </c>
      <c r="H94" t="s">
        <v>456</v>
      </c>
      <c r="I94" t="s">
        <v>457</v>
      </c>
      <c r="J94" t="s">
        <v>36</v>
      </c>
      <c r="K94">
        <v>21004</v>
      </c>
      <c r="L94" t="s">
        <v>309</v>
      </c>
      <c r="M94" t="s">
        <v>310</v>
      </c>
      <c r="N94" t="s">
        <v>311</v>
      </c>
      <c r="O94">
        <v>21000</v>
      </c>
      <c r="P94" t="s">
        <v>46</v>
      </c>
      <c r="Q94" t="s">
        <v>47</v>
      </c>
      <c r="R94" t="s">
        <v>48</v>
      </c>
      <c r="T94" t="s">
        <v>36</v>
      </c>
      <c r="U94" t="s">
        <v>36</v>
      </c>
      <c r="V94" t="s">
        <v>36</v>
      </c>
      <c r="W94">
        <v>4000</v>
      </c>
      <c r="X94" t="s">
        <v>49</v>
      </c>
      <c r="Y94" t="s">
        <v>50</v>
      </c>
      <c r="Z94" t="s">
        <v>51</v>
      </c>
      <c r="AA94" t="s">
        <v>37</v>
      </c>
      <c r="AB94" t="s">
        <v>52</v>
      </c>
      <c r="AC94" t="s">
        <v>53</v>
      </c>
      <c r="AD94" t="s">
        <v>54</v>
      </c>
      <c r="AE94">
        <v>10.7918480044</v>
      </c>
      <c r="AF94">
        <v>1744</v>
      </c>
      <c r="AG94">
        <v>1743.62830403</v>
      </c>
      <c r="AH94">
        <v>107920.216356</v>
      </c>
      <c r="AI94">
        <v>42</v>
      </c>
      <c r="AJ94">
        <v>79722.131612789206</v>
      </c>
      <c r="AK94" s="1">
        <f>intersection_ss_Lnight___surface[[#This Row],[surf m2 bout ss]]/intersection_ss_Lnight___surface[[#This Row],[Shape_Area]]</f>
        <v>0.7387136007011621</v>
      </c>
      <c r="AL94">
        <v>1465</v>
      </c>
      <c r="AM94">
        <f>intersection_ss_Lnight___surface[[#This Row],[Population totale 2024 ss]]*intersection_ss_Lnight___surface[[#This Row],[Part de la surface du qs dans le noise contour]]</f>
        <v>1082.2154250272024</v>
      </c>
    </row>
    <row r="95" spans="1:39" x14ac:dyDescent="0.3">
      <c r="A95">
        <v>107</v>
      </c>
      <c r="B95" t="s">
        <v>510</v>
      </c>
      <c r="C95" t="s">
        <v>511</v>
      </c>
      <c r="D95" t="s">
        <v>512</v>
      </c>
      <c r="E95" t="s">
        <v>512</v>
      </c>
      <c r="F95" t="s">
        <v>506</v>
      </c>
      <c r="G95" t="s">
        <v>455</v>
      </c>
      <c r="H95" t="s">
        <v>456</v>
      </c>
      <c r="I95" t="s">
        <v>457</v>
      </c>
      <c r="J95" t="s">
        <v>36</v>
      </c>
      <c r="K95">
        <v>21004</v>
      </c>
      <c r="L95" t="s">
        <v>309</v>
      </c>
      <c r="M95" t="s">
        <v>310</v>
      </c>
      <c r="N95" t="s">
        <v>311</v>
      </c>
      <c r="O95">
        <v>21000</v>
      </c>
      <c r="P95" t="s">
        <v>46</v>
      </c>
      <c r="Q95" t="s">
        <v>47</v>
      </c>
      <c r="R95" t="s">
        <v>48</v>
      </c>
      <c r="T95" t="s">
        <v>36</v>
      </c>
      <c r="U95" t="s">
        <v>36</v>
      </c>
      <c r="V95" t="s">
        <v>36</v>
      </c>
      <c r="W95">
        <v>4000</v>
      </c>
      <c r="X95" t="s">
        <v>49</v>
      </c>
      <c r="Y95" t="s">
        <v>50</v>
      </c>
      <c r="Z95" t="s">
        <v>51</v>
      </c>
      <c r="AA95" t="s">
        <v>37</v>
      </c>
      <c r="AB95" t="s">
        <v>52</v>
      </c>
      <c r="AC95" t="s">
        <v>53</v>
      </c>
      <c r="AD95" t="s">
        <v>54</v>
      </c>
      <c r="AE95">
        <v>25.312893542899999</v>
      </c>
      <c r="AF95">
        <v>2639</v>
      </c>
      <c r="AG95">
        <v>2639.33867551</v>
      </c>
      <c r="AH95">
        <v>253133.00915699999</v>
      </c>
      <c r="AI95">
        <v>41</v>
      </c>
      <c r="AJ95">
        <v>20788.603738008998</v>
      </c>
      <c r="AK95" s="1">
        <f>intersection_ss_Lnight___surface[[#This Row],[surf m2 bout ss]]/intersection_ss_Lnight___surface[[#This Row],[Shape_Area]]</f>
        <v>8.2125218703165415E-2</v>
      </c>
      <c r="AL95">
        <v>3565</v>
      </c>
      <c r="AM95">
        <f>intersection_ss_Lnight___surface[[#This Row],[Population totale 2024 ss]]*intersection_ss_Lnight___surface[[#This Row],[Part de la surface du qs dans le noise contour]]</f>
        <v>292.77640467678469</v>
      </c>
    </row>
    <row r="96" spans="1:39" x14ac:dyDescent="0.3">
      <c r="A96">
        <v>108</v>
      </c>
      <c r="B96" t="s">
        <v>510</v>
      </c>
      <c r="C96" t="s">
        <v>511</v>
      </c>
      <c r="D96" t="s">
        <v>512</v>
      </c>
      <c r="E96" t="s">
        <v>512</v>
      </c>
      <c r="F96" t="s">
        <v>506</v>
      </c>
      <c r="G96" t="s">
        <v>455</v>
      </c>
      <c r="H96" t="s">
        <v>456</v>
      </c>
      <c r="I96" t="s">
        <v>457</v>
      </c>
      <c r="J96" t="s">
        <v>36</v>
      </c>
      <c r="K96">
        <v>21004</v>
      </c>
      <c r="L96" t="s">
        <v>309</v>
      </c>
      <c r="M96" t="s">
        <v>310</v>
      </c>
      <c r="N96" t="s">
        <v>311</v>
      </c>
      <c r="O96">
        <v>21000</v>
      </c>
      <c r="P96" t="s">
        <v>46</v>
      </c>
      <c r="Q96" t="s">
        <v>47</v>
      </c>
      <c r="R96" t="s">
        <v>48</v>
      </c>
      <c r="T96" t="s">
        <v>36</v>
      </c>
      <c r="U96" t="s">
        <v>36</v>
      </c>
      <c r="V96" t="s">
        <v>36</v>
      </c>
      <c r="W96">
        <v>4000</v>
      </c>
      <c r="X96" t="s">
        <v>49</v>
      </c>
      <c r="Y96" t="s">
        <v>50</v>
      </c>
      <c r="Z96" t="s">
        <v>51</v>
      </c>
      <c r="AA96" t="s">
        <v>37</v>
      </c>
      <c r="AB96" t="s">
        <v>52</v>
      </c>
      <c r="AC96" t="s">
        <v>53</v>
      </c>
      <c r="AD96" t="s">
        <v>54</v>
      </c>
      <c r="AE96">
        <v>25.312893542899999</v>
      </c>
      <c r="AF96">
        <v>2639</v>
      </c>
      <c r="AG96">
        <v>2639.33867551</v>
      </c>
      <c r="AH96">
        <v>253133.00915699999</v>
      </c>
      <c r="AI96">
        <v>42</v>
      </c>
      <c r="AJ96">
        <v>227016.15074255</v>
      </c>
      <c r="AK96" s="1">
        <f>intersection_ss_Lnight___surface[[#This Row],[surf m2 bout ss]]/intersection_ss_Lnight___surface[[#This Row],[Shape_Area]]</f>
        <v>0.89682555229985195</v>
      </c>
      <c r="AL96">
        <v>3565</v>
      </c>
      <c r="AM96">
        <f>intersection_ss_Lnight___surface[[#This Row],[Population totale 2024 ss]]*intersection_ss_Lnight___surface[[#This Row],[Part de la surface du qs dans le noise contour]]</f>
        <v>3197.1830939489723</v>
      </c>
    </row>
    <row r="97" spans="1:39" x14ac:dyDescent="0.3">
      <c r="A97">
        <v>109</v>
      </c>
      <c r="B97" t="s">
        <v>510</v>
      </c>
      <c r="C97" t="s">
        <v>511</v>
      </c>
      <c r="D97" t="s">
        <v>512</v>
      </c>
      <c r="E97" t="s">
        <v>512</v>
      </c>
      <c r="F97" t="s">
        <v>506</v>
      </c>
      <c r="G97" t="s">
        <v>455</v>
      </c>
      <c r="H97" t="s">
        <v>456</v>
      </c>
      <c r="I97" t="s">
        <v>457</v>
      </c>
      <c r="J97" t="s">
        <v>36</v>
      </c>
      <c r="K97">
        <v>21004</v>
      </c>
      <c r="L97" t="s">
        <v>309</v>
      </c>
      <c r="M97" t="s">
        <v>310</v>
      </c>
      <c r="N97" t="s">
        <v>311</v>
      </c>
      <c r="O97">
        <v>21000</v>
      </c>
      <c r="P97" t="s">
        <v>46</v>
      </c>
      <c r="Q97" t="s">
        <v>47</v>
      </c>
      <c r="R97" t="s">
        <v>48</v>
      </c>
      <c r="T97" t="s">
        <v>36</v>
      </c>
      <c r="U97" t="s">
        <v>36</v>
      </c>
      <c r="V97" t="s">
        <v>36</v>
      </c>
      <c r="W97">
        <v>4000</v>
      </c>
      <c r="X97" t="s">
        <v>49</v>
      </c>
      <c r="Y97" t="s">
        <v>50</v>
      </c>
      <c r="Z97" t="s">
        <v>51</v>
      </c>
      <c r="AA97" t="s">
        <v>37</v>
      </c>
      <c r="AB97" t="s">
        <v>52</v>
      </c>
      <c r="AC97" t="s">
        <v>53</v>
      </c>
      <c r="AD97" t="s">
        <v>54</v>
      </c>
      <c r="AE97">
        <v>25.312893542899999</v>
      </c>
      <c r="AF97">
        <v>2639</v>
      </c>
      <c r="AG97">
        <v>2639.33867551</v>
      </c>
      <c r="AH97">
        <v>253133.00915699999</v>
      </c>
      <c r="AI97">
        <v>43</v>
      </c>
      <c r="AJ97">
        <v>5350.4393491232804</v>
      </c>
      <c r="AK97" s="1">
        <f>intersection_ss_Lnight___surface[[#This Row],[surf m2 bout ss]]/intersection_ss_Lnight___surface[[#This Row],[Shape_Area]]</f>
        <v>2.1136869375280851E-2</v>
      </c>
      <c r="AL97">
        <v>3565</v>
      </c>
      <c r="AM97">
        <f>intersection_ss_Lnight___surface[[#This Row],[Population totale 2024 ss]]*intersection_ss_Lnight___surface[[#This Row],[Part de la surface du qs dans le noise contour]]</f>
        <v>75.352939322876239</v>
      </c>
    </row>
    <row r="98" spans="1:39" x14ac:dyDescent="0.3">
      <c r="A98">
        <v>110</v>
      </c>
      <c r="B98" t="s">
        <v>513</v>
      </c>
      <c r="C98" t="s">
        <v>514</v>
      </c>
      <c r="D98" t="s">
        <v>515</v>
      </c>
      <c r="E98" t="s">
        <v>515</v>
      </c>
      <c r="F98" t="s">
        <v>506</v>
      </c>
      <c r="G98" t="s">
        <v>455</v>
      </c>
      <c r="H98" t="s">
        <v>456</v>
      </c>
      <c r="I98" t="s">
        <v>457</v>
      </c>
      <c r="J98" t="s">
        <v>36</v>
      </c>
      <c r="K98">
        <v>21004</v>
      </c>
      <c r="L98" t="s">
        <v>309</v>
      </c>
      <c r="M98" t="s">
        <v>310</v>
      </c>
      <c r="N98" t="s">
        <v>311</v>
      </c>
      <c r="O98">
        <v>21000</v>
      </c>
      <c r="P98" t="s">
        <v>46</v>
      </c>
      <c r="Q98" t="s">
        <v>47</v>
      </c>
      <c r="R98" t="s">
        <v>48</v>
      </c>
      <c r="T98" t="s">
        <v>36</v>
      </c>
      <c r="U98" t="s">
        <v>36</v>
      </c>
      <c r="V98" t="s">
        <v>36</v>
      </c>
      <c r="W98">
        <v>4000</v>
      </c>
      <c r="X98" t="s">
        <v>49</v>
      </c>
      <c r="Y98" t="s">
        <v>50</v>
      </c>
      <c r="Z98" t="s">
        <v>51</v>
      </c>
      <c r="AA98" t="s">
        <v>37</v>
      </c>
      <c r="AB98" t="s">
        <v>52</v>
      </c>
      <c r="AC98" t="s">
        <v>53</v>
      </c>
      <c r="AD98" t="s">
        <v>54</v>
      </c>
      <c r="AE98">
        <v>23.643343048399998</v>
      </c>
      <c r="AF98">
        <v>2521</v>
      </c>
      <c r="AG98">
        <v>2520.8332732499998</v>
      </c>
      <c r="AH98">
        <v>236437.22729899999</v>
      </c>
      <c r="AI98">
        <v>40</v>
      </c>
      <c r="AJ98">
        <v>36259.421214113499</v>
      </c>
      <c r="AK98" s="1">
        <f>intersection_ss_Lnight___surface[[#This Row],[surf m2 bout ss]]/intersection_ss_Lnight___surface[[#This Row],[Shape_Area]]</f>
        <v>0.15335749631448523</v>
      </c>
      <c r="AL98">
        <v>4776</v>
      </c>
      <c r="AM98">
        <f>intersection_ss_Lnight___surface[[#This Row],[Population totale 2024 ss]]*intersection_ss_Lnight___surface[[#This Row],[Part de la surface du qs dans le noise contour]]</f>
        <v>732.43540239798142</v>
      </c>
    </row>
    <row r="99" spans="1:39" x14ac:dyDescent="0.3">
      <c r="A99">
        <v>111</v>
      </c>
      <c r="B99" t="s">
        <v>513</v>
      </c>
      <c r="C99" t="s">
        <v>514</v>
      </c>
      <c r="D99" t="s">
        <v>515</v>
      </c>
      <c r="E99" t="s">
        <v>515</v>
      </c>
      <c r="F99" t="s">
        <v>506</v>
      </c>
      <c r="G99" t="s">
        <v>455</v>
      </c>
      <c r="H99" t="s">
        <v>456</v>
      </c>
      <c r="I99" t="s">
        <v>457</v>
      </c>
      <c r="J99" t="s">
        <v>36</v>
      </c>
      <c r="K99">
        <v>21004</v>
      </c>
      <c r="L99" t="s">
        <v>309</v>
      </c>
      <c r="M99" t="s">
        <v>310</v>
      </c>
      <c r="N99" t="s">
        <v>311</v>
      </c>
      <c r="O99">
        <v>21000</v>
      </c>
      <c r="P99" t="s">
        <v>46</v>
      </c>
      <c r="Q99" t="s">
        <v>47</v>
      </c>
      <c r="R99" t="s">
        <v>48</v>
      </c>
      <c r="T99" t="s">
        <v>36</v>
      </c>
      <c r="U99" t="s">
        <v>36</v>
      </c>
      <c r="V99" t="s">
        <v>36</v>
      </c>
      <c r="W99">
        <v>4000</v>
      </c>
      <c r="X99" t="s">
        <v>49</v>
      </c>
      <c r="Y99" t="s">
        <v>50</v>
      </c>
      <c r="Z99" t="s">
        <v>51</v>
      </c>
      <c r="AA99" t="s">
        <v>37</v>
      </c>
      <c r="AB99" t="s">
        <v>52</v>
      </c>
      <c r="AC99" t="s">
        <v>53</v>
      </c>
      <c r="AD99" t="s">
        <v>54</v>
      </c>
      <c r="AE99">
        <v>23.643343048399998</v>
      </c>
      <c r="AF99">
        <v>2521</v>
      </c>
      <c r="AG99">
        <v>2520.8332732499998</v>
      </c>
      <c r="AH99">
        <v>236437.22729899999</v>
      </c>
      <c r="AI99">
        <v>41</v>
      </c>
      <c r="AJ99">
        <v>200198.778780833</v>
      </c>
      <c r="AK99" s="1">
        <f>intersection_ss_Lnight___surface[[#This Row],[surf m2 bout ss]]/intersection_ss_Lnight___surface[[#This Row],[Shape_Area]]</f>
        <v>0.8467312067048578</v>
      </c>
      <c r="AL99">
        <v>4776</v>
      </c>
      <c r="AM99">
        <f>intersection_ss_Lnight___surface[[#This Row],[Population totale 2024 ss]]*intersection_ss_Lnight___surface[[#This Row],[Part de la surface du qs dans le noise contour]]</f>
        <v>4043.9882432224008</v>
      </c>
    </row>
    <row r="100" spans="1:39" x14ac:dyDescent="0.3">
      <c r="A100">
        <v>112</v>
      </c>
      <c r="B100" t="s">
        <v>516</v>
      </c>
      <c r="C100" t="s">
        <v>517</v>
      </c>
      <c r="D100" t="s">
        <v>518</v>
      </c>
      <c r="E100" t="s">
        <v>518</v>
      </c>
      <c r="F100" t="s">
        <v>506</v>
      </c>
      <c r="G100" t="s">
        <v>455</v>
      </c>
      <c r="H100" t="s">
        <v>456</v>
      </c>
      <c r="I100" t="s">
        <v>457</v>
      </c>
      <c r="J100" t="s">
        <v>36</v>
      </c>
      <c r="K100">
        <v>21004</v>
      </c>
      <c r="L100" t="s">
        <v>309</v>
      </c>
      <c r="M100" t="s">
        <v>310</v>
      </c>
      <c r="N100" t="s">
        <v>311</v>
      </c>
      <c r="O100">
        <v>21000</v>
      </c>
      <c r="P100" t="s">
        <v>46</v>
      </c>
      <c r="Q100" t="s">
        <v>47</v>
      </c>
      <c r="R100" t="s">
        <v>48</v>
      </c>
      <c r="T100" t="s">
        <v>36</v>
      </c>
      <c r="U100" t="s">
        <v>36</v>
      </c>
      <c r="V100" t="s">
        <v>36</v>
      </c>
      <c r="W100">
        <v>4000</v>
      </c>
      <c r="X100" t="s">
        <v>49</v>
      </c>
      <c r="Y100" t="s">
        <v>50</v>
      </c>
      <c r="Z100" t="s">
        <v>51</v>
      </c>
      <c r="AA100" t="s">
        <v>37</v>
      </c>
      <c r="AB100" t="s">
        <v>52</v>
      </c>
      <c r="AC100" t="s">
        <v>53</v>
      </c>
      <c r="AD100" t="s">
        <v>54</v>
      </c>
      <c r="AE100">
        <v>157.689333922</v>
      </c>
      <c r="AF100">
        <v>5984</v>
      </c>
      <c r="AG100">
        <v>5984.2553360900001</v>
      </c>
      <c r="AH100">
        <v>1576918.72211</v>
      </c>
      <c r="AI100">
        <v>41</v>
      </c>
      <c r="AJ100">
        <v>301507.27303988597</v>
      </c>
      <c r="AK100" s="1">
        <f>intersection_ss_Lnight___surface[[#This Row],[surf m2 bout ss]]/intersection_ss_Lnight___surface[[#This Row],[Shape_Area]]</f>
        <v>0.19120026213935326</v>
      </c>
      <c r="AL100">
        <v>180</v>
      </c>
      <c r="AM100">
        <f>intersection_ss_Lnight___surface[[#This Row],[Population totale 2024 ss]]*intersection_ss_Lnight___surface[[#This Row],[Part de la surface du qs dans le noise contour]]</f>
        <v>34.416047185083585</v>
      </c>
    </row>
    <row r="101" spans="1:39" x14ac:dyDescent="0.3">
      <c r="A101">
        <v>113</v>
      </c>
      <c r="B101" t="s">
        <v>516</v>
      </c>
      <c r="C101" t="s">
        <v>517</v>
      </c>
      <c r="D101" t="s">
        <v>518</v>
      </c>
      <c r="E101" t="s">
        <v>518</v>
      </c>
      <c r="F101" t="s">
        <v>506</v>
      </c>
      <c r="G101" t="s">
        <v>455</v>
      </c>
      <c r="H101" t="s">
        <v>456</v>
      </c>
      <c r="I101" t="s">
        <v>457</v>
      </c>
      <c r="J101" t="s">
        <v>36</v>
      </c>
      <c r="K101">
        <v>21004</v>
      </c>
      <c r="L101" t="s">
        <v>309</v>
      </c>
      <c r="M101" t="s">
        <v>310</v>
      </c>
      <c r="N101" t="s">
        <v>311</v>
      </c>
      <c r="O101">
        <v>21000</v>
      </c>
      <c r="P101" t="s">
        <v>46</v>
      </c>
      <c r="Q101" t="s">
        <v>47</v>
      </c>
      <c r="R101" t="s">
        <v>48</v>
      </c>
      <c r="T101" t="s">
        <v>36</v>
      </c>
      <c r="U101" t="s">
        <v>36</v>
      </c>
      <c r="V101" t="s">
        <v>36</v>
      </c>
      <c r="W101">
        <v>4000</v>
      </c>
      <c r="X101" t="s">
        <v>49</v>
      </c>
      <c r="Y101" t="s">
        <v>50</v>
      </c>
      <c r="Z101" t="s">
        <v>51</v>
      </c>
      <c r="AA101" t="s">
        <v>37</v>
      </c>
      <c r="AB101" t="s">
        <v>52</v>
      </c>
      <c r="AC101" t="s">
        <v>53</v>
      </c>
      <c r="AD101" t="s">
        <v>54</v>
      </c>
      <c r="AE101">
        <v>157.689333922</v>
      </c>
      <c r="AF101">
        <v>5984</v>
      </c>
      <c r="AG101">
        <v>5984.2553360900001</v>
      </c>
      <c r="AH101">
        <v>1576918.72211</v>
      </c>
      <c r="AI101">
        <v>42</v>
      </c>
      <c r="AJ101">
        <v>697204.07099857705</v>
      </c>
      <c r="AK101" s="1">
        <f>intersection_ss_Lnight___surface[[#This Row],[surf m2 bout ss]]/intersection_ss_Lnight___surface[[#This Row],[Shape_Area]]</f>
        <v>0.4421306318601389</v>
      </c>
      <c r="AL101">
        <v>180</v>
      </c>
      <c r="AM101">
        <f>intersection_ss_Lnight___surface[[#This Row],[Population totale 2024 ss]]*intersection_ss_Lnight___surface[[#This Row],[Part de la surface du qs dans le noise contour]]</f>
        <v>79.583513734825004</v>
      </c>
    </row>
    <row r="102" spans="1:39" x14ac:dyDescent="0.3">
      <c r="A102">
        <v>114</v>
      </c>
      <c r="B102" t="s">
        <v>516</v>
      </c>
      <c r="C102" t="s">
        <v>517</v>
      </c>
      <c r="D102" t="s">
        <v>518</v>
      </c>
      <c r="E102" t="s">
        <v>518</v>
      </c>
      <c r="F102" t="s">
        <v>506</v>
      </c>
      <c r="G102" t="s">
        <v>455</v>
      </c>
      <c r="H102" t="s">
        <v>456</v>
      </c>
      <c r="I102" t="s">
        <v>457</v>
      </c>
      <c r="J102" t="s">
        <v>36</v>
      </c>
      <c r="K102">
        <v>21004</v>
      </c>
      <c r="L102" t="s">
        <v>309</v>
      </c>
      <c r="M102" t="s">
        <v>310</v>
      </c>
      <c r="N102" t="s">
        <v>311</v>
      </c>
      <c r="O102">
        <v>21000</v>
      </c>
      <c r="P102" t="s">
        <v>46</v>
      </c>
      <c r="Q102" t="s">
        <v>47</v>
      </c>
      <c r="R102" t="s">
        <v>48</v>
      </c>
      <c r="T102" t="s">
        <v>36</v>
      </c>
      <c r="U102" t="s">
        <v>36</v>
      </c>
      <c r="V102" t="s">
        <v>36</v>
      </c>
      <c r="W102">
        <v>4000</v>
      </c>
      <c r="X102" t="s">
        <v>49</v>
      </c>
      <c r="Y102" t="s">
        <v>50</v>
      </c>
      <c r="Z102" t="s">
        <v>51</v>
      </c>
      <c r="AA102" t="s">
        <v>37</v>
      </c>
      <c r="AB102" t="s">
        <v>52</v>
      </c>
      <c r="AC102" t="s">
        <v>53</v>
      </c>
      <c r="AD102" t="s">
        <v>54</v>
      </c>
      <c r="AE102">
        <v>157.689333922</v>
      </c>
      <c r="AF102">
        <v>5984</v>
      </c>
      <c r="AG102">
        <v>5984.2553360900001</v>
      </c>
      <c r="AH102">
        <v>1576918.72211</v>
      </c>
      <c r="AI102">
        <v>43</v>
      </c>
      <c r="AJ102">
        <v>472836.10857047403</v>
      </c>
      <c r="AK102" s="1">
        <f>intersection_ss_Lnight___surface[[#This Row],[surf m2 bout ss]]/intersection_ss_Lnight___surface[[#This Row],[Shape_Area]]</f>
        <v>0.2998481164189582</v>
      </c>
      <c r="AL102">
        <v>180</v>
      </c>
      <c r="AM102">
        <f>intersection_ss_Lnight___surface[[#This Row],[Population totale 2024 ss]]*intersection_ss_Lnight___surface[[#This Row],[Part de la surface du qs dans le noise contour]]</f>
        <v>53.972660955412479</v>
      </c>
    </row>
    <row r="103" spans="1:39" x14ac:dyDescent="0.3">
      <c r="A103">
        <v>115</v>
      </c>
      <c r="B103" t="s">
        <v>516</v>
      </c>
      <c r="C103" t="s">
        <v>517</v>
      </c>
      <c r="D103" t="s">
        <v>518</v>
      </c>
      <c r="E103" t="s">
        <v>518</v>
      </c>
      <c r="F103" t="s">
        <v>506</v>
      </c>
      <c r="G103" t="s">
        <v>455</v>
      </c>
      <c r="H103" t="s">
        <v>456</v>
      </c>
      <c r="I103" t="s">
        <v>457</v>
      </c>
      <c r="J103" t="s">
        <v>36</v>
      </c>
      <c r="K103">
        <v>21004</v>
      </c>
      <c r="L103" t="s">
        <v>309</v>
      </c>
      <c r="M103" t="s">
        <v>310</v>
      </c>
      <c r="N103" t="s">
        <v>311</v>
      </c>
      <c r="O103">
        <v>21000</v>
      </c>
      <c r="P103" t="s">
        <v>46</v>
      </c>
      <c r="Q103" t="s">
        <v>47</v>
      </c>
      <c r="R103" t="s">
        <v>48</v>
      </c>
      <c r="T103" t="s">
        <v>36</v>
      </c>
      <c r="U103" t="s">
        <v>36</v>
      </c>
      <c r="V103" t="s">
        <v>36</v>
      </c>
      <c r="W103">
        <v>4000</v>
      </c>
      <c r="X103" t="s">
        <v>49</v>
      </c>
      <c r="Y103" t="s">
        <v>50</v>
      </c>
      <c r="Z103" t="s">
        <v>51</v>
      </c>
      <c r="AA103" t="s">
        <v>37</v>
      </c>
      <c r="AB103" t="s">
        <v>52</v>
      </c>
      <c r="AC103" t="s">
        <v>53</v>
      </c>
      <c r="AD103" t="s">
        <v>54</v>
      </c>
      <c r="AE103">
        <v>157.689333922</v>
      </c>
      <c r="AF103">
        <v>5984</v>
      </c>
      <c r="AG103">
        <v>5984.2553360900001</v>
      </c>
      <c r="AH103">
        <v>1576918.72211</v>
      </c>
      <c r="AI103">
        <v>44</v>
      </c>
      <c r="AJ103">
        <v>105509.12456820501</v>
      </c>
      <c r="AK103" s="1">
        <f>intersection_ss_Lnight___surface[[#This Row],[surf m2 bout ss]]/intersection_ss_Lnight___surface[[#This Row],[Shape_Area]]</f>
        <v>6.6908410109449562E-2</v>
      </c>
      <c r="AL103">
        <v>180</v>
      </c>
      <c r="AM103">
        <f>intersection_ss_Lnight___surface[[#This Row],[Population totale 2024 ss]]*intersection_ss_Lnight___surface[[#This Row],[Part de la surface du qs dans le noise contour]]</f>
        <v>12.043513819700921</v>
      </c>
    </row>
    <row r="104" spans="1:39" x14ac:dyDescent="0.3">
      <c r="A104">
        <v>116</v>
      </c>
      <c r="B104" t="s">
        <v>519</v>
      </c>
      <c r="C104" t="s">
        <v>520</v>
      </c>
      <c r="D104" t="s">
        <v>521</v>
      </c>
      <c r="E104" t="s">
        <v>521</v>
      </c>
      <c r="F104" t="s">
        <v>506</v>
      </c>
      <c r="G104" t="s">
        <v>455</v>
      </c>
      <c r="H104" t="s">
        <v>456</v>
      </c>
      <c r="I104" t="s">
        <v>457</v>
      </c>
      <c r="J104" t="s">
        <v>36</v>
      </c>
      <c r="K104">
        <v>21004</v>
      </c>
      <c r="L104" t="s">
        <v>309</v>
      </c>
      <c r="M104" t="s">
        <v>310</v>
      </c>
      <c r="N104" t="s">
        <v>311</v>
      </c>
      <c r="O104">
        <v>21000</v>
      </c>
      <c r="P104" t="s">
        <v>46</v>
      </c>
      <c r="Q104" t="s">
        <v>47</v>
      </c>
      <c r="R104" t="s">
        <v>48</v>
      </c>
      <c r="T104" t="s">
        <v>36</v>
      </c>
      <c r="U104" t="s">
        <v>36</v>
      </c>
      <c r="V104" t="s">
        <v>36</v>
      </c>
      <c r="W104">
        <v>4000</v>
      </c>
      <c r="X104" t="s">
        <v>49</v>
      </c>
      <c r="Y104" t="s">
        <v>50</v>
      </c>
      <c r="Z104" t="s">
        <v>51</v>
      </c>
      <c r="AA104" t="s">
        <v>37</v>
      </c>
      <c r="AB104" t="s">
        <v>52</v>
      </c>
      <c r="AC104" t="s">
        <v>53</v>
      </c>
      <c r="AD104" t="s">
        <v>54</v>
      </c>
      <c r="AE104">
        <v>20.5276305764</v>
      </c>
      <c r="AF104">
        <v>1790</v>
      </c>
      <c r="AG104">
        <v>1790.2383811899999</v>
      </c>
      <c r="AH104">
        <v>205279.6171</v>
      </c>
      <c r="AI104">
        <v>40</v>
      </c>
      <c r="AJ104">
        <v>196294.56194619401</v>
      </c>
      <c r="AK104" s="1">
        <f>intersection_ss_Lnight___surface[[#This Row],[surf m2 bout ss]]/intersection_ss_Lnight___surface[[#This Row],[Shape_Area]]</f>
        <v>0.95623016410134376</v>
      </c>
      <c r="AL104">
        <v>0</v>
      </c>
      <c r="AM104">
        <f>intersection_ss_Lnight___surface[[#This Row],[Population totale 2024 ss]]*intersection_ss_Lnight___surface[[#This Row],[Part de la surface du qs dans le noise contour]]</f>
        <v>0</v>
      </c>
    </row>
    <row r="105" spans="1:39" x14ac:dyDescent="0.3">
      <c r="A105">
        <v>117</v>
      </c>
      <c r="B105" t="s">
        <v>519</v>
      </c>
      <c r="C105" t="s">
        <v>520</v>
      </c>
      <c r="D105" t="s">
        <v>521</v>
      </c>
      <c r="E105" t="s">
        <v>521</v>
      </c>
      <c r="F105" t="s">
        <v>506</v>
      </c>
      <c r="G105" t="s">
        <v>455</v>
      </c>
      <c r="H105" t="s">
        <v>456</v>
      </c>
      <c r="I105" t="s">
        <v>457</v>
      </c>
      <c r="J105" t="s">
        <v>36</v>
      </c>
      <c r="K105">
        <v>21004</v>
      </c>
      <c r="L105" t="s">
        <v>309</v>
      </c>
      <c r="M105" t="s">
        <v>310</v>
      </c>
      <c r="N105" t="s">
        <v>311</v>
      </c>
      <c r="O105">
        <v>21000</v>
      </c>
      <c r="P105" t="s">
        <v>46</v>
      </c>
      <c r="Q105" t="s">
        <v>47</v>
      </c>
      <c r="R105" t="s">
        <v>48</v>
      </c>
      <c r="T105" t="s">
        <v>36</v>
      </c>
      <c r="U105" t="s">
        <v>36</v>
      </c>
      <c r="V105" t="s">
        <v>36</v>
      </c>
      <c r="W105">
        <v>4000</v>
      </c>
      <c r="X105" t="s">
        <v>49</v>
      </c>
      <c r="Y105" t="s">
        <v>50</v>
      </c>
      <c r="Z105" t="s">
        <v>51</v>
      </c>
      <c r="AA105" t="s">
        <v>37</v>
      </c>
      <c r="AB105" t="s">
        <v>52</v>
      </c>
      <c r="AC105" t="s">
        <v>53</v>
      </c>
      <c r="AD105" t="s">
        <v>54</v>
      </c>
      <c r="AE105">
        <v>20.5276305764</v>
      </c>
      <c r="AF105">
        <v>1790</v>
      </c>
      <c r="AG105">
        <v>1790.2383811899999</v>
      </c>
      <c r="AH105">
        <v>205279.6171</v>
      </c>
      <c r="AI105">
        <v>41</v>
      </c>
      <c r="AJ105">
        <v>9003.4207402084794</v>
      </c>
      <c r="AK105" s="1">
        <f>intersection_ss_Lnight___surface[[#This Row],[surf m2 bout ss]]/intersection_ss_Lnight___surface[[#This Row],[Shape_Area]]</f>
        <v>4.3859302094384503E-2</v>
      </c>
      <c r="AL105">
        <v>0</v>
      </c>
      <c r="AM105">
        <f>intersection_ss_Lnight___surface[[#This Row],[Population totale 2024 ss]]*intersection_ss_Lnight___surface[[#This Row],[Part de la surface du qs dans le noise contour]]</f>
        <v>0</v>
      </c>
    </row>
    <row r="106" spans="1:39" x14ac:dyDescent="0.3">
      <c r="A106">
        <v>118</v>
      </c>
      <c r="B106" t="s">
        <v>522</v>
      </c>
      <c r="C106" t="s">
        <v>523</v>
      </c>
      <c r="D106" t="s">
        <v>524</v>
      </c>
      <c r="E106" t="s">
        <v>524</v>
      </c>
      <c r="F106" t="s">
        <v>525</v>
      </c>
      <c r="G106" t="s">
        <v>526</v>
      </c>
      <c r="H106" t="s">
        <v>527</v>
      </c>
      <c r="I106" t="s">
        <v>528</v>
      </c>
      <c r="J106" t="s">
        <v>36</v>
      </c>
      <c r="K106">
        <v>21004</v>
      </c>
      <c r="L106" t="s">
        <v>309</v>
      </c>
      <c r="M106" t="s">
        <v>310</v>
      </c>
      <c r="N106" t="s">
        <v>311</v>
      </c>
      <c r="O106">
        <v>21000</v>
      </c>
      <c r="P106" t="s">
        <v>46</v>
      </c>
      <c r="Q106" t="s">
        <v>47</v>
      </c>
      <c r="R106" t="s">
        <v>48</v>
      </c>
      <c r="T106" t="s">
        <v>36</v>
      </c>
      <c r="U106" t="s">
        <v>36</v>
      </c>
      <c r="V106" t="s">
        <v>36</v>
      </c>
      <c r="W106">
        <v>4000</v>
      </c>
      <c r="X106" t="s">
        <v>49</v>
      </c>
      <c r="Y106" t="s">
        <v>50</v>
      </c>
      <c r="Z106" t="s">
        <v>51</v>
      </c>
      <c r="AA106" t="s">
        <v>37</v>
      </c>
      <c r="AB106" t="s">
        <v>52</v>
      </c>
      <c r="AC106" t="s">
        <v>53</v>
      </c>
      <c r="AD106" t="s">
        <v>54</v>
      </c>
      <c r="AE106">
        <v>18.2997214034</v>
      </c>
      <c r="AF106">
        <v>2747</v>
      </c>
      <c r="AG106">
        <v>2747.4244727199998</v>
      </c>
      <c r="AH106">
        <v>183000.16315000001</v>
      </c>
      <c r="AI106">
        <v>43</v>
      </c>
      <c r="AJ106">
        <v>8803.7917762543093</v>
      </c>
      <c r="AK106" s="1">
        <f>intersection_ss_Lnight___surface[[#This Row],[surf m2 bout ss]]/intersection_ss_Lnight___surface[[#This Row],[Shape_Area]]</f>
        <v>4.8108108892985481E-2</v>
      </c>
      <c r="AL106">
        <v>1890</v>
      </c>
      <c r="AM106">
        <f>intersection_ss_Lnight___surface[[#This Row],[Population totale 2024 ss]]*intersection_ss_Lnight___surface[[#This Row],[Part de la surface du qs dans le noise contour]]</f>
        <v>90.924325807742562</v>
      </c>
    </row>
    <row r="107" spans="1:39" x14ac:dyDescent="0.3">
      <c r="A107">
        <v>119</v>
      </c>
      <c r="B107" t="s">
        <v>522</v>
      </c>
      <c r="C107" t="s">
        <v>523</v>
      </c>
      <c r="D107" t="s">
        <v>524</v>
      </c>
      <c r="E107" t="s">
        <v>524</v>
      </c>
      <c r="F107" t="s">
        <v>525</v>
      </c>
      <c r="G107" t="s">
        <v>526</v>
      </c>
      <c r="H107" t="s">
        <v>527</v>
      </c>
      <c r="I107" t="s">
        <v>528</v>
      </c>
      <c r="J107" t="s">
        <v>36</v>
      </c>
      <c r="K107">
        <v>21004</v>
      </c>
      <c r="L107" t="s">
        <v>309</v>
      </c>
      <c r="M107" t="s">
        <v>310</v>
      </c>
      <c r="N107" t="s">
        <v>311</v>
      </c>
      <c r="O107">
        <v>21000</v>
      </c>
      <c r="P107" t="s">
        <v>46</v>
      </c>
      <c r="Q107" t="s">
        <v>47</v>
      </c>
      <c r="R107" t="s">
        <v>48</v>
      </c>
      <c r="T107" t="s">
        <v>36</v>
      </c>
      <c r="U107" t="s">
        <v>36</v>
      </c>
      <c r="V107" t="s">
        <v>36</v>
      </c>
      <c r="W107">
        <v>4000</v>
      </c>
      <c r="X107" t="s">
        <v>49</v>
      </c>
      <c r="Y107" t="s">
        <v>50</v>
      </c>
      <c r="Z107" t="s">
        <v>51</v>
      </c>
      <c r="AA107" t="s">
        <v>37</v>
      </c>
      <c r="AB107" t="s">
        <v>52</v>
      </c>
      <c r="AC107" t="s">
        <v>53</v>
      </c>
      <c r="AD107" t="s">
        <v>54</v>
      </c>
      <c r="AE107">
        <v>18.2997214034</v>
      </c>
      <c r="AF107">
        <v>2747</v>
      </c>
      <c r="AG107">
        <v>2747.4244727199998</v>
      </c>
      <c r="AH107">
        <v>183000.16315000001</v>
      </c>
      <c r="AI107">
        <v>44</v>
      </c>
      <c r="AJ107">
        <v>174212.50216774701</v>
      </c>
      <c r="AK107" s="1">
        <f>intersection_ss_Lnight___surface[[#This Row],[surf m2 bout ss]]/intersection_ss_Lnight___surface[[#This Row],[Shape_Area]]</f>
        <v>0.95198003744373716</v>
      </c>
      <c r="AL107">
        <v>1890</v>
      </c>
      <c r="AM107">
        <f>intersection_ss_Lnight___surface[[#This Row],[Population totale 2024 ss]]*intersection_ss_Lnight___surface[[#This Row],[Part de la surface du qs dans le noise contour]]</f>
        <v>1799.2422707686633</v>
      </c>
    </row>
    <row r="108" spans="1:39" x14ac:dyDescent="0.3">
      <c r="A108">
        <v>120</v>
      </c>
      <c r="B108" t="s">
        <v>529</v>
      </c>
      <c r="C108" t="s">
        <v>530</v>
      </c>
      <c r="D108" t="s">
        <v>531</v>
      </c>
      <c r="E108" t="s">
        <v>531</v>
      </c>
      <c r="F108" t="s">
        <v>525</v>
      </c>
      <c r="G108" t="s">
        <v>526</v>
      </c>
      <c r="H108" t="s">
        <v>527</v>
      </c>
      <c r="I108" t="s">
        <v>528</v>
      </c>
      <c r="J108" t="s">
        <v>36</v>
      </c>
      <c r="K108">
        <v>21004</v>
      </c>
      <c r="L108" t="s">
        <v>309</v>
      </c>
      <c r="M108" t="s">
        <v>310</v>
      </c>
      <c r="N108" t="s">
        <v>311</v>
      </c>
      <c r="O108">
        <v>21000</v>
      </c>
      <c r="P108" t="s">
        <v>46</v>
      </c>
      <c r="Q108" t="s">
        <v>47</v>
      </c>
      <c r="R108" t="s">
        <v>48</v>
      </c>
      <c r="T108" t="s">
        <v>36</v>
      </c>
      <c r="U108" t="s">
        <v>36</v>
      </c>
      <c r="V108" t="s">
        <v>36</v>
      </c>
      <c r="W108">
        <v>4000</v>
      </c>
      <c r="X108" t="s">
        <v>49</v>
      </c>
      <c r="Y108" t="s">
        <v>50</v>
      </c>
      <c r="Z108" t="s">
        <v>51</v>
      </c>
      <c r="AA108" t="s">
        <v>37</v>
      </c>
      <c r="AB108" t="s">
        <v>52</v>
      </c>
      <c r="AC108" t="s">
        <v>53</v>
      </c>
      <c r="AD108" t="s">
        <v>54</v>
      </c>
      <c r="AE108">
        <v>31.183385185900001</v>
      </c>
      <c r="AF108">
        <v>2344</v>
      </c>
      <c r="AG108">
        <v>2344.3246729399998</v>
      </c>
      <c r="AH108">
        <v>311838.87091900001</v>
      </c>
      <c r="AI108">
        <v>43</v>
      </c>
      <c r="AJ108">
        <v>19605.498271992401</v>
      </c>
      <c r="AK108" s="1">
        <f>intersection_ss_Lnight___surface[[#This Row],[surf m2 bout ss]]/intersection_ss_Lnight___surface[[#This Row],[Shape_Area]]</f>
        <v>6.2870604341961331E-2</v>
      </c>
      <c r="AL108">
        <v>2478</v>
      </c>
      <c r="AM108">
        <f>intersection_ss_Lnight___surface[[#This Row],[Population totale 2024 ss]]*intersection_ss_Lnight___surface[[#This Row],[Part de la surface du qs dans le noise contour]]</f>
        <v>155.79335755938018</v>
      </c>
    </row>
    <row r="109" spans="1:39" x14ac:dyDescent="0.3">
      <c r="A109">
        <v>121</v>
      </c>
      <c r="B109" t="s">
        <v>529</v>
      </c>
      <c r="C109" t="s">
        <v>530</v>
      </c>
      <c r="D109" t="s">
        <v>531</v>
      </c>
      <c r="E109" t="s">
        <v>531</v>
      </c>
      <c r="F109" t="s">
        <v>525</v>
      </c>
      <c r="G109" t="s">
        <v>526</v>
      </c>
      <c r="H109" t="s">
        <v>527</v>
      </c>
      <c r="I109" t="s">
        <v>528</v>
      </c>
      <c r="J109" t="s">
        <v>36</v>
      </c>
      <c r="K109">
        <v>21004</v>
      </c>
      <c r="L109" t="s">
        <v>309</v>
      </c>
      <c r="M109" t="s">
        <v>310</v>
      </c>
      <c r="N109" t="s">
        <v>311</v>
      </c>
      <c r="O109">
        <v>21000</v>
      </c>
      <c r="P109" t="s">
        <v>46</v>
      </c>
      <c r="Q109" t="s">
        <v>47</v>
      </c>
      <c r="R109" t="s">
        <v>48</v>
      </c>
      <c r="T109" t="s">
        <v>36</v>
      </c>
      <c r="U109" t="s">
        <v>36</v>
      </c>
      <c r="V109" t="s">
        <v>36</v>
      </c>
      <c r="W109">
        <v>4000</v>
      </c>
      <c r="X109" t="s">
        <v>49</v>
      </c>
      <c r="Y109" t="s">
        <v>50</v>
      </c>
      <c r="Z109" t="s">
        <v>51</v>
      </c>
      <c r="AA109" t="s">
        <v>37</v>
      </c>
      <c r="AB109" t="s">
        <v>52</v>
      </c>
      <c r="AC109" t="s">
        <v>53</v>
      </c>
      <c r="AD109" t="s">
        <v>54</v>
      </c>
      <c r="AE109">
        <v>31.183385185900001</v>
      </c>
      <c r="AF109">
        <v>2344</v>
      </c>
      <c r="AG109">
        <v>2344.3246729399998</v>
      </c>
      <c r="AH109">
        <v>311838.87091900001</v>
      </c>
      <c r="AI109">
        <v>44</v>
      </c>
      <c r="AJ109">
        <v>224935.066845016</v>
      </c>
      <c r="AK109" s="1">
        <f>intersection_ss_Lnight___surface[[#This Row],[surf m2 bout ss]]/intersection_ss_Lnight___surface[[#This Row],[Shape_Area]]</f>
        <v>0.72131824420132273</v>
      </c>
      <c r="AL109">
        <v>2478</v>
      </c>
      <c r="AM109">
        <f>intersection_ss_Lnight___surface[[#This Row],[Population totale 2024 ss]]*intersection_ss_Lnight___surface[[#This Row],[Part de la surface du qs dans le noise contour]]</f>
        <v>1787.4266091308778</v>
      </c>
    </row>
    <row r="110" spans="1:39" x14ac:dyDescent="0.3">
      <c r="A110">
        <v>122</v>
      </c>
      <c r="B110" t="s">
        <v>529</v>
      </c>
      <c r="C110" t="s">
        <v>530</v>
      </c>
      <c r="D110" t="s">
        <v>531</v>
      </c>
      <c r="E110" t="s">
        <v>531</v>
      </c>
      <c r="F110" t="s">
        <v>525</v>
      </c>
      <c r="G110" t="s">
        <v>526</v>
      </c>
      <c r="H110" t="s">
        <v>527</v>
      </c>
      <c r="I110" t="s">
        <v>528</v>
      </c>
      <c r="J110" t="s">
        <v>36</v>
      </c>
      <c r="K110">
        <v>21004</v>
      </c>
      <c r="L110" t="s">
        <v>309</v>
      </c>
      <c r="M110" t="s">
        <v>310</v>
      </c>
      <c r="N110" t="s">
        <v>311</v>
      </c>
      <c r="O110">
        <v>21000</v>
      </c>
      <c r="P110" t="s">
        <v>46</v>
      </c>
      <c r="Q110" t="s">
        <v>47</v>
      </c>
      <c r="R110" t="s">
        <v>48</v>
      </c>
      <c r="T110" t="s">
        <v>36</v>
      </c>
      <c r="U110" t="s">
        <v>36</v>
      </c>
      <c r="V110" t="s">
        <v>36</v>
      </c>
      <c r="W110">
        <v>4000</v>
      </c>
      <c r="X110" t="s">
        <v>49</v>
      </c>
      <c r="Y110" t="s">
        <v>50</v>
      </c>
      <c r="Z110" t="s">
        <v>51</v>
      </c>
      <c r="AA110" t="s">
        <v>37</v>
      </c>
      <c r="AB110" t="s">
        <v>52</v>
      </c>
      <c r="AC110" t="s">
        <v>53</v>
      </c>
      <c r="AD110" t="s">
        <v>54</v>
      </c>
      <c r="AE110">
        <v>31.183385185900001</v>
      </c>
      <c r="AF110">
        <v>2344</v>
      </c>
      <c r="AG110">
        <v>2344.3246729399998</v>
      </c>
      <c r="AH110">
        <v>311838.87091900001</v>
      </c>
      <c r="AI110">
        <v>45</v>
      </c>
      <c r="AJ110">
        <v>67325.439130852697</v>
      </c>
      <c r="AK110" s="1">
        <f>intersection_ss_Lnight___surface[[#This Row],[surf m2 bout ss]]/intersection_ss_Lnight___surface[[#This Row],[Shape_Area]]</f>
        <v>0.21589816219011532</v>
      </c>
      <c r="AL110">
        <v>2478</v>
      </c>
      <c r="AM110">
        <f>intersection_ss_Lnight___surface[[#This Row],[Population totale 2024 ss]]*intersection_ss_Lnight___surface[[#This Row],[Part de la surface du qs dans le noise contour]]</f>
        <v>534.99564590710577</v>
      </c>
    </row>
    <row r="111" spans="1:39" x14ac:dyDescent="0.3">
      <c r="A111">
        <v>123</v>
      </c>
      <c r="B111" t="s">
        <v>532</v>
      </c>
      <c r="C111" t="s">
        <v>533</v>
      </c>
      <c r="D111" t="s">
        <v>534</v>
      </c>
      <c r="E111" t="s">
        <v>534</v>
      </c>
      <c r="F111" t="s">
        <v>525</v>
      </c>
      <c r="G111" t="s">
        <v>526</v>
      </c>
      <c r="H111" t="s">
        <v>527</v>
      </c>
      <c r="I111" t="s">
        <v>528</v>
      </c>
      <c r="J111" t="s">
        <v>36</v>
      </c>
      <c r="K111">
        <v>21004</v>
      </c>
      <c r="L111" t="s">
        <v>309</v>
      </c>
      <c r="M111" t="s">
        <v>310</v>
      </c>
      <c r="N111" t="s">
        <v>311</v>
      </c>
      <c r="O111">
        <v>21000</v>
      </c>
      <c r="P111" t="s">
        <v>46</v>
      </c>
      <c r="Q111" t="s">
        <v>47</v>
      </c>
      <c r="R111" t="s">
        <v>48</v>
      </c>
      <c r="T111" t="s">
        <v>36</v>
      </c>
      <c r="U111" t="s">
        <v>36</v>
      </c>
      <c r="V111" t="s">
        <v>36</v>
      </c>
      <c r="W111">
        <v>4000</v>
      </c>
      <c r="X111" t="s">
        <v>49</v>
      </c>
      <c r="Y111" t="s">
        <v>50</v>
      </c>
      <c r="Z111" t="s">
        <v>51</v>
      </c>
      <c r="AA111" t="s">
        <v>37</v>
      </c>
      <c r="AB111" t="s">
        <v>52</v>
      </c>
      <c r="AC111" t="s">
        <v>53</v>
      </c>
      <c r="AD111" t="s">
        <v>54</v>
      </c>
      <c r="AE111">
        <v>19.868234371900002</v>
      </c>
      <c r="AF111">
        <v>2689</v>
      </c>
      <c r="AG111">
        <v>2688.8936949600002</v>
      </c>
      <c r="AH111">
        <v>198685.533299</v>
      </c>
      <c r="AI111">
        <v>45</v>
      </c>
      <c r="AJ111">
        <v>56328.273624525398</v>
      </c>
      <c r="AK111" s="1">
        <f>intersection_ss_Lnight___surface[[#This Row],[surf m2 bout ss]]/intersection_ss_Lnight___surface[[#This Row],[Shape_Area]]</f>
        <v>0.28350465526726348</v>
      </c>
      <c r="AL111">
        <v>3359</v>
      </c>
      <c r="AM111">
        <f>intersection_ss_Lnight___surface[[#This Row],[Population totale 2024 ss]]*intersection_ss_Lnight___surface[[#This Row],[Part de la surface du qs dans le noise contour]]</f>
        <v>952.29213704273809</v>
      </c>
    </row>
    <row r="112" spans="1:39" x14ac:dyDescent="0.3">
      <c r="A112">
        <v>124</v>
      </c>
      <c r="B112" t="s">
        <v>532</v>
      </c>
      <c r="C112" t="s">
        <v>533</v>
      </c>
      <c r="D112" t="s">
        <v>534</v>
      </c>
      <c r="E112" t="s">
        <v>534</v>
      </c>
      <c r="F112" t="s">
        <v>525</v>
      </c>
      <c r="G112" t="s">
        <v>526</v>
      </c>
      <c r="H112" t="s">
        <v>527</v>
      </c>
      <c r="I112" t="s">
        <v>528</v>
      </c>
      <c r="J112" t="s">
        <v>36</v>
      </c>
      <c r="K112">
        <v>21004</v>
      </c>
      <c r="L112" t="s">
        <v>309</v>
      </c>
      <c r="M112" t="s">
        <v>310</v>
      </c>
      <c r="N112" t="s">
        <v>311</v>
      </c>
      <c r="O112">
        <v>21000</v>
      </c>
      <c r="P112" t="s">
        <v>46</v>
      </c>
      <c r="Q112" t="s">
        <v>47</v>
      </c>
      <c r="R112" t="s">
        <v>48</v>
      </c>
      <c r="T112" t="s">
        <v>36</v>
      </c>
      <c r="U112" t="s">
        <v>36</v>
      </c>
      <c r="V112" t="s">
        <v>36</v>
      </c>
      <c r="W112">
        <v>4000</v>
      </c>
      <c r="X112" t="s">
        <v>49</v>
      </c>
      <c r="Y112" t="s">
        <v>50</v>
      </c>
      <c r="Z112" t="s">
        <v>51</v>
      </c>
      <c r="AA112" t="s">
        <v>37</v>
      </c>
      <c r="AB112" t="s">
        <v>52</v>
      </c>
      <c r="AC112" t="s">
        <v>53</v>
      </c>
      <c r="AD112" t="s">
        <v>54</v>
      </c>
      <c r="AE112">
        <v>19.868234371900002</v>
      </c>
      <c r="AF112">
        <v>2689</v>
      </c>
      <c r="AG112">
        <v>2688.8936949600002</v>
      </c>
      <c r="AH112">
        <v>198685.533299</v>
      </c>
      <c r="AI112">
        <v>46</v>
      </c>
      <c r="AJ112">
        <v>86715.035236177995</v>
      </c>
      <c r="AK112" s="1">
        <f>intersection_ss_Lnight___surface[[#This Row],[surf m2 bout ss]]/intersection_ss_Lnight___surface[[#This Row],[Shape_Area]]</f>
        <v>0.43644362926857561</v>
      </c>
      <c r="AL112">
        <v>3359</v>
      </c>
      <c r="AM112">
        <f>intersection_ss_Lnight___surface[[#This Row],[Population totale 2024 ss]]*intersection_ss_Lnight___surface[[#This Row],[Part de la surface du qs dans le noise contour]]</f>
        <v>1466.0141507131455</v>
      </c>
    </row>
    <row r="113" spans="1:39" x14ac:dyDescent="0.3">
      <c r="A113">
        <v>125</v>
      </c>
      <c r="B113" t="s">
        <v>532</v>
      </c>
      <c r="C113" t="s">
        <v>533</v>
      </c>
      <c r="D113" t="s">
        <v>534</v>
      </c>
      <c r="E113" t="s">
        <v>534</v>
      </c>
      <c r="F113" t="s">
        <v>525</v>
      </c>
      <c r="G113" t="s">
        <v>526</v>
      </c>
      <c r="H113" t="s">
        <v>527</v>
      </c>
      <c r="I113" t="s">
        <v>528</v>
      </c>
      <c r="J113" t="s">
        <v>36</v>
      </c>
      <c r="K113">
        <v>21004</v>
      </c>
      <c r="L113" t="s">
        <v>309</v>
      </c>
      <c r="M113" t="s">
        <v>310</v>
      </c>
      <c r="N113" t="s">
        <v>311</v>
      </c>
      <c r="O113">
        <v>21000</v>
      </c>
      <c r="P113" t="s">
        <v>46</v>
      </c>
      <c r="Q113" t="s">
        <v>47</v>
      </c>
      <c r="R113" t="s">
        <v>48</v>
      </c>
      <c r="T113" t="s">
        <v>36</v>
      </c>
      <c r="U113" t="s">
        <v>36</v>
      </c>
      <c r="V113" t="s">
        <v>36</v>
      </c>
      <c r="W113">
        <v>4000</v>
      </c>
      <c r="X113" t="s">
        <v>49</v>
      </c>
      <c r="Y113" t="s">
        <v>50</v>
      </c>
      <c r="Z113" t="s">
        <v>51</v>
      </c>
      <c r="AA113" t="s">
        <v>37</v>
      </c>
      <c r="AB113" t="s">
        <v>52</v>
      </c>
      <c r="AC113" t="s">
        <v>53</v>
      </c>
      <c r="AD113" t="s">
        <v>54</v>
      </c>
      <c r="AE113">
        <v>19.868234371900002</v>
      </c>
      <c r="AF113">
        <v>2689</v>
      </c>
      <c r="AG113">
        <v>2688.8936949600002</v>
      </c>
      <c r="AH113">
        <v>198685.533299</v>
      </c>
      <c r="AI113">
        <v>47</v>
      </c>
      <c r="AJ113">
        <v>55659.789058994502</v>
      </c>
      <c r="AK113" s="1">
        <f>intersection_ss_Lnight___surface[[#This Row],[surf m2 bout ss]]/intersection_ss_Lnight___surface[[#This Row],[Shape_Area]]</f>
        <v>0.28014011958904228</v>
      </c>
      <c r="AL113">
        <v>3359</v>
      </c>
      <c r="AM113">
        <f>intersection_ss_Lnight___surface[[#This Row],[Population totale 2024 ss]]*intersection_ss_Lnight___surface[[#This Row],[Part de la surface du qs dans le noise contour]]</f>
        <v>940.99066169959303</v>
      </c>
    </row>
    <row r="114" spans="1:39" x14ac:dyDescent="0.3">
      <c r="A114">
        <v>126</v>
      </c>
      <c r="B114" t="s">
        <v>535</v>
      </c>
      <c r="C114" t="s">
        <v>536</v>
      </c>
      <c r="D114" t="s">
        <v>537</v>
      </c>
      <c r="E114" t="s">
        <v>537</v>
      </c>
      <c r="F114" t="s">
        <v>525</v>
      </c>
      <c r="G114" t="s">
        <v>526</v>
      </c>
      <c r="H114" t="s">
        <v>527</v>
      </c>
      <c r="I114" t="s">
        <v>528</v>
      </c>
      <c r="J114" t="s">
        <v>36</v>
      </c>
      <c r="K114">
        <v>21004</v>
      </c>
      <c r="L114" t="s">
        <v>309</v>
      </c>
      <c r="M114" t="s">
        <v>310</v>
      </c>
      <c r="N114" t="s">
        <v>311</v>
      </c>
      <c r="O114">
        <v>21000</v>
      </c>
      <c r="P114" t="s">
        <v>46</v>
      </c>
      <c r="Q114" t="s">
        <v>47</v>
      </c>
      <c r="R114" t="s">
        <v>48</v>
      </c>
      <c r="T114" t="s">
        <v>36</v>
      </c>
      <c r="U114" t="s">
        <v>36</v>
      </c>
      <c r="V114" t="s">
        <v>36</v>
      </c>
      <c r="W114">
        <v>4000</v>
      </c>
      <c r="X114" t="s">
        <v>49</v>
      </c>
      <c r="Y114" t="s">
        <v>50</v>
      </c>
      <c r="Z114" t="s">
        <v>51</v>
      </c>
      <c r="AA114" t="s">
        <v>37</v>
      </c>
      <c r="AB114" t="s">
        <v>52</v>
      </c>
      <c r="AC114" t="s">
        <v>53</v>
      </c>
      <c r="AD114" t="s">
        <v>54</v>
      </c>
      <c r="AE114">
        <v>66.705827915399993</v>
      </c>
      <c r="AF114">
        <v>4850</v>
      </c>
      <c r="AG114">
        <v>4849.7335040199996</v>
      </c>
      <c r="AH114">
        <v>667069.05896900001</v>
      </c>
      <c r="AI114">
        <v>44</v>
      </c>
      <c r="AJ114">
        <v>22170.674818324602</v>
      </c>
      <c r="AK114" s="1">
        <f>intersection_ss_Lnight___surface[[#This Row],[surf m2 bout ss]]/intersection_ss_Lnight___surface[[#This Row],[Shape_Area]]</f>
        <v>3.3235951390986215E-2</v>
      </c>
      <c r="AL114">
        <v>124</v>
      </c>
      <c r="AM114">
        <f>intersection_ss_Lnight___surface[[#This Row],[Population totale 2024 ss]]*intersection_ss_Lnight___surface[[#This Row],[Part de la surface du qs dans le noise contour]]</f>
        <v>4.1212579724822911</v>
      </c>
    </row>
    <row r="115" spans="1:39" x14ac:dyDescent="0.3">
      <c r="A115">
        <v>127</v>
      </c>
      <c r="B115" t="s">
        <v>535</v>
      </c>
      <c r="C115" t="s">
        <v>536</v>
      </c>
      <c r="D115" t="s">
        <v>537</v>
      </c>
      <c r="E115" t="s">
        <v>537</v>
      </c>
      <c r="F115" t="s">
        <v>525</v>
      </c>
      <c r="G115" t="s">
        <v>526</v>
      </c>
      <c r="H115" t="s">
        <v>527</v>
      </c>
      <c r="I115" t="s">
        <v>528</v>
      </c>
      <c r="J115" t="s">
        <v>36</v>
      </c>
      <c r="K115">
        <v>21004</v>
      </c>
      <c r="L115" t="s">
        <v>309</v>
      </c>
      <c r="M115" t="s">
        <v>310</v>
      </c>
      <c r="N115" t="s">
        <v>311</v>
      </c>
      <c r="O115">
        <v>21000</v>
      </c>
      <c r="P115" t="s">
        <v>46</v>
      </c>
      <c r="Q115" t="s">
        <v>47</v>
      </c>
      <c r="R115" t="s">
        <v>48</v>
      </c>
      <c r="T115" t="s">
        <v>36</v>
      </c>
      <c r="U115" t="s">
        <v>36</v>
      </c>
      <c r="V115" t="s">
        <v>36</v>
      </c>
      <c r="W115">
        <v>4000</v>
      </c>
      <c r="X115" t="s">
        <v>49</v>
      </c>
      <c r="Y115" t="s">
        <v>50</v>
      </c>
      <c r="Z115" t="s">
        <v>51</v>
      </c>
      <c r="AA115" t="s">
        <v>37</v>
      </c>
      <c r="AB115" t="s">
        <v>52</v>
      </c>
      <c r="AC115" t="s">
        <v>53</v>
      </c>
      <c r="AD115" t="s">
        <v>54</v>
      </c>
      <c r="AE115">
        <v>66.705827915399993</v>
      </c>
      <c r="AF115">
        <v>4850</v>
      </c>
      <c r="AG115">
        <v>4849.7335040199996</v>
      </c>
      <c r="AH115">
        <v>667069.05896900001</v>
      </c>
      <c r="AI115">
        <v>45</v>
      </c>
      <c r="AJ115">
        <v>268346.65713116003</v>
      </c>
      <c r="AK115" s="1">
        <f>intersection_ss_Lnight___surface[[#This Row],[surf m2 bout ss]]/intersection_ss_Lnight___surface[[#This Row],[Shape_Area]]</f>
        <v>0.40227717583829747</v>
      </c>
      <c r="AL115">
        <v>124</v>
      </c>
      <c r="AM115">
        <f>intersection_ss_Lnight___surface[[#This Row],[Population totale 2024 ss]]*intersection_ss_Lnight___surface[[#This Row],[Part de la surface du qs dans le noise contour]]</f>
        <v>49.88236980394889</v>
      </c>
    </row>
    <row r="116" spans="1:39" x14ac:dyDescent="0.3">
      <c r="A116">
        <v>128</v>
      </c>
      <c r="B116" t="s">
        <v>535</v>
      </c>
      <c r="C116" t="s">
        <v>536</v>
      </c>
      <c r="D116" t="s">
        <v>537</v>
      </c>
      <c r="E116" t="s">
        <v>537</v>
      </c>
      <c r="F116" t="s">
        <v>525</v>
      </c>
      <c r="G116" t="s">
        <v>526</v>
      </c>
      <c r="H116" t="s">
        <v>527</v>
      </c>
      <c r="I116" t="s">
        <v>528</v>
      </c>
      <c r="J116" t="s">
        <v>36</v>
      </c>
      <c r="K116">
        <v>21004</v>
      </c>
      <c r="L116" t="s">
        <v>309</v>
      </c>
      <c r="M116" t="s">
        <v>310</v>
      </c>
      <c r="N116" t="s">
        <v>311</v>
      </c>
      <c r="O116">
        <v>21000</v>
      </c>
      <c r="P116" t="s">
        <v>46</v>
      </c>
      <c r="Q116" t="s">
        <v>47</v>
      </c>
      <c r="R116" t="s">
        <v>48</v>
      </c>
      <c r="T116" t="s">
        <v>36</v>
      </c>
      <c r="U116" t="s">
        <v>36</v>
      </c>
      <c r="V116" t="s">
        <v>36</v>
      </c>
      <c r="W116">
        <v>4000</v>
      </c>
      <c r="X116" t="s">
        <v>49</v>
      </c>
      <c r="Y116" t="s">
        <v>50</v>
      </c>
      <c r="Z116" t="s">
        <v>51</v>
      </c>
      <c r="AA116" t="s">
        <v>37</v>
      </c>
      <c r="AB116" t="s">
        <v>52</v>
      </c>
      <c r="AC116" t="s">
        <v>53</v>
      </c>
      <c r="AD116" t="s">
        <v>54</v>
      </c>
      <c r="AE116">
        <v>66.705827915399993</v>
      </c>
      <c r="AF116">
        <v>4850</v>
      </c>
      <c r="AG116">
        <v>4849.7335040199996</v>
      </c>
      <c r="AH116">
        <v>667069.05896900001</v>
      </c>
      <c r="AI116">
        <v>46</v>
      </c>
      <c r="AJ116">
        <v>190652.12909271001</v>
      </c>
      <c r="AK116" s="1">
        <f>intersection_ss_Lnight___surface[[#This Row],[surf m2 bout ss]]/intersection_ss_Lnight___surface[[#This Row],[Shape_Area]]</f>
        <v>0.28580568462787898</v>
      </c>
      <c r="AL116">
        <v>124</v>
      </c>
      <c r="AM116">
        <f>intersection_ss_Lnight___surface[[#This Row],[Population totale 2024 ss]]*intersection_ss_Lnight___surface[[#This Row],[Part de la surface du qs dans le noise contour]]</f>
        <v>35.43990489385699</v>
      </c>
    </row>
    <row r="117" spans="1:39" x14ac:dyDescent="0.3">
      <c r="A117">
        <v>129</v>
      </c>
      <c r="B117" t="s">
        <v>535</v>
      </c>
      <c r="C117" t="s">
        <v>536</v>
      </c>
      <c r="D117" t="s">
        <v>537</v>
      </c>
      <c r="E117" t="s">
        <v>537</v>
      </c>
      <c r="F117" t="s">
        <v>525</v>
      </c>
      <c r="G117" t="s">
        <v>526</v>
      </c>
      <c r="H117" t="s">
        <v>527</v>
      </c>
      <c r="I117" t="s">
        <v>528</v>
      </c>
      <c r="J117" t="s">
        <v>36</v>
      </c>
      <c r="K117">
        <v>21004</v>
      </c>
      <c r="L117" t="s">
        <v>309</v>
      </c>
      <c r="M117" t="s">
        <v>310</v>
      </c>
      <c r="N117" t="s">
        <v>311</v>
      </c>
      <c r="O117">
        <v>21000</v>
      </c>
      <c r="P117" t="s">
        <v>46</v>
      </c>
      <c r="Q117" t="s">
        <v>47</v>
      </c>
      <c r="R117" t="s">
        <v>48</v>
      </c>
      <c r="T117" t="s">
        <v>36</v>
      </c>
      <c r="U117" t="s">
        <v>36</v>
      </c>
      <c r="V117" t="s">
        <v>36</v>
      </c>
      <c r="W117">
        <v>4000</v>
      </c>
      <c r="X117" t="s">
        <v>49</v>
      </c>
      <c r="Y117" t="s">
        <v>50</v>
      </c>
      <c r="Z117" t="s">
        <v>51</v>
      </c>
      <c r="AA117" t="s">
        <v>37</v>
      </c>
      <c r="AB117" t="s">
        <v>52</v>
      </c>
      <c r="AC117" t="s">
        <v>53</v>
      </c>
      <c r="AD117" t="s">
        <v>54</v>
      </c>
      <c r="AE117">
        <v>66.705827915399993</v>
      </c>
      <c r="AF117">
        <v>4850</v>
      </c>
      <c r="AG117">
        <v>4849.7335040199996</v>
      </c>
      <c r="AH117">
        <v>667069.05896900001</v>
      </c>
      <c r="AI117">
        <v>47</v>
      </c>
      <c r="AJ117">
        <v>157673.220345868</v>
      </c>
      <c r="AK117" s="1">
        <f>intersection_ss_Lnight___surface[[#This Row],[surf m2 bout ss]]/intersection_ss_Lnight___surface[[#This Row],[Shape_Area]]</f>
        <v>0.23636716202901473</v>
      </c>
      <c r="AL117">
        <v>124</v>
      </c>
      <c r="AM117">
        <f>intersection_ss_Lnight___surface[[#This Row],[Population totale 2024 ss]]*intersection_ss_Lnight___surface[[#This Row],[Part de la surface du qs dans le noise contour]]</f>
        <v>29.309528091597826</v>
      </c>
    </row>
    <row r="118" spans="1:39" x14ac:dyDescent="0.3">
      <c r="A118">
        <v>130</v>
      </c>
      <c r="B118" t="s">
        <v>535</v>
      </c>
      <c r="C118" t="s">
        <v>536</v>
      </c>
      <c r="D118" t="s">
        <v>537</v>
      </c>
      <c r="E118" t="s">
        <v>537</v>
      </c>
      <c r="F118" t="s">
        <v>525</v>
      </c>
      <c r="G118" t="s">
        <v>526</v>
      </c>
      <c r="H118" t="s">
        <v>527</v>
      </c>
      <c r="I118" t="s">
        <v>528</v>
      </c>
      <c r="J118" t="s">
        <v>36</v>
      </c>
      <c r="K118">
        <v>21004</v>
      </c>
      <c r="L118" t="s">
        <v>309</v>
      </c>
      <c r="M118" t="s">
        <v>310</v>
      </c>
      <c r="N118" t="s">
        <v>311</v>
      </c>
      <c r="O118">
        <v>21000</v>
      </c>
      <c r="P118" t="s">
        <v>46</v>
      </c>
      <c r="Q118" t="s">
        <v>47</v>
      </c>
      <c r="R118" t="s">
        <v>48</v>
      </c>
      <c r="T118" t="s">
        <v>36</v>
      </c>
      <c r="U118" t="s">
        <v>36</v>
      </c>
      <c r="V118" t="s">
        <v>36</v>
      </c>
      <c r="W118">
        <v>4000</v>
      </c>
      <c r="X118" t="s">
        <v>49</v>
      </c>
      <c r="Y118" t="s">
        <v>50</v>
      </c>
      <c r="Z118" t="s">
        <v>51</v>
      </c>
      <c r="AA118" t="s">
        <v>37</v>
      </c>
      <c r="AB118" t="s">
        <v>52</v>
      </c>
      <c r="AC118" t="s">
        <v>53</v>
      </c>
      <c r="AD118" t="s">
        <v>54</v>
      </c>
      <c r="AE118">
        <v>66.705827915399993</v>
      </c>
      <c r="AF118">
        <v>4850</v>
      </c>
      <c r="AG118">
        <v>4849.7335040199996</v>
      </c>
      <c r="AH118">
        <v>667069.05896900001</v>
      </c>
      <c r="AI118">
        <v>48</v>
      </c>
      <c r="AJ118">
        <v>28285.818028939899</v>
      </c>
      <c r="AK118" s="1">
        <f>intersection_ss_Lnight___surface[[#This Row],[surf m2 bout ss]]/intersection_ss_Lnight___surface[[#This Row],[Shape_Area]]</f>
        <v>4.2403133001937654E-2</v>
      </c>
      <c r="AL118">
        <v>124</v>
      </c>
      <c r="AM118">
        <f>intersection_ss_Lnight___surface[[#This Row],[Population totale 2024 ss]]*intersection_ss_Lnight___surface[[#This Row],[Part de la surface du qs dans le noise contour]]</f>
        <v>5.2579884922402691</v>
      </c>
    </row>
    <row r="119" spans="1:39" x14ac:dyDescent="0.3">
      <c r="A119">
        <v>131</v>
      </c>
      <c r="B119" t="s">
        <v>538</v>
      </c>
      <c r="C119" t="s">
        <v>539</v>
      </c>
      <c r="D119" t="s">
        <v>540</v>
      </c>
      <c r="E119" t="s">
        <v>540</v>
      </c>
      <c r="F119" t="s">
        <v>541</v>
      </c>
      <c r="G119" t="s">
        <v>526</v>
      </c>
      <c r="H119" t="s">
        <v>527</v>
      </c>
      <c r="I119" t="s">
        <v>528</v>
      </c>
      <c r="J119" t="s">
        <v>36</v>
      </c>
      <c r="K119">
        <v>21004</v>
      </c>
      <c r="L119" t="s">
        <v>309</v>
      </c>
      <c r="M119" t="s">
        <v>310</v>
      </c>
      <c r="N119" t="s">
        <v>311</v>
      </c>
      <c r="O119">
        <v>21000</v>
      </c>
      <c r="P119" t="s">
        <v>46</v>
      </c>
      <c r="Q119" t="s">
        <v>47</v>
      </c>
      <c r="R119" t="s">
        <v>48</v>
      </c>
      <c r="T119" t="s">
        <v>36</v>
      </c>
      <c r="U119" t="s">
        <v>36</v>
      </c>
      <c r="V119" t="s">
        <v>36</v>
      </c>
      <c r="W119">
        <v>4000</v>
      </c>
      <c r="X119" t="s">
        <v>49</v>
      </c>
      <c r="Y119" t="s">
        <v>50</v>
      </c>
      <c r="Z119" t="s">
        <v>51</v>
      </c>
      <c r="AA119" t="s">
        <v>37</v>
      </c>
      <c r="AB119" t="s">
        <v>52</v>
      </c>
      <c r="AC119" t="s">
        <v>53</v>
      </c>
      <c r="AD119" t="s">
        <v>54</v>
      </c>
      <c r="AE119">
        <v>23.181983373600001</v>
      </c>
      <c r="AF119">
        <v>2271</v>
      </c>
      <c r="AG119">
        <v>2271.0076668500001</v>
      </c>
      <c r="AH119">
        <v>231823.56047</v>
      </c>
      <c r="AI119">
        <v>45</v>
      </c>
      <c r="AJ119">
        <v>41925.057542152703</v>
      </c>
      <c r="AK119" s="1">
        <f>intersection_ss_Lnight___surface[[#This Row],[surf m2 bout ss]]/intersection_ss_Lnight___surface[[#This Row],[Shape_Area]]</f>
        <v>0.18084899333421364</v>
      </c>
      <c r="AL119">
        <v>2020</v>
      </c>
      <c r="AM119">
        <f>intersection_ss_Lnight___surface[[#This Row],[Population totale 2024 ss]]*intersection_ss_Lnight___surface[[#This Row],[Part de la surface du qs dans le noise contour]]</f>
        <v>365.31496653511158</v>
      </c>
    </row>
    <row r="120" spans="1:39" x14ac:dyDescent="0.3">
      <c r="A120">
        <v>132</v>
      </c>
      <c r="B120" t="s">
        <v>538</v>
      </c>
      <c r="C120" t="s">
        <v>539</v>
      </c>
      <c r="D120" t="s">
        <v>540</v>
      </c>
      <c r="E120" t="s">
        <v>540</v>
      </c>
      <c r="F120" t="s">
        <v>541</v>
      </c>
      <c r="G120" t="s">
        <v>526</v>
      </c>
      <c r="H120" t="s">
        <v>527</v>
      </c>
      <c r="I120" t="s">
        <v>528</v>
      </c>
      <c r="J120" t="s">
        <v>36</v>
      </c>
      <c r="K120">
        <v>21004</v>
      </c>
      <c r="L120" t="s">
        <v>309</v>
      </c>
      <c r="M120" t="s">
        <v>310</v>
      </c>
      <c r="N120" t="s">
        <v>311</v>
      </c>
      <c r="O120">
        <v>21000</v>
      </c>
      <c r="P120" t="s">
        <v>46</v>
      </c>
      <c r="Q120" t="s">
        <v>47</v>
      </c>
      <c r="R120" t="s">
        <v>48</v>
      </c>
      <c r="T120" t="s">
        <v>36</v>
      </c>
      <c r="U120" t="s">
        <v>36</v>
      </c>
      <c r="V120" t="s">
        <v>36</v>
      </c>
      <c r="W120">
        <v>4000</v>
      </c>
      <c r="X120" t="s">
        <v>49</v>
      </c>
      <c r="Y120" t="s">
        <v>50</v>
      </c>
      <c r="Z120" t="s">
        <v>51</v>
      </c>
      <c r="AA120" t="s">
        <v>37</v>
      </c>
      <c r="AB120" t="s">
        <v>52</v>
      </c>
      <c r="AC120" t="s">
        <v>53</v>
      </c>
      <c r="AD120" t="s">
        <v>54</v>
      </c>
      <c r="AE120">
        <v>23.181983373600001</v>
      </c>
      <c r="AF120">
        <v>2271</v>
      </c>
      <c r="AG120">
        <v>2271.0076668500001</v>
      </c>
      <c r="AH120">
        <v>231823.56047</v>
      </c>
      <c r="AI120">
        <v>46</v>
      </c>
      <c r="AJ120">
        <v>172202.30479441199</v>
      </c>
      <c r="AK120" s="1">
        <f>intersection_ss_Lnight___surface[[#This Row],[surf m2 bout ss]]/intersection_ss_Lnight___surface[[#This Row],[Shape_Area]]</f>
        <v>0.74281623681945164</v>
      </c>
      <c r="AL120">
        <v>2020</v>
      </c>
      <c r="AM120">
        <f>intersection_ss_Lnight___surface[[#This Row],[Population totale 2024 ss]]*intersection_ss_Lnight___surface[[#This Row],[Part de la surface du qs dans le noise contour]]</f>
        <v>1500.4887983752924</v>
      </c>
    </row>
    <row r="121" spans="1:39" x14ac:dyDescent="0.3">
      <c r="A121">
        <v>133</v>
      </c>
      <c r="B121" t="s">
        <v>538</v>
      </c>
      <c r="C121" t="s">
        <v>539</v>
      </c>
      <c r="D121" t="s">
        <v>540</v>
      </c>
      <c r="E121" t="s">
        <v>540</v>
      </c>
      <c r="F121" t="s">
        <v>541</v>
      </c>
      <c r="G121" t="s">
        <v>526</v>
      </c>
      <c r="H121" t="s">
        <v>527</v>
      </c>
      <c r="I121" t="s">
        <v>528</v>
      </c>
      <c r="J121" t="s">
        <v>36</v>
      </c>
      <c r="K121">
        <v>21004</v>
      </c>
      <c r="L121" t="s">
        <v>309</v>
      </c>
      <c r="M121" t="s">
        <v>310</v>
      </c>
      <c r="N121" t="s">
        <v>311</v>
      </c>
      <c r="O121">
        <v>21000</v>
      </c>
      <c r="P121" t="s">
        <v>46</v>
      </c>
      <c r="Q121" t="s">
        <v>47</v>
      </c>
      <c r="R121" t="s">
        <v>48</v>
      </c>
      <c r="T121" t="s">
        <v>36</v>
      </c>
      <c r="U121" t="s">
        <v>36</v>
      </c>
      <c r="V121" t="s">
        <v>36</v>
      </c>
      <c r="W121">
        <v>4000</v>
      </c>
      <c r="X121" t="s">
        <v>49</v>
      </c>
      <c r="Y121" t="s">
        <v>50</v>
      </c>
      <c r="Z121" t="s">
        <v>51</v>
      </c>
      <c r="AA121" t="s">
        <v>37</v>
      </c>
      <c r="AB121" t="s">
        <v>52</v>
      </c>
      <c r="AC121" t="s">
        <v>53</v>
      </c>
      <c r="AD121" t="s">
        <v>54</v>
      </c>
      <c r="AE121">
        <v>23.181983373600001</v>
      </c>
      <c r="AF121">
        <v>2271</v>
      </c>
      <c r="AG121">
        <v>2271.0076668500001</v>
      </c>
      <c r="AH121">
        <v>231823.56047</v>
      </c>
      <c r="AI121">
        <v>47</v>
      </c>
      <c r="AJ121">
        <v>17716.426223842001</v>
      </c>
      <c r="AK121" s="1">
        <f>intersection_ss_Lnight___surface[[#This Row],[surf m2 bout ss]]/intersection_ss_Lnight___surface[[#This Row],[Shape_Area]]</f>
        <v>7.642202625101456E-2</v>
      </c>
      <c r="AL121">
        <v>2020</v>
      </c>
      <c r="AM121">
        <f>intersection_ss_Lnight___surface[[#This Row],[Population totale 2024 ss]]*intersection_ss_Lnight___surface[[#This Row],[Part de la surface du qs dans le noise contour]]</f>
        <v>154.37249302704942</v>
      </c>
    </row>
    <row r="122" spans="1:39" x14ac:dyDescent="0.3">
      <c r="A122">
        <v>134</v>
      </c>
      <c r="B122" t="s">
        <v>542</v>
      </c>
      <c r="C122" t="s">
        <v>543</v>
      </c>
      <c r="D122" t="s">
        <v>544</v>
      </c>
      <c r="E122" t="s">
        <v>544</v>
      </c>
      <c r="F122" t="s">
        <v>541</v>
      </c>
      <c r="G122" t="s">
        <v>526</v>
      </c>
      <c r="H122" t="s">
        <v>527</v>
      </c>
      <c r="I122" t="s">
        <v>528</v>
      </c>
      <c r="J122" t="s">
        <v>36</v>
      </c>
      <c r="K122">
        <v>21004</v>
      </c>
      <c r="L122" t="s">
        <v>309</v>
      </c>
      <c r="M122" t="s">
        <v>310</v>
      </c>
      <c r="N122" t="s">
        <v>311</v>
      </c>
      <c r="O122">
        <v>21000</v>
      </c>
      <c r="P122" t="s">
        <v>46</v>
      </c>
      <c r="Q122" t="s">
        <v>47</v>
      </c>
      <c r="R122" t="s">
        <v>48</v>
      </c>
      <c r="T122" t="s">
        <v>36</v>
      </c>
      <c r="U122" t="s">
        <v>36</v>
      </c>
      <c r="V122" t="s">
        <v>36</v>
      </c>
      <c r="W122">
        <v>4000</v>
      </c>
      <c r="X122" t="s">
        <v>49</v>
      </c>
      <c r="Y122" t="s">
        <v>50</v>
      </c>
      <c r="Z122" t="s">
        <v>51</v>
      </c>
      <c r="AA122" t="s">
        <v>37</v>
      </c>
      <c r="AB122" t="s">
        <v>52</v>
      </c>
      <c r="AC122" t="s">
        <v>53</v>
      </c>
      <c r="AD122" t="s">
        <v>54</v>
      </c>
      <c r="AE122">
        <v>27.3658016143</v>
      </c>
      <c r="AF122">
        <v>3339</v>
      </c>
      <c r="AG122">
        <v>3339.1430262200001</v>
      </c>
      <c r="AH122">
        <v>273662.42432699999</v>
      </c>
      <c r="AI122">
        <v>44</v>
      </c>
      <c r="AJ122">
        <v>37649.725793160098</v>
      </c>
      <c r="AK122" s="1">
        <f>intersection_ss_Lnight___surface[[#This Row],[surf m2 bout ss]]/intersection_ss_Lnight___surface[[#This Row],[Shape_Area]]</f>
        <v>0.13757725740298324</v>
      </c>
      <c r="AL122">
        <v>2889</v>
      </c>
      <c r="AM122">
        <f>intersection_ss_Lnight___surface[[#This Row],[Population totale 2024 ss]]*intersection_ss_Lnight___surface[[#This Row],[Part de la surface du qs dans le noise contour]]</f>
        <v>397.46069663721858</v>
      </c>
    </row>
    <row r="123" spans="1:39" x14ac:dyDescent="0.3">
      <c r="A123">
        <v>135</v>
      </c>
      <c r="B123" t="s">
        <v>542</v>
      </c>
      <c r="C123" t="s">
        <v>543</v>
      </c>
      <c r="D123" t="s">
        <v>544</v>
      </c>
      <c r="E123" t="s">
        <v>544</v>
      </c>
      <c r="F123" t="s">
        <v>541</v>
      </c>
      <c r="G123" t="s">
        <v>526</v>
      </c>
      <c r="H123" t="s">
        <v>527</v>
      </c>
      <c r="I123" t="s">
        <v>528</v>
      </c>
      <c r="J123" t="s">
        <v>36</v>
      </c>
      <c r="K123">
        <v>21004</v>
      </c>
      <c r="L123" t="s">
        <v>309</v>
      </c>
      <c r="M123" t="s">
        <v>310</v>
      </c>
      <c r="N123" t="s">
        <v>311</v>
      </c>
      <c r="O123">
        <v>21000</v>
      </c>
      <c r="P123" t="s">
        <v>46</v>
      </c>
      <c r="Q123" t="s">
        <v>47</v>
      </c>
      <c r="R123" t="s">
        <v>48</v>
      </c>
      <c r="T123" t="s">
        <v>36</v>
      </c>
      <c r="U123" t="s">
        <v>36</v>
      </c>
      <c r="V123" t="s">
        <v>36</v>
      </c>
      <c r="W123">
        <v>4000</v>
      </c>
      <c r="X123" t="s">
        <v>49</v>
      </c>
      <c r="Y123" t="s">
        <v>50</v>
      </c>
      <c r="Z123" t="s">
        <v>51</v>
      </c>
      <c r="AA123" t="s">
        <v>37</v>
      </c>
      <c r="AB123" t="s">
        <v>52</v>
      </c>
      <c r="AC123" t="s">
        <v>53</v>
      </c>
      <c r="AD123" t="s">
        <v>54</v>
      </c>
      <c r="AE123">
        <v>27.3658016143</v>
      </c>
      <c r="AF123">
        <v>3339</v>
      </c>
      <c r="AG123">
        <v>3339.1430262200001</v>
      </c>
      <c r="AH123">
        <v>273662.42432699999</v>
      </c>
      <c r="AI123">
        <v>45</v>
      </c>
      <c r="AJ123">
        <v>113865.93399036099</v>
      </c>
      <c r="AK123" s="1">
        <f>intersection_ss_Lnight___surface[[#This Row],[surf m2 bout ss]]/intersection_ss_Lnight___surface[[#This Row],[Shape_Area]]</f>
        <v>0.41608172649344899</v>
      </c>
      <c r="AL123">
        <v>2889</v>
      </c>
      <c r="AM123">
        <f>intersection_ss_Lnight___surface[[#This Row],[Population totale 2024 ss]]*intersection_ss_Lnight___surface[[#This Row],[Part de la surface du qs dans le noise contour]]</f>
        <v>1202.0601078395741</v>
      </c>
    </row>
    <row r="124" spans="1:39" x14ac:dyDescent="0.3">
      <c r="A124">
        <v>136</v>
      </c>
      <c r="B124" t="s">
        <v>542</v>
      </c>
      <c r="C124" t="s">
        <v>543</v>
      </c>
      <c r="D124" t="s">
        <v>544</v>
      </c>
      <c r="E124" t="s">
        <v>544</v>
      </c>
      <c r="F124" t="s">
        <v>541</v>
      </c>
      <c r="G124" t="s">
        <v>526</v>
      </c>
      <c r="H124" t="s">
        <v>527</v>
      </c>
      <c r="I124" t="s">
        <v>528</v>
      </c>
      <c r="J124" t="s">
        <v>36</v>
      </c>
      <c r="K124">
        <v>21004</v>
      </c>
      <c r="L124" t="s">
        <v>309</v>
      </c>
      <c r="M124" t="s">
        <v>310</v>
      </c>
      <c r="N124" t="s">
        <v>311</v>
      </c>
      <c r="O124">
        <v>21000</v>
      </c>
      <c r="P124" t="s">
        <v>46</v>
      </c>
      <c r="Q124" t="s">
        <v>47</v>
      </c>
      <c r="R124" t="s">
        <v>48</v>
      </c>
      <c r="T124" t="s">
        <v>36</v>
      </c>
      <c r="U124" t="s">
        <v>36</v>
      </c>
      <c r="V124" t="s">
        <v>36</v>
      </c>
      <c r="W124">
        <v>4000</v>
      </c>
      <c r="X124" t="s">
        <v>49</v>
      </c>
      <c r="Y124" t="s">
        <v>50</v>
      </c>
      <c r="Z124" t="s">
        <v>51</v>
      </c>
      <c r="AA124" t="s">
        <v>37</v>
      </c>
      <c r="AB124" t="s">
        <v>52</v>
      </c>
      <c r="AC124" t="s">
        <v>53</v>
      </c>
      <c r="AD124" t="s">
        <v>54</v>
      </c>
      <c r="AE124">
        <v>27.3658016143</v>
      </c>
      <c r="AF124">
        <v>3339</v>
      </c>
      <c r="AG124">
        <v>3339.1430262200001</v>
      </c>
      <c r="AH124">
        <v>273662.42432699999</v>
      </c>
      <c r="AI124">
        <v>46</v>
      </c>
      <c r="AJ124">
        <v>98131.596093137603</v>
      </c>
      <c r="AK124" s="1">
        <f>intersection_ss_Lnight___surface[[#This Row],[surf m2 bout ss]]/intersection_ss_Lnight___surface[[#This Row],[Shape_Area]]</f>
        <v>0.3585862996517194</v>
      </c>
      <c r="AL124">
        <v>2889</v>
      </c>
      <c r="AM124">
        <f>intersection_ss_Lnight___surface[[#This Row],[Population totale 2024 ss]]*intersection_ss_Lnight___surface[[#This Row],[Part de la surface du qs dans le noise contour]]</f>
        <v>1035.9558196938174</v>
      </c>
    </row>
    <row r="125" spans="1:39" x14ac:dyDescent="0.3">
      <c r="A125">
        <v>137</v>
      </c>
      <c r="B125" t="s">
        <v>542</v>
      </c>
      <c r="C125" t="s">
        <v>543</v>
      </c>
      <c r="D125" t="s">
        <v>544</v>
      </c>
      <c r="E125" t="s">
        <v>544</v>
      </c>
      <c r="F125" t="s">
        <v>541</v>
      </c>
      <c r="G125" t="s">
        <v>526</v>
      </c>
      <c r="H125" t="s">
        <v>527</v>
      </c>
      <c r="I125" t="s">
        <v>528</v>
      </c>
      <c r="J125" t="s">
        <v>36</v>
      </c>
      <c r="K125">
        <v>21004</v>
      </c>
      <c r="L125" t="s">
        <v>309</v>
      </c>
      <c r="M125" t="s">
        <v>310</v>
      </c>
      <c r="N125" t="s">
        <v>311</v>
      </c>
      <c r="O125">
        <v>21000</v>
      </c>
      <c r="P125" t="s">
        <v>46</v>
      </c>
      <c r="Q125" t="s">
        <v>47</v>
      </c>
      <c r="R125" t="s">
        <v>48</v>
      </c>
      <c r="T125" t="s">
        <v>36</v>
      </c>
      <c r="U125" t="s">
        <v>36</v>
      </c>
      <c r="V125" t="s">
        <v>36</v>
      </c>
      <c r="W125">
        <v>4000</v>
      </c>
      <c r="X125" t="s">
        <v>49</v>
      </c>
      <c r="Y125" t="s">
        <v>50</v>
      </c>
      <c r="Z125" t="s">
        <v>51</v>
      </c>
      <c r="AA125" t="s">
        <v>37</v>
      </c>
      <c r="AB125" t="s">
        <v>52</v>
      </c>
      <c r="AC125" t="s">
        <v>53</v>
      </c>
      <c r="AD125" t="s">
        <v>54</v>
      </c>
      <c r="AE125">
        <v>27.3658016143</v>
      </c>
      <c r="AF125">
        <v>3339</v>
      </c>
      <c r="AG125">
        <v>3339.1430262200001</v>
      </c>
      <c r="AH125">
        <v>273662.42432699999</v>
      </c>
      <c r="AI125">
        <v>47</v>
      </c>
      <c r="AJ125">
        <v>24039.3510098234</v>
      </c>
      <c r="AK125" s="1">
        <f>intersection_ss_Lnight___surface[[#This Row],[surf m2 bout ss]]/intersection_ss_Lnight___surface[[#This Row],[Shape_Area]]</f>
        <v>8.7843082838068826E-2</v>
      </c>
      <c r="AL125">
        <v>2889</v>
      </c>
      <c r="AM125">
        <f>intersection_ss_Lnight___surface[[#This Row],[Population totale 2024 ss]]*intersection_ss_Lnight___surface[[#This Row],[Part de la surface du qs dans le noise contour]]</f>
        <v>253.77866631918084</v>
      </c>
    </row>
    <row r="126" spans="1:39" x14ac:dyDescent="0.3">
      <c r="A126">
        <v>138</v>
      </c>
      <c r="B126" t="s">
        <v>545</v>
      </c>
      <c r="C126" t="s">
        <v>546</v>
      </c>
      <c r="D126" t="s">
        <v>547</v>
      </c>
      <c r="E126" t="s">
        <v>547</v>
      </c>
      <c r="F126" t="s">
        <v>541</v>
      </c>
      <c r="G126" t="s">
        <v>526</v>
      </c>
      <c r="H126" t="s">
        <v>527</v>
      </c>
      <c r="I126" t="s">
        <v>528</v>
      </c>
      <c r="J126" t="s">
        <v>36</v>
      </c>
      <c r="K126">
        <v>21004</v>
      </c>
      <c r="L126" t="s">
        <v>309</v>
      </c>
      <c r="M126" t="s">
        <v>310</v>
      </c>
      <c r="N126" t="s">
        <v>311</v>
      </c>
      <c r="O126">
        <v>21000</v>
      </c>
      <c r="P126" t="s">
        <v>46</v>
      </c>
      <c r="Q126" t="s">
        <v>47</v>
      </c>
      <c r="R126" t="s">
        <v>48</v>
      </c>
      <c r="T126" t="s">
        <v>36</v>
      </c>
      <c r="U126" t="s">
        <v>36</v>
      </c>
      <c r="V126" t="s">
        <v>36</v>
      </c>
      <c r="W126">
        <v>4000</v>
      </c>
      <c r="X126" t="s">
        <v>49</v>
      </c>
      <c r="Y126" t="s">
        <v>50</v>
      </c>
      <c r="Z126" t="s">
        <v>51</v>
      </c>
      <c r="AA126" t="s">
        <v>37</v>
      </c>
      <c r="AB126" t="s">
        <v>52</v>
      </c>
      <c r="AC126" t="s">
        <v>53</v>
      </c>
      <c r="AD126" t="s">
        <v>54</v>
      </c>
      <c r="AE126">
        <v>32.753964714799999</v>
      </c>
      <c r="AF126">
        <v>2571</v>
      </c>
      <c r="AG126">
        <v>2571.1325381000001</v>
      </c>
      <c r="AH126">
        <v>327544.93398999999</v>
      </c>
      <c r="AI126">
        <v>44</v>
      </c>
      <c r="AJ126">
        <v>146040.824420483</v>
      </c>
      <c r="AK126" s="1">
        <f>intersection_ss_Lnight___surface[[#This Row],[surf m2 bout ss]]/intersection_ss_Lnight___surface[[#This Row],[Shape_Area]]</f>
        <v>0.44586500740976703</v>
      </c>
      <c r="AL126">
        <v>3217</v>
      </c>
      <c r="AM126">
        <f>intersection_ss_Lnight___surface[[#This Row],[Population totale 2024 ss]]*intersection_ss_Lnight___surface[[#This Row],[Part de la surface du qs dans le noise contour]]</f>
        <v>1434.3477288372205</v>
      </c>
    </row>
    <row r="127" spans="1:39" x14ac:dyDescent="0.3">
      <c r="A127">
        <v>139</v>
      </c>
      <c r="B127" t="s">
        <v>545</v>
      </c>
      <c r="C127" t="s">
        <v>546</v>
      </c>
      <c r="D127" t="s">
        <v>547</v>
      </c>
      <c r="E127" t="s">
        <v>547</v>
      </c>
      <c r="F127" t="s">
        <v>541</v>
      </c>
      <c r="G127" t="s">
        <v>526</v>
      </c>
      <c r="H127" t="s">
        <v>527</v>
      </c>
      <c r="I127" t="s">
        <v>528</v>
      </c>
      <c r="J127" t="s">
        <v>36</v>
      </c>
      <c r="K127">
        <v>21004</v>
      </c>
      <c r="L127" t="s">
        <v>309</v>
      </c>
      <c r="M127" t="s">
        <v>310</v>
      </c>
      <c r="N127" t="s">
        <v>311</v>
      </c>
      <c r="O127">
        <v>21000</v>
      </c>
      <c r="P127" t="s">
        <v>46</v>
      </c>
      <c r="Q127" t="s">
        <v>47</v>
      </c>
      <c r="R127" t="s">
        <v>48</v>
      </c>
      <c r="T127" t="s">
        <v>36</v>
      </c>
      <c r="U127" t="s">
        <v>36</v>
      </c>
      <c r="V127" t="s">
        <v>36</v>
      </c>
      <c r="W127">
        <v>4000</v>
      </c>
      <c r="X127" t="s">
        <v>49</v>
      </c>
      <c r="Y127" t="s">
        <v>50</v>
      </c>
      <c r="Z127" t="s">
        <v>51</v>
      </c>
      <c r="AA127" t="s">
        <v>37</v>
      </c>
      <c r="AB127" t="s">
        <v>52</v>
      </c>
      <c r="AC127" t="s">
        <v>53</v>
      </c>
      <c r="AD127" t="s">
        <v>54</v>
      </c>
      <c r="AE127">
        <v>32.753964714799999</v>
      </c>
      <c r="AF127">
        <v>2571</v>
      </c>
      <c r="AG127">
        <v>2571.1325381000001</v>
      </c>
      <c r="AH127">
        <v>327544.93398999999</v>
      </c>
      <c r="AI127">
        <v>45</v>
      </c>
      <c r="AJ127">
        <v>181532.97304576301</v>
      </c>
      <c r="AK127" s="1">
        <f>intersection_ss_Lnight___surface[[#This Row],[surf m2 bout ss]]/intersection_ss_Lnight___surface[[#This Row],[Shape_Area]]</f>
        <v>0.55422311325170803</v>
      </c>
      <c r="AL127">
        <v>3217</v>
      </c>
      <c r="AM127">
        <f>intersection_ss_Lnight___surface[[#This Row],[Population totale 2024 ss]]*intersection_ss_Lnight___surface[[#This Row],[Part de la surface du qs dans le noise contour]]</f>
        <v>1782.9357553307448</v>
      </c>
    </row>
    <row r="128" spans="1:39" x14ac:dyDescent="0.3">
      <c r="A128">
        <v>140</v>
      </c>
      <c r="B128" t="s">
        <v>548</v>
      </c>
      <c r="C128" t="s">
        <v>549</v>
      </c>
      <c r="D128" t="s">
        <v>550</v>
      </c>
      <c r="E128" t="s">
        <v>550</v>
      </c>
      <c r="F128" t="s">
        <v>541</v>
      </c>
      <c r="G128" t="s">
        <v>526</v>
      </c>
      <c r="H128" t="s">
        <v>527</v>
      </c>
      <c r="I128" t="s">
        <v>528</v>
      </c>
      <c r="J128" t="s">
        <v>36</v>
      </c>
      <c r="K128">
        <v>21004</v>
      </c>
      <c r="L128" t="s">
        <v>309</v>
      </c>
      <c r="M128" t="s">
        <v>310</v>
      </c>
      <c r="N128" t="s">
        <v>311</v>
      </c>
      <c r="O128">
        <v>21000</v>
      </c>
      <c r="P128" t="s">
        <v>46</v>
      </c>
      <c r="Q128" t="s">
        <v>47</v>
      </c>
      <c r="R128" t="s">
        <v>48</v>
      </c>
      <c r="T128" t="s">
        <v>36</v>
      </c>
      <c r="U128" t="s">
        <v>36</v>
      </c>
      <c r="V128" t="s">
        <v>36</v>
      </c>
      <c r="W128">
        <v>4000</v>
      </c>
      <c r="X128" t="s">
        <v>49</v>
      </c>
      <c r="Y128" t="s">
        <v>50</v>
      </c>
      <c r="Z128" t="s">
        <v>51</v>
      </c>
      <c r="AA128" t="s">
        <v>37</v>
      </c>
      <c r="AB128" t="s">
        <v>52</v>
      </c>
      <c r="AC128" t="s">
        <v>53</v>
      </c>
      <c r="AD128" t="s">
        <v>54</v>
      </c>
      <c r="AE128">
        <v>9.3196796301300004</v>
      </c>
      <c r="AF128">
        <v>1251</v>
      </c>
      <c r="AG128">
        <v>1251.0944707900001</v>
      </c>
      <c r="AH128">
        <v>93198.291695699998</v>
      </c>
      <c r="AI128">
        <v>44</v>
      </c>
      <c r="AJ128">
        <v>29318.064834017299</v>
      </c>
      <c r="AK128" s="1">
        <f>intersection_ss_Lnight___surface[[#This Row],[surf m2 bout ss]]/intersection_ss_Lnight___surface[[#This Row],[Shape_Area]]</f>
        <v>0.31457727712159322</v>
      </c>
      <c r="AL128">
        <v>1929</v>
      </c>
      <c r="AM128">
        <f>intersection_ss_Lnight___surface[[#This Row],[Population totale 2024 ss]]*intersection_ss_Lnight___surface[[#This Row],[Part de la surface du qs dans le noise contour]]</f>
        <v>606.81956756755335</v>
      </c>
    </row>
    <row r="129" spans="1:39" x14ac:dyDescent="0.3">
      <c r="A129">
        <v>141</v>
      </c>
      <c r="B129" t="s">
        <v>548</v>
      </c>
      <c r="C129" t="s">
        <v>549</v>
      </c>
      <c r="D129" t="s">
        <v>550</v>
      </c>
      <c r="E129" t="s">
        <v>550</v>
      </c>
      <c r="F129" t="s">
        <v>541</v>
      </c>
      <c r="G129" t="s">
        <v>526</v>
      </c>
      <c r="H129" t="s">
        <v>527</v>
      </c>
      <c r="I129" t="s">
        <v>528</v>
      </c>
      <c r="J129" t="s">
        <v>36</v>
      </c>
      <c r="K129">
        <v>21004</v>
      </c>
      <c r="L129" t="s">
        <v>309</v>
      </c>
      <c r="M129" t="s">
        <v>310</v>
      </c>
      <c r="N129" t="s">
        <v>311</v>
      </c>
      <c r="O129">
        <v>21000</v>
      </c>
      <c r="P129" t="s">
        <v>46</v>
      </c>
      <c r="Q129" t="s">
        <v>47</v>
      </c>
      <c r="R129" t="s">
        <v>48</v>
      </c>
      <c r="T129" t="s">
        <v>36</v>
      </c>
      <c r="U129" t="s">
        <v>36</v>
      </c>
      <c r="V129" t="s">
        <v>36</v>
      </c>
      <c r="W129">
        <v>4000</v>
      </c>
      <c r="X129" t="s">
        <v>49</v>
      </c>
      <c r="Y129" t="s">
        <v>50</v>
      </c>
      <c r="Z129" t="s">
        <v>51</v>
      </c>
      <c r="AA129" t="s">
        <v>37</v>
      </c>
      <c r="AB129" t="s">
        <v>52</v>
      </c>
      <c r="AC129" t="s">
        <v>53</v>
      </c>
      <c r="AD129" t="s">
        <v>54</v>
      </c>
      <c r="AE129">
        <v>9.3196796301300004</v>
      </c>
      <c r="AF129">
        <v>1251</v>
      </c>
      <c r="AG129">
        <v>1251.0944707900001</v>
      </c>
      <c r="AH129">
        <v>93198.291695699998</v>
      </c>
      <c r="AI129">
        <v>45</v>
      </c>
      <c r="AJ129">
        <v>63888.366345568596</v>
      </c>
      <c r="AK129" s="1">
        <f>intersection_ss_Lnight___surface[[#This Row],[surf m2 bout ss]]/intersection_ss_Lnight___surface[[#This Row],[Shape_Area]]</f>
        <v>0.68551005799730014</v>
      </c>
      <c r="AL129">
        <v>1929</v>
      </c>
      <c r="AM129">
        <f>intersection_ss_Lnight___surface[[#This Row],[Population totale 2024 ss]]*intersection_ss_Lnight___surface[[#This Row],[Part de la surface du qs dans le noise contour]]</f>
        <v>1322.3489018767921</v>
      </c>
    </row>
    <row r="130" spans="1:39" x14ac:dyDescent="0.3">
      <c r="A130">
        <v>142</v>
      </c>
      <c r="B130" t="s">
        <v>551</v>
      </c>
      <c r="C130" t="s">
        <v>552</v>
      </c>
      <c r="D130" t="s">
        <v>553</v>
      </c>
      <c r="E130" t="s">
        <v>553</v>
      </c>
      <c r="F130" t="s">
        <v>541</v>
      </c>
      <c r="G130" t="s">
        <v>526</v>
      </c>
      <c r="H130" t="s">
        <v>527</v>
      </c>
      <c r="I130" t="s">
        <v>528</v>
      </c>
      <c r="J130" t="s">
        <v>36</v>
      </c>
      <c r="K130">
        <v>21004</v>
      </c>
      <c r="L130" t="s">
        <v>309</v>
      </c>
      <c r="M130" t="s">
        <v>310</v>
      </c>
      <c r="N130" t="s">
        <v>311</v>
      </c>
      <c r="O130">
        <v>21000</v>
      </c>
      <c r="P130" t="s">
        <v>46</v>
      </c>
      <c r="Q130" t="s">
        <v>47</v>
      </c>
      <c r="R130" t="s">
        <v>48</v>
      </c>
      <c r="T130" t="s">
        <v>36</v>
      </c>
      <c r="U130" t="s">
        <v>36</v>
      </c>
      <c r="V130" t="s">
        <v>36</v>
      </c>
      <c r="W130">
        <v>4000</v>
      </c>
      <c r="X130" t="s">
        <v>49</v>
      </c>
      <c r="Y130" t="s">
        <v>50</v>
      </c>
      <c r="Z130" t="s">
        <v>51</v>
      </c>
      <c r="AA130" t="s">
        <v>37</v>
      </c>
      <c r="AB130" t="s">
        <v>52</v>
      </c>
      <c r="AC130" t="s">
        <v>53</v>
      </c>
      <c r="AD130" t="s">
        <v>54</v>
      </c>
      <c r="AE130">
        <v>19.444461178899999</v>
      </c>
      <c r="AF130">
        <v>2502</v>
      </c>
      <c r="AG130">
        <v>2501.9184823000001</v>
      </c>
      <c r="AH130">
        <v>194447.75521500001</v>
      </c>
      <c r="AI130">
        <v>45</v>
      </c>
      <c r="AJ130">
        <v>22929.728755525499</v>
      </c>
      <c r="AK130" s="1">
        <f>intersection_ss_Lnight___surface[[#This Row],[surf m2 bout ss]]/intersection_ss_Lnight___surface[[#This Row],[Shape_Area]]</f>
        <v>0.11792231147215972</v>
      </c>
      <c r="AL130">
        <v>785</v>
      </c>
      <c r="AM130">
        <f>intersection_ss_Lnight___surface[[#This Row],[Population totale 2024 ss]]*intersection_ss_Lnight___surface[[#This Row],[Part de la surface du qs dans le noise contour]]</f>
        <v>92.56901450564537</v>
      </c>
    </row>
    <row r="131" spans="1:39" x14ac:dyDescent="0.3">
      <c r="A131">
        <v>143</v>
      </c>
      <c r="B131" t="s">
        <v>551</v>
      </c>
      <c r="C131" t="s">
        <v>552</v>
      </c>
      <c r="D131" t="s">
        <v>553</v>
      </c>
      <c r="E131" t="s">
        <v>553</v>
      </c>
      <c r="F131" t="s">
        <v>541</v>
      </c>
      <c r="G131" t="s">
        <v>526</v>
      </c>
      <c r="H131" t="s">
        <v>527</v>
      </c>
      <c r="I131" t="s">
        <v>528</v>
      </c>
      <c r="J131" t="s">
        <v>36</v>
      </c>
      <c r="K131">
        <v>21004</v>
      </c>
      <c r="L131" t="s">
        <v>309</v>
      </c>
      <c r="M131" t="s">
        <v>310</v>
      </c>
      <c r="N131" t="s">
        <v>311</v>
      </c>
      <c r="O131">
        <v>21000</v>
      </c>
      <c r="P131" t="s">
        <v>46</v>
      </c>
      <c r="Q131" t="s">
        <v>47</v>
      </c>
      <c r="R131" t="s">
        <v>48</v>
      </c>
      <c r="T131" t="s">
        <v>36</v>
      </c>
      <c r="U131" t="s">
        <v>36</v>
      </c>
      <c r="V131" t="s">
        <v>36</v>
      </c>
      <c r="W131">
        <v>4000</v>
      </c>
      <c r="X131" t="s">
        <v>49</v>
      </c>
      <c r="Y131" t="s">
        <v>50</v>
      </c>
      <c r="Z131" t="s">
        <v>51</v>
      </c>
      <c r="AA131" t="s">
        <v>37</v>
      </c>
      <c r="AB131" t="s">
        <v>52</v>
      </c>
      <c r="AC131" t="s">
        <v>53</v>
      </c>
      <c r="AD131" t="s">
        <v>54</v>
      </c>
      <c r="AE131">
        <v>19.444461178899999</v>
      </c>
      <c r="AF131">
        <v>2502</v>
      </c>
      <c r="AG131">
        <v>2501.9184823000001</v>
      </c>
      <c r="AH131">
        <v>194447.75521500001</v>
      </c>
      <c r="AI131">
        <v>46</v>
      </c>
      <c r="AJ131">
        <v>92156.349341890993</v>
      </c>
      <c r="AK131" s="1">
        <f>intersection_ss_Lnight___surface[[#This Row],[surf m2 bout ss]]/intersection_ss_Lnight___surface[[#This Row],[Shape_Area]]</f>
        <v>0.47393886980075511</v>
      </c>
      <c r="AL131">
        <v>785</v>
      </c>
      <c r="AM131">
        <f>intersection_ss_Lnight___surface[[#This Row],[Population totale 2024 ss]]*intersection_ss_Lnight___surface[[#This Row],[Part de la surface du qs dans le noise contour]]</f>
        <v>372.04201279359279</v>
      </c>
    </row>
    <row r="132" spans="1:39" x14ac:dyDescent="0.3">
      <c r="A132">
        <v>144</v>
      </c>
      <c r="B132" t="s">
        <v>551</v>
      </c>
      <c r="C132" t="s">
        <v>552</v>
      </c>
      <c r="D132" t="s">
        <v>553</v>
      </c>
      <c r="E132" t="s">
        <v>553</v>
      </c>
      <c r="F132" t="s">
        <v>541</v>
      </c>
      <c r="G132" t="s">
        <v>526</v>
      </c>
      <c r="H132" t="s">
        <v>527</v>
      </c>
      <c r="I132" t="s">
        <v>528</v>
      </c>
      <c r="J132" t="s">
        <v>36</v>
      </c>
      <c r="K132">
        <v>21004</v>
      </c>
      <c r="L132" t="s">
        <v>309</v>
      </c>
      <c r="M132" t="s">
        <v>310</v>
      </c>
      <c r="N132" t="s">
        <v>311</v>
      </c>
      <c r="O132">
        <v>21000</v>
      </c>
      <c r="P132" t="s">
        <v>46</v>
      </c>
      <c r="Q132" t="s">
        <v>47</v>
      </c>
      <c r="R132" t="s">
        <v>48</v>
      </c>
      <c r="T132" t="s">
        <v>36</v>
      </c>
      <c r="U132" t="s">
        <v>36</v>
      </c>
      <c r="V132" t="s">
        <v>36</v>
      </c>
      <c r="W132">
        <v>4000</v>
      </c>
      <c r="X132" t="s">
        <v>49</v>
      </c>
      <c r="Y132" t="s">
        <v>50</v>
      </c>
      <c r="Z132" t="s">
        <v>51</v>
      </c>
      <c r="AA132" t="s">
        <v>37</v>
      </c>
      <c r="AB132" t="s">
        <v>52</v>
      </c>
      <c r="AC132" t="s">
        <v>53</v>
      </c>
      <c r="AD132" t="s">
        <v>54</v>
      </c>
      <c r="AE132">
        <v>19.444461178899999</v>
      </c>
      <c r="AF132">
        <v>2502</v>
      </c>
      <c r="AG132">
        <v>2501.9184823000001</v>
      </c>
      <c r="AH132">
        <v>194447.75521500001</v>
      </c>
      <c r="AI132">
        <v>47</v>
      </c>
      <c r="AJ132">
        <v>74539.413863138107</v>
      </c>
      <c r="AK132" s="1">
        <f>intersection_ss_Lnight___surface[[#This Row],[surf m2 bout ss]]/intersection_ss_Lnight___surface[[#This Row],[Shape_Area]]</f>
        <v>0.3833390299657623</v>
      </c>
      <c r="AL132">
        <v>785</v>
      </c>
      <c r="AM132">
        <f>intersection_ss_Lnight___surface[[#This Row],[Population totale 2024 ss]]*intersection_ss_Lnight___surface[[#This Row],[Part de la surface du qs dans le noise contour]]</f>
        <v>300.92113852312343</v>
      </c>
    </row>
    <row r="133" spans="1:39" x14ac:dyDescent="0.3">
      <c r="A133">
        <v>145</v>
      </c>
      <c r="B133" t="s">
        <v>551</v>
      </c>
      <c r="C133" t="s">
        <v>552</v>
      </c>
      <c r="D133" t="s">
        <v>553</v>
      </c>
      <c r="E133" t="s">
        <v>553</v>
      </c>
      <c r="F133" t="s">
        <v>541</v>
      </c>
      <c r="G133" t="s">
        <v>526</v>
      </c>
      <c r="H133" t="s">
        <v>527</v>
      </c>
      <c r="I133" t="s">
        <v>528</v>
      </c>
      <c r="J133" t="s">
        <v>36</v>
      </c>
      <c r="K133">
        <v>21004</v>
      </c>
      <c r="L133" t="s">
        <v>309</v>
      </c>
      <c r="M133" t="s">
        <v>310</v>
      </c>
      <c r="N133" t="s">
        <v>311</v>
      </c>
      <c r="O133">
        <v>21000</v>
      </c>
      <c r="P133" t="s">
        <v>46</v>
      </c>
      <c r="Q133" t="s">
        <v>47</v>
      </c>
      <c r="R133" t="s">
        <v>48</v>
      </c>
      <c r="T133" t="s">
        <v>36</v>
      </c>
      <c r="U133" t="s">
        <v>36</v>
      </c>
      <c r="V133" t="s">
        <v>36</v>
      </c>
      <c r="W133">
        <v>4000</v>
      </c>
      <c r="X133" t="s">
        <v>49</v>
      </c>
      <c r="Y133" t="s">
        <v>50</v>
      </c>
      <c r="Z133" t="s">
        <v>51</v>
      </c>
      <c r="AA133" t="s">
        <v>37</v>
      </c>
      <c r="AB133" t="s">
        <v>52</v>
      </c>
      <c r="AC133" t="s">
        <v>53</v>
      </c>
      <c r="AD133" t="s">
        <v>54</v>
      </c>
      <c r="AE133">
        <v>19.444461178899999</v>
      </c>
      <c r="AF133">
        <v>2502</v>
      </c>
      <c r="AG133">
        <v>2501.9184823000001</v>
      </c>
      <c r="AH133">
        <v>194447.75521500001</v>
      </c>
      <c r="AI133">
        <v>48</v>
      </c>
      <c r="AJ133">
        <v>4839.0834125410802</v>
      </c>
      <c r="AK133" s="1">
        <f>intersection_ss_Lnight___surface[[#This Row],[surf m2 bout ss]]/intersection_ss_Lnight___surface[[#This Row],[Shape_Area]]</f>
        <v>2.488629095867179E-2</v>
      </c>
      <c r="AL133">
        <v>785</v>
      </c>
      <c r="AM133">
        <f>intersection_ss_Lnight___surface[[#This Row],[Population totale 2024 ss]]*intersection_ss_Lnight___surface[[#This Row],[Part de la surface du qs dans le noise contour]]</f>
        <v>19.535738402557357</v>
      </c>
    </row>
    <row r="134" spans="1:39" x14ac:dyDescent="0.3">
      <c r="A134">
        <v>146</v>
      </c>
      <c r="B134" t="s">
        <v>554</v>
      </c>
      <c r="C134" t="s">
        <v>555</v>
      </c>
      <c r="D134" t="s">
        <v>556</v>
      </c>
      <c r="E134" t="s">
        <v>556</v>
      </c>
      <c r="F134" t="s">
        <v>541</v>
      </c>
      <c r="G134" t="s">
        <v>526</v>
      </c>
      <c r="H134" t="s">
        <v>527</v>
      </c>
      <c r="I134" t="s">
        <v>528</v>
      </c>
      <c r="J134" t="s">
        <v>36</v>
      </c>
      <c r="K134">
        <v>21004</v>
      </c>
      <c r="L134" t="s">
        <v>309</v>
      </c>
      <c r="M134" t="s">
        <v>310</v>
      </c>
      <c r="N134" t="s">
        <v>311</v>
      </c>
      <c r="O134">
        <v>21000</v>
      </c>
      <c r="P134" t="s">
        <v>46</v>
      </c>
      <c r="Q134" t="s">
        <v>47</v>
      </c>
      <c r="R134" t="s">
        <v>48</v>
      </c>
      <c r="T134" t="s">
        <v>36</v>
      </c>
      <c r="U134" t="s">
        <v>36</v>
      </c>
      <c r="V134" t="s">
        <v>36</v>
      </c>
      <c r="W134">
        <v>4000</v>
      </c>
      <c r="X134" t="s">
        <v>49</v>
      </c>
      <c r="Y134" t="s">
        <v>50</v>
      </c>
      <c r="Z134" t="s">
        <v>51</v>
      </c>
      <c r="AA134" t="s">
        <v>37</v>
      </c>
      <c r="AB134" t="s">
        <v>52</v>
      </c>
      <c r="AC134" t="s">
        <v>53</v>
      </c>
      <c r="AD134" t="s">
        <v>54</v>
      </c>
      <c r="AE134">
        <v>29.942173837599999</v>
      </c>
      <c r="AF134">
        <v>3214</v>
      </c>
      <c r="AG134">
        <v>3213.57327485</v>
      </c>
      <c r="AH134">
        <v>299426.524003</v>
      </c>
      <c r="AI134">
        <v>46</v>
      </c>
      <c r="AJ134">
        <v>20513.575900543299</v>
      </c>
      <c r="AK134" s="1">
        <f>intersection_ss_Lnight___surface[[#This Row],[surf m2 bout ss]]/intersection_ss_Lnight___surface[[#This Row],[Shape_Area]]</f>
        <v>6.8509548273478174E-2</v>
      </c>
      <c r="AL134">
        <v>2198</v>
      </c>
      <c r="AM134">
        <f>intersection_ss_Lnight___surface[[#This Row],[Population totale 2024 ss]]*intersection_ss_Lnight___surface[[#This Row],[Part de la surface du qs dans le noise contour]]</f>
        <v>150.58398710510502</v>
      </c>
    </row>
    <row r="135" spans="1:39" x14ac:dyDescent="0.3">
      <c r="A135">
        <v>147</v>
      </c>
      <c r="B135" t="s">
        <v>554</v>
      </c>
      <c r="C135" t="s">
        <v>555</v>
      </c>
      <c r="D135" t="s">
        <v>556</v>
      </c>
      <c r="E135" t="s">
        <v>556</v>
      </c>
      <c r="F135" t="s">
        <v>541</v>
      </c>
      <c r="G135" t="s">
        <v>526</v>
      </c>
      <c r="H135" t="s">
        <v>527</v>
      </c>
      <c r="I135" t="s">
        <v>528</v>
      </c>
      <c r="J135" t="s">
        <v>36</v>
      </c>
      <c r="K135">
        <v>21004</v>
      </c>
      <c r="L135" t="s">
        <v>309</v>
      </c>
      <c r="M135" t="s">
        <v>310</v>
      </c>
      <c r="N135" t="s">
        <v>311</v>
      </c>
      <c r="O135">
        <v>21000</v>
      </c>
      <c r="P135" t="s">
        <v>46</v>
      </c>
      <c r="Q135" t="s">
        <v>47</v>
      </c>
      <c r="R135" t="s">
        <v>48</v>
      </c>
      <c r="T135" t="s">
        <v>36</v>
      </c>
      <c r="U135" t="s">
        <v>36</v>
      </c>
      <c r="V135" t="s">
        <v>36</v>
      </c>
      <c r="W135">
        <v>4000</v>
      </c>
      <c r="X135" t="s">
        <v>49</v>
      </c>
      <c r="Y135" t="s">
        <v>50</v>
      </c>
      <c r="Z135" t="s">
        <v>51</v>
      </c>
      <c r="AA135" t="s">
        <v>37</v>
      </c>
      <c r="AB135" t="s">
        <v>52</v>
      </c>
      <c r="AC135" t="s">
        <v>53</v>
      </c>
      <c r="AD135" t="s">
        <v>54</v>
      </c>
      <c r="AE135">
        <v>29.942173837599999</v>
      </c>
      <c r="AF135">
        <v>3214</v>
      </c>
      <c r="AG135">
        <v>3213.57327485</v>
      </c>
      <c r="AH135">
        <v>299426.524003</v>
      </c>
      <c r="AI135">
        <v>47</v>
      </c>
      <c r="AJ135">
        <v>181101.14985876199</v>
      </c>
      <c r="AK135" s="1">
        <f>intersection_ss_Lnight___surface[[#This Row],[surf m2 bout ss]]/intersection_ss_Lnight___surface[[#This Row],[Shape_Area]]</f>
        <v>0.60482667813672886</v>
      </c>
      <c r="AL135">
        <v>2198</v>
      </c>
      <c r="AM135">
        <f>intersection_ss_Lnight___surface[[#This Row],[Population totale 2024 ss]]*intersection_ss_Lnight___surface[[#This Row],[Part de la surface du qs dans le noise contour]]</f>
        <v>1329.4090385445299</v>
      </c>
    </row>
    <row r="136" spans="1:39" x14ac:dyDescent="0.3">
      <c r="A136">
        <v>148</v>
      </c>
      <c r="B136" t="s">
        <v>554</v>
      </c>
      <c r="C136" t="s">
        <v>555</v>
      </c>
      <c r="D136" t="s">
        <v>556</v>
      </c>
      <c r="E136" t="s">
        <v>556</v>
      </c>
      <c r="F136" t="s">
        <v>541</v>
      </c>
      <c r="G136" t="s">
        <v>526</v>
      </c>
      <c r="H136" t="s">
        <v>527</v>
      </c>
      <c r="I136" t="s">
        <v>528</v>
      </c>
      <c r="J136" t="s">
        <v>36</v>
      </c>
      <c r="K136">
        <v>21004</v>
      </c>
      <c r="L136" t="s">
        <v>309</v>
      </c>
      <c r="M136" t="s">
        <v>310</v>
      </c>
      <c r="N136" t="s">
        <v>311</v>
      </c>
      <c r="O136">
        <v>21000</v>
      </c>
      <c r="P136" t="s">
        <v>46</v>
      </c>
      <c r="Q136" t="s">
        <v>47</v>
      </c>
      <c r="R136" t="s">
        <v>48</v>
      </c>
      <c r="T136" t="s">
        <v>36</v>
      </c>
      <c r="U136" t="s">
        <v>36</v>
      </c>
      <c r="V136" t="s">
        <v>36</v>
      </c>
      <c r="W136">
        <v>4000</v>
      </c>
      <c r="X136" t="s">
        <v>49</v>
      </c>
      <c r="Y136" t="s">
        <v>50</v>
      </c>
      <c r="Z136" t="s">
        <v>51</v>
      </c>
      <c r="AA136" t="s">
        <v>37</v>
      </c>
      <c r="AB136" t="s">
        <v>52</v>
      </c>
      <c r="AC136" t="s">
        <v>53</v>
      </c>
      <c r="AD136" t="s">
        <v>54</v>
      </c>
      <c r="AE136">
        <v>29.942173837599999</v>
      </c>
      <c r="AF136">
        <v>3214</v>
      </c>
      <c r="AG136">
        <v>3213.57327485</v>
      </c>
      <c r="AH136">
        <v>299426.524003</v>
      </c>
      <c r="AI136">
        <v>48</v>
      </c>
      <c r="AJ136">
        <v>92411.115999461603</v>
      </c>
      <c r="AK136" s="1">
        <f>intersection_ss_Lnight___surface[[#This Row],[surf m2 bout ss]]/intersection_ss_Lnight___surface[[#This Row],[Shape_Area]]</f>
        <v>0.30862702062605424</v>
      </c>
      <c r="AL136">
        <v>2198</v>
      </c>
      <c r="AM136">
        <f>intersection_ss_Lnight___surface[[#This Row],[Population totale 2024 ss]]*intersection_ss_Lnight___surface[[#This Row],[Part de la surface du qs dans le noise contour]]</f>
        <v>678.36219133606721</v>
      </c>
    </row>
    <row r="137" spans="1:39" x14ac:dyDescent="0.3">
      <c r="A137">
        <v>149</v>
      </c>
      <c r="B137" t="s">
        <v>554</v>
      </c>
      <c r="C137" t="s">
        <v>555</v>
      </c>
      <c r="D137" t="s">
        <v>556</v>
      </c>
      <c r="E137" t="s">
        <v>556</v>
      </c>
      <c r="F137" t="s">
        <v>541</v>
      </c>
      <c r="G137" t="s">
        <v>526</v>
      </c>
      <c r="H137" t="s">
        <v>527</v>
      </c>
      <c r="I137" t="s">
        <v>528</v>
      </c>
      <c r="J137" t="s">
        <v>36</v>
      </c>
      <c r="K137">
        <v>21004</v>
      </c>
      <c r="L137" t="s">
        <v>309</v>
      </c>
      <c r="M137" t="s">
        <v>310</v>
      </c>
      <c r="N137" t="s">
        <v>311</v>
      </c>
      <c r="O137">
        <v>21000</v>
      </c>
      <c r="P137" t="s">
        <v>46</v>
      </c>
      <c r="Q137" t="s">
        <v>47</v>
      </c>
      <c r="R137" t="s">
        <v>48</v>
      </c>
      <c r="T137" t="s">
        <v>36</v>
      </c>
      <c r="U137" t="s">
        <v>36</v>
      </c>
      <c r="V137" t="s">
        <v>36</v>
      </c>
      <c r="W137">
        <v>4000</v>
      </c>
      <c r="X137" t="s">
        <v>49</v>
      </c>
      <c r="Y137" t="s">
        <v>50</v>
      </c>
      <c r="Z137" t="s">
        <v>51</v>
      </c>
      <c r="AA137" t="s">
        <v>37</v>
      </c>
      <c r="AB137" t="s">
        <v>52</v>
      </c>
      <c r="AC137" t="s">
        <v>53</v>
      </c>
      <c r="AD137" t="s">
        <v>54</v>
      </c>
      <c r="AE137">
        <v>29.942173837599999</v>
      </c>
      <c r="AF137">
        <v>3214</v>
      </c>
      <c r="AG137">
        <v>3213.57327485</v>
      </c>
      <c r="AH137">
        <v>299426.524003</v>
      </c>
      <c r="AI137">
        <v>49</v>
      </c>
      <c r="AJ137">
        <v>5426.7574144564596</v>
      </c>
      <c r="AK137" s="1">
        <f>intersection_ss_Lnight___surface[[#This Row],[surf m2 bout ss]]/intersection_ss_Lnight___surface[[#This Row],[Shape_Area]]</f>
        <v>1.8123836665859594E-2</v>
      </c>
      <c r="AL137">
        <v>2198</v>
      </c>
      <c r="AM137">
        <f>intersection_ss_Lnight___surface[[#This Row],[Population totale 2024 ss]]*intersection_ss_Lnight___surface[[#This Row],[Part de la surface du qs dans le noise contour]]</f>
        <v>39.836192991559386</v>
      </c>
    </row>
    <row r="138" spans="1:39" x14ac:dyDescent="0.3">
      <c r="A138">
        <v>150</v>
      </c>
      <c r="B138" t="s">
        <v>557</v>
      </c>
      <c r="C138" t="s">
        <v>558</v>
      </c>
      <c r="D138" t="s">
        <v>559</v>
      </c>
      <c r="E138" t="s">
        <v>559</v>
      </c>
      <c r="F138" t="s">
        <v>541</v>
      </c>
      <c r="G138" t="s">
        <v>526</v>
      </c>
      <c r="H138" t="s">
        <v>527</v>
      </c>
      <c r="I138" t="s">
        <v>528</v>
      </c>
      <c r="J138" t="s">
        <v>36</v>
      </c>
      <c r="K138">
        <v>21004</v>
      </c>
      <c r="L138" t="s">
        <v>309</v>
      </c>
      <c r="M138" t="s">
        <v>310</v>
      </c>
      <c r="N138" t="s">
        <v>311</v>
      </c>
      <c r="O138">
        <v>21000</v>
      </c>
      <c r="P138" t="s">
        <v>46</v>
      </c>
      <c r="Q138" t="s">
        <v>47</v>
      </c>
      <c r="R138" t="s">
        <v>48</v>
      </c>
      <c r="T138" t="s">
        <v>36</v>
      </c>
      <c r="U138" t="s">
        <v>36</v>
      </c>
      <c r="V138" t="s">
        <v>36</v>
      </c>
      <c r="W138">
        <v>4000</v>
      </c>
      <c r="X138" t="s">
        <v>49</v>
      </c>
      <c r="Y138" t="s">
        <v>50</v>
      </c>
      <c r="Z138" t="s">
        <v>51</v>
      </c>
      <c r="AA138" t="s">
        <v>37</v>
      </c>
      <c r="AB138" t="s">
        <v>52</v>
      </c>
      <c r="AC138" t="s">
        <v>53</v>
      </c>
      <c r="AD138" t="s">
        <v>54</v>
      </c>
      <c r="AE138">
        <v>91.218254985900003</v>
      </c>
      <c r="AF138">
        <v>5273</v>
      </c>
      <c r="AG138">
        <v>5272.7864458399999</v>
      </c>
      <c r="AH138">
        <v>912197.23089100001</v>
      </c>
      <c r="AI138">
        <v>48</v>
      </c>
      <c r="AJ138">
        <v>102245.934084219</v>
      </c>
      <c r="AK138" s="1">
        <f>intersection_ss_Lnight___surface[[#This Row],[surf m2 bout ss]]/intersection_ss_Lnight___surface[[#This Row],[Shape_Area]]</f>
        <v>0.11208752956238313</v>
      </c>
      <c r="AL138">
        <v>210</v>
      </c>
      <c r="AM138">
        <f>intersection_ss_Lnight___surface[[#This Row],[Population totale 2024 ss]]*intersection_ss_Lnight___surface[[#This Row],[Part de la surface du qs dans le noise contour]]</f>
        <v>23.538381208100457</v>
      </c>
    </row>
    <row r="139" spans="1:39" x14ac:dyDescent="0.3">
      <c r="A139">
        <v>151</v>
      </c>
      <c r="B139" t="s">
        <v>557</v>
      </c>
      <c r="C139" t="s">
        <v>558</v>
      </c>
      <c r="D139" t="s">
        <v>559</v>
      </c>
      <c r="E139" t="s">
        <v>559</v>
      </c>
      <c r="F139" t="s">
        <v>541</v>
      </c>
      <c r="G139" t="s">
        <v>526</v>
      </c>
      <c r="H139" t="s">
        <v>527</v>
      </c>
      <c r="I139" t="s">
        <v>528</v>
      </c>
      <c r="J139" t="s">
        <v>36</v>
      </c>
      <c r="K139">
        <v>21004</v>
      </c>
      <c r="L139" t="s">
        <v>309</v>
      </c>
      <c r="M139" t="s">
        <v>310</v>
      </c>
      <c r="N139" t="s">
        <v>311</v>
      </c>
      <c r="O139">
        <v>21000</v>
      </c>
      <c r="P139" t="s">
        <v>46</v>
      </c>
      <c r="Q139" t="s">
        <v>47</v>
      </c>
      <c r="R139" t="s">
        <v>48</v>
      </c>
      <c r="T139" t="s">
        <v>36</v>
      </c>
      <c r="U139" t="s">
        <v>36</v>
      </c>
      <c r="V139" t="s">
        <v>36</v>
      </c>
      <c r="W139">
        <v>4000</v>
      </c>
      <c r="X139" t="s">
        <v>49</v>
      </c>
      <c r="Y139" t="s">
        <v>50</v>
      </c>
      <c r="Z139" t="s">
        <v>51</v>
      </c>
      <c r="AA139" t="s">
        <v>37</v>
      </c>
      <c r="AB139" t="s">
        <v>52</v>
      </c>
      <c r="AC139" t="s">
        <v>53</v>
      </c>
      <c r="AD139" t="s">
        <v>54</v>
      </c>
      <c r="AE139">
        <v>91.218254985900003</v>
      </c>
      <c r="AF139">
        <v>5273</v>
      </c>
      <c r="AG139">
        <v>5272.7864458399999</v>
      </c>
      <c r="AH139">
        <v>912197.23089100001</v>
      </c>
      <c r="AI139">
        <v>49</v>
      </c>
      <c r="AJ139">
        <v>440915.07325616502</v>
      </c>
      <c r="AK139" s="1">
        <f>intersection_ss_Lnight___surface[[#This Row],[surf m2 bout ss]]/intersection_ss_Lnight___surface[[#This Row],[Shape_Area]]</f>
        <v>0.48335497886295459</v>
      </c>
      <c r="AL139">
        <v>210</v>
      </c>
      <c r="AM139">
        <f>intersection_ss_Lnight___surface[[#This Row],[Population totale 2024 ss]]*intersection_ss_Lnight___surface[[#This Row],[Part de la surface du qs dans le noise contour]]</f>
        <v>101.50454556122047</v>
      </c>
    </row>
    <row r="140" spans="1:39" x14ac:dyDescent="0.3">
      <c r="A140">
        <v>152</v>
      </c>
      <c r="B140" t="s">
        <v>557</v>
      </c>
      <c r="C140" t="s">
        <v>558</v>
      </c>
      <c r="D140" t="s">
        <v>559</v>
      </c>
      <c r="E140" t="s">
        <v>559</v>
      </c>
      <c r="F140" t="s">
        <v>541</v>
      </c>
      <c r="G140" t="s">
        <v>526</v>
      </c>
      <c r="H140" t="s">
        <v>527</v>
      </c>
      <c r="I140" t="s">
        <v>528</v>
      </c>
      <c r="J140" t="s">
        <v>36</v>
      </c>
      <c r="K140">
        <v>21004</v>
      </c>
      <c r="L140" t="s">
        <v>309</v>
      </c>
      <c r="M140" t="s">
        <v>310</v>
      </c>
      <c r="N140" t="s">
        <v>311</v>
      </c>
      <c r="O140">
        <v>21000</v>
      </c>
      <c r="P140" t="s">
        <v>46</v>
      </c>
      <c r="Q140" t="s">
        <v>47</v>
      </c>
      <c r="R140" t="s">
        <v>48</v>
      </c>
      <c r="T140" t="s">
        <v>36</v>
      </c>
      <c r="U140" t="s">
        <v>36</v>
      </c>
      <c r="V140" t="s">
        <v>36</v>
      </c>
      <c r="W140">
        <v>4000</v>
      </c>
      <c r="X140" t="s">
        <v>49</v>
      </c>
      <c r="Y140" t="s">
        <v>50</v>
      </c>
      <c r="Z140" t="s">
        <v>51</v>
      </c>
      <c r="AA140" t="s">
        <v>37</v>
      </c>
      <c r="AB140" t="s">
        <v>52</v>
      </c>
      <c r="AC140" t="s">
        <v>53</v>
      </c>
      <c r="AD140" t="s">
        <v>54</v>
      </c>
      <c r="AE140">
        <v>91.218254985900003</v>
      </c>
      <c r="AF140">
        <v>5273</v>
      </c>
      <c r="AG140">
        <v>5272.7864458399999</v>
      </c>
      <c r="AH140">
        <v>912197.23089100001</v>
      </c>
      <c r="AI140">
        <v>50</v>
      </c>
      <c r="AJ140">
        <v>369114.01718246902</v>
      </c>
      <c r="AK140" s="1">
        <f>intersection_ss_Lnight___surface[[#This Row],[surf m2 bout ss]]/intersection_ss_Lnight___surface[[#This Row],[Shape_Area]]</f>
        <v>0.40464277316642622</v>
      </c>
      <c r="AL140">
        <v>210</v>
      </c>
      <c r="AM140">
        <f>intersection_ss_Lnight___surface[[#This Row],[Population totale 2024 ss]]*intersection_ss_Lnight___surface[[#This Row],[Part de la surface du qs dans le noise contour]]</f>
        <v>84.974982364949511</v>
      </c>
    </row>
    <row r="141" spans="1:39" x14ac:dyDescent="0.3">
      <c r="A141">
        <v>153</v>
      </c>
      <c r="B141" t="s">
        <v>560</v>
      </c>
      <c r="C141" t="s">
        <v>561</v>
      </c>
      <c r="D141" t="s">
        <v>561</v>
      </c>
      <c r="E141" t="s">
        <v>561</v>
      </c>
      <c r="F141" t="s">
        <v>541</v>
      </c>
      <c r="G141" t="s">
        <v>526</v>
      </c>
      <c r="H141" t="s">
        <v>527</v>
      </c>
      <c r="I141" t="s">
        <v>528</v>
      </c>
      <c r="J141" t="s">
        <v>36</v>
      </c>
      <c r="K141">
        <v>21004</v>
      </c>
      <c r="L141" t="s">
        <v>309</v>
      </c>
      <c r="M141" t="s">
        <v>310</v>
      </c>
      <c r="N141" t="s">
        <v>311</v>
      </c>
      <c r="O141">
        <v>21000</v>
      </c>
      <c r="P141" t="s">
        <v>46</v>
      </c>
      <c r="Q141" t="s">
        <v>47</v>
      </c>
      <c r="R141" t="s">
        <v>48</v>
      </c>
      <c r="T141" t="s">
        <v>36</v>
      </c>
      <c r="U141" t="s">
        <v>36</v>
      </c>
      <c r="V141" t="s">
        <v>36</v>
      </c>
      <c r="W141">
        <v>4000</v>
      </c>
      <c r="X141" t="s">
        <v>49</v>
      </c>
      <c r="Y141" t="s">
        <v>50</v>
      </c>
      <c r="Z141" t="s">
        <v>51</v>
      </c>
      <c r="AA141" t="s">
        <v>37</v>
      </c>
      <c r="AB141" t="s">
        <v>52</v>
      </c>
      <c r="AC141" t="s">
        <v>53</v>
      </c>
      <c r="AD141" t="s">
        <v>54</v>
      </c>
      <c r="AE141">
        <v>31.677810205299998</v>
      </c>
      <c r="AF141">
        <v>2688</v>
      </c>
      <c r="AG141">
        <v>2687.9312363200002</v>
      </c>
      <c r="AH141">
        <v>316783.22590100003</v>
      </c>
      <c r="AI141">
        <v>47</v>
      </c>
      <c r="AJ141">
        <v>82987.551053446499</v>
      </c>
      <c r="AK141" s="1">
        <f>intersection_ss_Lnight___surface[[#This Row],[surf m2 bout ss]]/intersection_ss_Lnight___surface[[#This Row],[Shape_Area]]</f>
        <v>0.26196952448290767</v>
      </c>
      <c r="AL141">
        <v>99</v>
      </c>
      <c r="AM141">
        <f>intersection_ss_Lnight___surface[[#This Row],[Population totale 2024 ss]]*intersection_ss_Lnight___surface[[#This Row],[Part de la surface du qs dans le noise contour]]</f>
        <v>25.934982923807858</v>
      </c>
    </row>
    <row r="142" spans="1:39" x14ac:dyDescent="0.3">
      <c r="A142">
        <v>154</v>
      </c>
      <c r="B142" t="s">
        <v>560</v>
      </c>
      <c r="C142" t="s">
        <v>561</v>
      </c>
      <c r="D142" t="s">
        <v>561</v>
      </c>
      <c r="E142" t="s">
        <v>561</v>
      </c>
      <c r="F142" t="s">
        <v>541</v>
      </c>
      <c r="G142" t="s">
        <v>526</v>
      </c>
      <c r="H142" t="s">
        <v>527</v>
      </c>
      <c r="I142" t="s">
        <v>528</v>
      </c>
      <c r="J142" t="s">
        <v>36</v>
      </c>
      <c r="K142">
        <v>21004</v>
      </c>
      <c r="L142" t="s">
        <v>309</v>
      </c>
      <c r="M142" t="s">
        <v>310</v>
      </c>
      <c r="N142" t="s">
        <v>311</v>
      </c>
      <c r="O142">
        <v>21000</v>
      </c>
      <c r="P142" t="s">
        <v>46</v>
      </c>
      <c r="Q142" t="s">
        <v>47</v>
      </c>
      <c r="R142" t="s">
        <v>48</v>
      </c>
      <c r="T142" t="s">
        <v>36</v>
      </c>
      <c r="U142" t="s">
        <v>36</v>
      </c>
      <c r="V142" t="s">
        <v>36</v>
      </c>
      <c r="W142">
        <v>4000</v>
      </c>
      <c r="X142" t="s">
        <v>49</v>
      </c>
      <c r="Y142" t="s">
        <v>50</v>
      </c>
      <c r="Z142" t="s">
        <v>51</v>
      </c>
      <c r="AA142" t="s">
        <v>37</v>
      </c>
      <c r="AB142" t="s">
        <v>52</v>
      </c>
      <c r="AC142" t="s">
        <v>53</v>
      </c>
      <c r="AD142" t="s">
        <v>54</v>
      </c>
      <c r="AE142">
        <v>31.677810205299998</v>
      </c>
      <c r="AF142">
        <v>2688</v>
      </c>
      <c r="AG142">
        <v>2687.9312363200002</v>
      </c>
      <c r="AH142">
        <v>316783.22590100003</v>
      </c>
      <c r="AI142">
        <v>48</v>
      </c>
      <c r="AJ142">
        <v>222528.940980535</v>
      </c>
      <c r="AK142" s="1">
        <f>intersection_ss_Lnight___surface[[#This Row],[surf m2 bout ss]]/intersection_ss_Lnight___surface[[#This Row],[Shape_Area]]</f>
        <v>0.70246440715923186</v>
      </c>
      <c r="AL142">
        <v>99</v>
      </c>
      <c r="AM142">
        <f>intersection_ss_Lnight___surface[[#This Row],[Population totale 2024 ss]]*intersection_ss_Lnight___surface[[#This Row],[Part de la surface du qs dans le noise contour]]</f>
        <v>69.543976308763959</v>
      </c>
    </row>
    <row r="143" spans="1:39" x14ac:dyDescent="0.3">
      <c r="A143">
        <v>155</v>
      </c>
      <c r="B143" t="s">
        <v>560</v>
      </c>
      <c r="C143" t="s">
        <v>561</v>
      </c>
      <c r="D143" t="s">
        <v>561</v>
      </c>
      <c r="E143" t="s">
        <v>561</v>
      </c>
      <c r="F143" t="s">
        <v>541</v>
      </c>
      <c r="G143" t="s">
        <v>526</v>
      </c>
      <c r="H143" t="s">
        <v>527</v>
      </c>
      <c r="I143" t="s">
        <v>528</v>
      </c>
      <c r="J143" t="s">
        <v>36</v>
      </c>
      <c r="K143">
        <v>21004</v>
      </c>
      <c r="L143" t="s">
        <v>309</v>
      </c>
      <c r="M143" t="s">
        <v>310</v>
      </c>
      <c r="N143" t="s">
        <v>311</v>
      </c>
      <c r="O143">
        <v>21000</v>
      </c>
      <c r="P143" t="s">
        <v>46</v>
      </c>
      <c r="Q143" t="s">
        <v>47</v>
      </c>
      <c r="R143" t="s">
        <v>48</v>
      </c>
      <c r="T143" t="s">
        <v>36</v>
      </c>
      <c r="U143" t="s">
        <v>36</v>
      </c>
      <c r="V143" t="s">
        <v>36</v>
      </c>
      <c r="W143">
        <v>4000</v>
      </c>
      <c r="X143" t="s">
        <v>49</v>
      </c>
      <c r="Y143" t="s">
        <v>50</v>
      </c>
      <c r="Z143" t="s">
        <v>51</v>
      </c>
      <c r="AA143" t="s">
        <v>37</v>
      </c>
      <c r="AB143" t="s">
        <v>52</v>
      </c>
      <c r="AC143" t="s">
        <v>53</v>
      </c>
      <c r="AD143" t="s">
        <v>54</v>
      </c>
      <c r="AE143">
        <v>31.677810205299998</v>
      </c>
      <c r="AF143">
        <v>2688</v>
      </c>
      <c r="AG143">
        <v>2687.9312363200002</v>
      </c>
      <c r="AH143">
        <v>316783.22590100003</v>
      </c>
      <c r="AI143">
        <v>49</v>
      </c>
      <c r="AJ143">
        <v>11294.079838739701</v>
      </c>
      <c r="AK143" s="1">
        <f>intersection_ss_Lnight___surface[[#This Row],[surf m2 bout ss]]/intersection_ss_Lnight___surface[[#This Row],[Shape_Area]]</f>
        <v>3.5652392283767216E-2</v>
      </c>
      <c r="AL143">
        <v>99</v>
      </c>
      <c r="AM143">
        <f>intersection_ss_Lnight___surface[[#This Row],[Population totale 2024 ss]]*intersection_ss_Lnight___surface[[#This Row],[Part de la surface du qs dans le noise contour]]</f>
        <v>3.5295868360929545</v>
      </c>
    </row>
    <row r="144" spans="1:39" x14ac:dyDescent="0.3">
      <c r="A144">
        <v>156</v>
      </c>
      <c r="B144" t="s">
        <v>562</v>
      </c>
      <c r="C144" t="s">
        <v>563</v>
      </c>
      <c r="D144" t="s">
        <v>564</v>
      </c>
      <c r="E144" t="s">
        <v>564</v>
      </c>
      <c r="F144" t="s">
        <v>541</v>
      </c>
      <c r="G144" t="s">
        <v>526</v>
      </c>
      <c r="H144" t="s">
        <v>527</v>
      </c>
      <c r="I144" t="s">
        <v>528</v>
      </c>
      <c r="J144" t="s">
        <v>36</v>
      </c>
      <c r="K144">
        <v>21004</v>
      </c>
      <c r="L144" t="s">
        <v>309</v>
      </c>
      <c r="M144" t="s">
        <v>310</v>
      </c>
      <c r="N144" t="s">
        <v>311</v>
      </c>
      <c r="O144">
        <v>21000</v>
      </c>
      <c r="P144" t="s">
        <v>46</v>
      </c>
      <c r="Q144" t="s">
        <v>47</v>
      </c>
      <c r="R144" t="s">
        <v>48</v>
      </c>
      <c r="T144" t="s">
        <v>36</v>
      </c>
      <c r="U144" t="s">
        <v>36</v>
      </c>
      <c r="V144" t="s">
        <v>36</v>
      </c>
      <c r="W144">
        <v>4000</v>
      </c>
      <c r="X144" t="s">
        <v>49</v>
      </c>
      <c r="Y144" t="s">
        <v>50</v>
      </c>
      <c r="Z144" t="s">
        <v>51</v>
      </c>
      <c r="AA144" t="s">
        <v>37</v>
      </c>
      <c r="AB144" t="s">
        <v>52</v>
      </c>
      <c r="AC144" t="s">
        <v>53</v>
      </c>
      <c r="AD144" t="s">
        <v>54</v>
      </c>
      <c r="AE144">
        <v>114.291058253</v>
      </c>
      <c r="AF144">
        <v>5281</v>
      </c>
      <c r="AG144">
        <v>5280.6047503099999</v>
      </c>
      <c r="AH144">
        <v>1142929.00015</v>
      </c>
      <c r="AI144">
        <v>47</v>
      </c>
      <c r="AJ144">
        <v>254.31916427426</v>
      </c>
      <c r="AK144" s="1">
        <f>intersection_ss_Lnight___surface[[#This Row],[surf m2 bout ss]]/intersection_ss_Lnight___surface[[#This Row],[Shape_Area]]</f>
        <v>2.2251527806266418E-4</v>
      </c>
      <c r="AL144">
        <v>1491</v>
      </c>
      <c r="AM144">
        <f>intersection_ss_Lnight___surface[[#This Row],[Population totale 2024 ss]]*intersection_ss_Lnight___surface[[#This Row],[Part de la surface du qs dans le noise contour]]</f>
        <v>0.33177027959143229</v>
      </c>
    </row>
    <row r="145" spans="1:39" x14ac:dyDescent="0.3">
      <c r="A145">
        <v>157</v>
      </c>
      <c r="B145" t="s">
        <v>562</v>
      </c>
      <c r="C145" t="s">
        <v>563</v>
      </c>
      <c r="D145" t="s">
        <v>564</v>
      </c>
      <c r="E145" t="s">
        <v>564</v>
      </c>
      <c r="F145" t="s">
        <v>541</v>
      </c>
      <c r="G145" t="s">
        <v>526</v>
      </c>
      <c r="H145" t="s">
        <v>527</v>
      </c>
      <c r="I145" t="s">
        <v>528</v>
      </c>
      <c r="J145" t="s">
        <v>36</v>
      </c>
      <c r="K145">
        <v>21004</v>
      </c>
      <c r="L145" t="s">
        <v>309</v>
      </c>
      <c r="M145" t="s">
        <v>310</v>
      </c>
      <c r="N145" t="s">
        <v>311</v>
      </c>
      <c r="O145">
        <v>21000</v>
      </c>
      <c r="P145" t="s">
        <v>46</v>
      </c>
      <c r="Q145" t="s">
        <v>47</v>
      </c>
      <c r="R145" t="s">
        <v>48</v>
      </c>
      <c r="T145" t="s">
        <v>36</v>
      </c>
      <c r="U145" t="s">
        <v>36</v>
      </c>
      <c r="V145" t="s">
        <v>36</v>
      </c>
      <c r="W145">
        <v>4000</v>
      </c>
      <c r="X145" t="s">
        <v>49</v>
      </c>
      <c r="Y145" t="s">
        <v>50</v>
      </c>
      <c r="Z145" t="s">
        <v>51</v>
      </c>
      <c r="AA145" t="s">
        <v>37</v>
      </c>
      <c r="AB145" t="s">
        <v>52</v>
      </c>
      <c r="AC145" t="s">
        <v>53</v>
      </c>
      <c r="AD145" t="s">
        <v>54</v>
      </c>
      <c r="AE145">
        <v>114.291058253</v>
      </c>
      <c r="AF145">
        <v>5281</v>
      </c>
      <c r="AG145">
        <v>5280.6047503099999</v>
      </c>
      <c r="AH145">
        <v>1142929.00015</v>
      </c>
      <c r="AI145">
        <v>48</v>
      </c>
      <c r="AJ145">
        <v>472051.72323811002</v>
      </c>
      <c r="AK145" s="1">
        <f>intersection_ss_Lnight___surface[[#This Row],[surf m2 bout ss]]/intersection_ss_Lnight___surface[[#This Row],[Shape_Area]]</f>
        <v>0.41301928919132957</v>
      </c>
      <c r="AL145">
        <v>1491</v>
      </c>
      <c r="AM145">
        <f>intersection_ss_Lnight___surface[[#This Row],[Population totale 2024 ss]]*intersection_ss_Lnight___surface[[#This Row],[Part de la surface du qs dans le noise contour]]</f>
        <v>615.81176018427243</v>
      </c>
    </row>
    <row r="146" spans="1:39" x14ac:dyDescent="0.3">
      <c r="A146">
        <v>158</v>
      </c>
      <c r="B146" t="s">
        <v>562</v>
      </c>
      <c r="C146" t="s">
        <v>563</v>
      </c>
      <c r="D146" t="s">
        <v>564</v>
      </c>
      <c r="E146" t="s">
        <v>564</v>
      </c>
      <c r="F146" t="s">
        <v>541</v>
      </c>
      <c r="G146" t="s">
        <v>526</v>
      </c>
      <c r="H146" t="s">
        <v>527</v>
      </c>
      <c r="I146" t="s">
        <v>528</v>
      </c>
      <c r="J146" t="s">
        <v>36</v>
      </c>
      <c r="K146">
        <v>21004</v>
      </c>
      <c r="L146" t="s">
        <v>309</v>
      </c>
      <c r="M146" t="s">
        <v>310</v>
      </c>
      <c r="N146" t="s">
        <v>311</v>
      </c>
      <c r="O146">
        <v>21000</v>
      </c>
      <c r="P146" t="s">
        <v>46</v>
      </c>
      <c r="Q146" t="s">
        <v>47</v>
      </c>
      <c r="R146" t="s">
        <v>48</v>
      </c>
      <c r="T146" t="s">
        <v>36</v>
      </c>
      <c r="U146" t="s">
        <v>36</v>
      </c>
      <c r="V146" t="s">
        <v>36</v>
      </c>
      <c r="W146">
        <v>4000</v>
      </c>
      <c r="X146" t="s">
        <v>49</v>
      </c>
      <c r="Y146" t="s">
        <v>50</v>
      </c>
      <c r="Z146" t="s">
        <v>51</v>
      </c>
      <c r="AA146" t="s">
        <v>37</v>
      </c>
      <c r="AB146" t="s">
        <v>52</v>
      </c>
      <c r="AC146" t="s">
        <v>53</v>
      </c>
      <c r="AD146" t="s">
        <v>54</v>
      </c>
      <c r="AE146">
        <v>114.291058253</v>
      </c>
      <c r="AF146">
        <v>5281</v>
      </c>
      <c r="AG146">
        <v>5280.6047503099999</v>
      </c>
      <c r="AH146">
        <v>1142929.00015</v>
      </c>
      <c r="AI146">
        <v>49</v>
      </c>
      <c r="AJ146">
        <v>666683.198205992</v>
      </c>
      <c r="AK146" s="1">
        <f>intersection_ss_Lnight___surface[[#This Row],[surf m2 bout ss]]/intersection_ss_Lnight___surface[[#This Row],[Shape_Area]]</f>
        <v>0.5833111226668457</v>
      </c>
      <c r="AL146">
        <v>1491</v>
      </c>
      <c r="AM146">
        <f>intersection_ss_Lnight___surface[[#This Row],[Population totale 2024 ss]]*intersection_ss_Lnight___surface[[#This Row],[Part de la surface du qs dans le noise contour]]</f>
        <v>869.71688389626695</v>
      </c>
    </row>
    <row r="147" spans="1:39" x14ac:dyDescent="0.3">
      <c r="A147">
        <v>159</v>
      </c>
      <c r="B147" t="s">
        <v>562</v>
      </c>
      <c r="C147" t="s">
        <v>563</v>
      </c>
      <c r="D147" t="s">
        <v>564</v>
      </c>
      <c r="E147" t="s">
        <v>564</v>
      </c>
      <c r="F147" t="s">
        <v>541</v>
      </c>
      <c r="G147" t="s">
        <v>526</v>
      </c>
      <c r="H147" t="s">
        <v>527</v>
      </c>
      <c r="I147" t="s">
        <v>528</v>
      </c>
      <c r="J147" t="s">
        <v>36</v>
      </c>
      <c r="K147">
        <v>21004</v>
      </c>
      <c r="L147" t="s">
        <v>309</v>
      </c>
      <c r="M147" t="s">
        <v>310</v>
      </c>
      <c r="N147" t="s">
        <v>311</v>
      </c>
      <c r="O147">
        <v>21000</v>
      </c>
      <c r="P147" t="s">
        <v>46</v>
      </c>
      <c r="Q147" t="s">
        <v>47</v>
      </c>
      <c r="R147" t="s">
        <v>48</v>
      </c>
      <c r="T147" t="s">
        <v>36</v>
      </c>
      <c r="U147" t="s">
        <v>36</v>
      </c>
      <c r="V147" t="s">
        <v>36</v>
      </c>
      <c r="W147">
        <v>4000</v>
      </c>
      <c r="X147" t="s">
        <v>49</v>
      </c>
      <c r="Y147" t="s">
        <v>50</v>
      </c>
      <c r="Z147" t="s">
        <v>51</v>
      </c>
      <c r="AA147" t="s">
        <v>37</v>
      </c>
      <c r="AB147" t="s">
        <v>52</v>
      </c>
      <c r="AC147" t="s">
        <v>53</v>
      </c>
      <c r="AD147" t="s">
        <v>54</v>
      </c>
      <c r="AE147">
        <v>114.291058253</v>
      </c>
      <c r="AF147">
        <v>5281</v>
      </c>
      <c r="AG147">
        <v>5280.6047503099999</v>
      </c>
      <c r="AH147">
        <v>1142929.00015</v>
      </c>
      <c r="AI147">
        <v>50</v>
      </c>
      <c r="AJ147">
        <v>4036.7359291324401</v>
      </c>
      <c r="AK147" s="1">
        <f>intersection_ss_Lnight___surface[[#This Row],[surf m2 bout ss]]/intersection_ss_Lnight___surface[[#This Row],[Shape_Area]]</f>
        <v>3.5319218679398736E-3</v>
      </c>
      <c r="AL147">
        <v>1491</v>
      </c>
      <c r="AM147">
        <f>intersection_ss_Lnight___surface[[#This Row],[Population totale 2024 ss]]*intersection_ss_Lnight___surface[[#This Row],[Part de la surface du qs dans le noise contour]]</f>
        <v>5.2660955050983516</v>
      </c>
    </row>
    <row r="148" spans="1:39" x14ac:dyDescent="0.3">
      <c r="A148">
        <v>160</v>
      </c>
      <c r="B148" t="s">
        <v>565</v>
      </c>
      <c r="C148" t="s">
        <v>566</v>
      </c>
      <c r="D148" t="s">
        <v>567</v>
      </c>
      <c r="E148" t="s">
        <v>567</v>
      </c>
      <c r="F148" t="s">
        <v>568</v>
      </c>
      <c r="G148" t="s">
        <v>569</v>
      </c>
      <c r="H148" t="s">
        <v>570</v>
      </c>
      <c r="I148" t="s">
        <v>571</v>
      </c>
      <c r="J148" t="s">
        <v>36</v>
      </c>
      <c r="K148">
        <v>21004</v>
      </c>
      <c r="L148" t="s">
        <v>309</v>
      </c>
      <c r="M148" t="s">
        <v>310</v>
      </c>
      <c r="N148" t="s">
        <v>311</v>
      </c>
      <c r="O148">
        <v>21000</v>
      </c>
      <c r="P148" t="s">
        <v>46</v>
      </c>
      <c r="Q148" t="s">
        <v>47</v>
      </c>
      <c r="R148" t="s">
        <v>48</v>
      </c>
      <c r="T148" t="s">
        <v>36</v>
      </c>
      <c r="U148" t="s">
        <v>36</v>
      </c>
      <c r="V148" t="s">
        <v>36</v>
      </c>
      <c r="W148">
        <v>4000</v>
      </c>
      <c r="X148" t="s">
        <v>49</v>
      </c>
      <c r="Y148" t="s">
        <v>50</v>
      </c>
      <c r="Z148" t="s">
        <v>51</v>
      </c>
      <c r="AA148" t="s">
        <v>37</v>
      </c>
      <c r="AB148" t="s">
        <v>52</v>
      </c>
      <c r="AC148" t="s">
        <v>53</v>
      </c>
      <c r="AD148" t="s">
        <v>54</v>
      </c>
      <c r="AE148">
        <v>67.546800820200005</v>
      </c>
      <c r="AF148">
        <v>3945</v>
      </c>
      <c r="AG148">
        <v>3944.9428010699999</v>
      </c>
      <c r="AH148">
        <v>675478.89300299995</v>
      </c>
      <c r="AI148">
        <v>49</v>
      </c>
      <c r="AJ148">
        <v>642.53090261854197</v>
      </c>
      <c r="AK148" s="1">
        <f>intersection_ss_Lnight___surface[[#This Row],[surf m2 bout ss]]/intersection_ss_Lnight___surface[[#This Row],[Shape_Area]]</f>
        <v>9.5122276843029102E-4</v>
      </c>
      <c r="AL148">
        <v>3787</v>
      </c>
      <c r="AM148">
        <f>intersection_ss_Lnight___surface[[#This Row],[Population totale 2024 ss]]*intersection_ss_Lnight___surface[[#This Row],[Part de la surface du qs dans le noise contour]]</f>
        <v>3.6022806240455121</v>
      </c>
    </row>
    <row r="149" spans="1:39" x14ac:dyDescent="0.3">
      <c r="A149">
        <v>161</v>
      </c>
      <c r="B149" t="s">
        <v>565</v>
      </c>
      <c r="C149" t="s">
        <v>566</v>
      </c>
      <c r="D149" t="s">
        <v>567</v>
      </c>
      <c r="E149" t="s">
        <v>567</v>
      </c>
      <c r="F149" t="s">
        <v>568</v>
      </c>
      <c r="G149" t="s">
        <v>569</v>
      </c>
      <c r="H149" t="s">
        <v>570</v>
      </c>
      <c r="I149" t="s">
        <v>571</v>
      </c>
      <c r="J149" t="s">
        <v>36</v>
      </c>
      <c r="K149">
        <v>21004</v>
      </c>
      <c r="L149" t="s">
        <v>309</v>
      </c>
      <c r="M149" t="s">
        <v>310</v>
      </c>
      <c r="N149" t="s">
        <v>311</v>
      </c>
      <c r="O149">
        <v>21000</v>
      </c>
      <c r="P149" t="s">
        <v>46</v>
      </c>
      <c r="Q149" t="s">
        <v>47</v>
      </c>
      <c r="R149" t="s">
        <v>48</v>
      </c>
      <c r="T149" t="s">
        <v>36</v>
      </c>
      <c r="U149" t="s">
        <v>36</v>
      </c>
      <c r="V149" t="s">
        <v>36</v>
      </c>
      <c r="W149">
        <v>4000</v>
      </c>
      <c r="X149" t="s">
        <v>49</v>
      </c>
      <c r="Y149" t="s">
        <v>50</v>
      </c>
      <c r="Z149" t="s">
        <v>51</v>
      </c>
      <c r="AA149" t="s">
        <v>37</v>
      </c>
      <c r="AB149" t="s">
        <v>52</v>
      </c>
      <c r="AC149" t="s">
        <v>53</v>
      </c>
      <c r="AD149" t="s">
        <v>54</v>
      </c>
      <c r="AE149">
        <v>67.546800820200005</v>
      </c>
      <c r="AF149">
        <v>3945</v>
      </c>
      <c r="AG149">
        <v>3944.9428010699999</v>
      </c>
      <c r="AH149">
        <v>675478.89300299995</v>
      </c>
      <c r="AI149">
        <v>50</v>
      </c>
      <c r="AJ149">
        <v>104119.064826381</v>
      </c>
      <c r="AK149" s="1">
        <f>intersection_ss_Lnight___surface[[#This Row],[surf m2 bout ss]]/intersection_ss_Lnight___surface[[#This Row],[Shape_Area]]</f>
        <v>0.15414110774578796</v>
      </c>
      <c r="AL149">
        <v>3787</v>
      </c>
      <c r="AM149">
        <f>intersection_ss_Lnight___surface[[#This Row],[Population totale 2024 ss]]*intersection_ss_Lnight___surface[[#This Row],[Part de la surface du qs dans le noise contour]]</f>
        <v>583.73237503329904</v>
      </c>
    </row>
    <row r="150" spans="1:39" x14ac:dyDescent="0.3">
      <c r="A150">
        <v>162</v>
      </c>
      <c r="B150" t="s">
        <v>565</v>
      </c>
      <c r="C150" t="s">
        <v>566</v>
      </c>
      <c r="D150" t="s">
        <v>567</v>
      </c>
      <c r="E150" t="s">
        <v>567</v>
      </c>
      <c r="F150" t="s">
        <v>568</v>
      </c>
      <c r="G150" t="s">
        <v>569</v>
      </c>
      <c r="H150" t="s">
        <v>570</v>
      </c>
      <c r="I150" t="s">
        <v>571</v>
      </c>
      <c r="J150" t="s">
        <v>36</v>
      </c>
      <c r="K150">
        <v>21004</v>
      </c>
      <c r="L150" t="s">
        <v>309</v>
      </c>
      <c r="M150" t="s">
        <v>310</v>
      </c>
      <c r="N150" t="s">
        <v>311</v>
      </c>
      <c r="O150">
        <v>21000</v>
      </c>
      <c r="P150" t="s">
        <v>46</v>
      </c>
      <c r="Q150" t="s">
        <v>47</v>
      </c>
      <c r="R150" t="s">
        <v>48</v>
      </c>
      <c r="T150" t="s">
        <v>36</v>
      </c>
      <c r="U150" t="s">
        <v>36</v>
      </c>
      <c r="V150" t="s">
        <v>36</v>
      </c>
      <c r="W150">
        <v>4000</v>
      </c>
      <c r="X150" t="s">
        <v>49</v>
      </c>
      <c r="Y150" t="s">
        <v>50</v>
      </c>
      <c r="Z150" t="s">
        <v>51</v>
      </c>
      <c r="AA150" t="s">
        <v>37</v>
      </c>
      <c r="AB150" t="s">
        <v>52</v>
      </c>
      <c r="AC150" t="s">
        <v>53</v>
      </c>
      <c r="AD150" t="s">
        <v>54</v>
      </c>
      <c r="AE150">
        <v>67.546800820200005</v>
      </c>
      <c r="AF150">
        <v>3945</v>
      </c>
      <c r="AG150">
        <v>3944.9428010699999</v>
      </c>
      <c r="AH150">
        <v>675478.89300299995</v>
      </c>
      <c r="AI150">
        <v>51</v>
      </c>
      <c r="AJ150">
        <v>204679.71201471999</v>
      </c>
      <c r="AK150" s="1">
        <f>intersection_ss_Lnight___surface[[#This Row],[surf m2 bout ss]]/intersection_ss_Lnight___surface[[#This Row],[Shape_Area]]</f>
        <v>0.30301422314584592</v>
      </c>
      <c r="AL150">
        <v>3787</v>
      </c>
      <c r="AM150">
        <f>intersection_ss_Lnight___surface[[#This Row],[Population totale 2024 ss]]*intersection_ss_Lnight___surface[[#This Row],[Part de la surface du qs dans le noise contour]]</f>
        <v>1147.5148630533185</v>
      </c>
    </row>
    <row r="151" spans="1:39" x14ac:dyDescent="0.3">
      <c r="A151">
        <v>163</v>
      </c>
      <c r="B151" t="s">
        <v>565</v>
      </c>
      <c r="C151" t="s">
        <v>566</v>
      </c>
      <c r="D151" t="s">
        <v>567</v>
      </c>
      <c r="E151" t="s">
        <v>567</v>
      </c>
      <c r="F151" t="s">
        <v>568</v>
      </c>
      <c r="G151" t="s">
        <v>569</v>
      </c>
      <c r="H151" t="s">
        <v>570</v>
      </c>
      <c r="I151" t="s">
        <v>571</v>
      </c>
      <c r="J151" t="s">
        <v>36</v>
      </c>
      <c r="K151">
        <v>21004</v>
      </c>
      <c r="L151" t="s">
        <v>309</v>
      </c>
      <c r="M151" t="s">
        <v>310</v>
      </c>
      <c r="N151" t="s">
        <v>311</v>
      </c>
      <c r="O151">
        <v>21000</v>
      </c>
      <c r="P151" t="s">
        <v>46</v>
      </c>
      <c r="Q151" t="s">
        <v>47</v>
      </c>
      <c r="R151" t="s">
        <v>48</v>
      </c>
      <c r="T151" t="s">
        <v>36</v>
      </c>
      <c r="U151" t="s">
        <v>36</v>
      </c>
      <c r="V151" t="s">
        <v>36</v>
      </c>
      <c r="W151">
        <v>4000</v>
      </c>
      <c r="X151" t="s">
        <v>49</v>
      </c>
      <c r="Y151" t="s">
        <v>50</v>
      </c>
      <c r="Z151" t="s">
        <v>51</v>
      </c>
      <c r="AA151" t="s">
        <v>37</v>
      </c>
      <c r="AB151" t="s">
        <v>52</v>
      </c>
      <c r="AC151" t="s">
        <v>53</v>
      </c>
      <c r="AD151" t="s">
        <v>54</v>
      </c>
      <c r="AE151">
        <v>67.546800820200005</v>
      </c>
      <c r="AF151">
        <v>3945</v>
      </c>
      <c r="AG151">
        <v>3944.9428010699999</v>
      </c>
      <c r="AH151">
        <v>675478.89300299995</v>
      </c>
      <c r="AI151">
        <v>52</v>
      </c>
      <c r="AJ151">
        <v>315212.64104095998</v>
      </c>
      <c r="AK151" s="1">
        <f>intersection_ss_Lnight___surface[[#This Row],[surf m2 bout ss]]/intersection_ss_Lnight___surface[[#This Row],[Shape_Area]]</f>
        <v>0.46665061529844137</v>
      </c>
      <c r="AL151">
        <v>3787</v>
      </c>
      <c r="AM151">
        <f>intersection_ss_Lnight___surface[[#This Row],[Population totale 2024 ss]]*intersection_ss_Lnight___surface[[#This Row],[Part de la surface du qs dans le noise contour]]</f>
        <v>1767.2058801351975</v>
      </c>
    </row>
    <row r="152" spans="1:39" x14ac:dyDescent="0.3">
      <c r="A152">
        <v>164</v>
      </c>
      <c r="B152" t="s">
        <v>565</v>
      </c>
      <c r="C152" t="s">
        <v>566</v>
      </c>
      <c r="D152" t="s">
        <v>567</v>
      </c>
      <c r="E152" t="s">
        <v>567</v>
      </c>
      <c r="F152" t="s">
        <v>568</v>
      </c>
      <c r="G152" t="s">
        <v>569</v>
      </c>
      <c r="H152" t="s">
        <v>570</v>
      </c>
      <c r="I152" t="s">
        <v>571</v>
      </c>
      <c r="J152" t="s">
        <v>36</v>
      </c>
      <c r="K152">
        <v>21004</v>
      </c>
      <c r="L152" t="s">
        <v>309</v>
      </c>
      <c r="M152" t="s">
        <v>310</v>
      </c>
      <c r="N152" t="s">
        <v>311</v>
      </c>
      <c r="O152">
        <v>21000</v>
      </c>
      <c r="P152" t="s">
        <v>46</v>
      </c>
      <c r="Q152" t="s">
        <v>47</v>
      </c>
      <c r="R152" t="s">
        <v>48</v>
      </c>
      <c r="T152" t="s">
        <v>36</v>
      </c>
      <c r="U152" t="s">
        <v>36</v>
      </c>
      <c r="V152" t="s">
        <v>36</v>
      </c>
      <c r="W152">
        <v>4000</v>
      </c>
      <c r="X152" t="s">
        <v>49</v>
      </c>
      <c r="Y152" t="s">
        <v>50</v>
      </c>
      <c r="Z152" t="s">
        <v>51</v>
      </c>
      <c r="AA152" t="s">
        <v>37</v>
      </c>
      <c r="AB152" t="s">
        <v>52</v>
      </c>
      <c r="AC152" t="s">
        <v>53</v>
      </c>
      <c r="AD152" t="s">
        <v>54</v>
      </c>
      <c r="AE152">
        <v>67.546800820200005</v>
      </c>
      <c r="AF152">
        <v>3945</v>
      </c>
      <c r="AG152">
        <v>3944.9428010699999</v>
      </c>
      <c r="AH152">
        <v>675478.89300299995</v>
      </c>
      <c r="AI152">
        <v>53</v>
      </c>
      <c r="AJ152">
        <v>50884.356459037597</v>
      </c>
      <c r="AK152" s="1">
        <f>intersection_ss_Lnight___surface[[#This Row],[surf m2 bout ss]]/intersection_ss_Lnight___surface[[#This Row],[Shape_Area]]</f>
        <v>7.5330786773838698E-2</v>
      </c>
      <c r="AL152">
        <v>3787</v>
      </c>
      <c r="AM152">
        <f>intersection_ss_Lnight___surface[[#This Row],[Population totale 2024 ss]]*intersection_ss_Lnight___surface[[#This Row],[Part de la surface du qs dans le noise contour]]</f>
        <v>285.27768951252716</v>
      </c>
    </row>
    <row r="153" spans="1:39" x14ac:dyDescent="0.3">
      <c r="A153">
        <v>165</v>
      </c>
      <c r="B153" t="s">
        <v>572</v>
      </c>
      <c r="C153" t="s">
        <v>573</v>
      </c>
      <c r="D153" t="s">
        <v>574</v>
      </c>
      <c r="E153" t="s">
        <v>574</v>
      </c>
      <c r="F153" t="s">
        <v>568</v>
      </c>
      <c r="G153" t="s">
        <v>569</v>
      </c>
      <c r="H153" t="s">
        <v>570</v>
      </c>
      <c r="I153" t="s">
        <v>571</v>
      </c>
      <c r="J153" t="s">
        <v>36</v>
      </c>
      <c r="K153">
        <v>21004</v>
      </c>
      <c r="L153" t="s">
        <v>309</v>
      </c>
      <c r="M153" t="s">
        <v>310</v>
      </c>
      <c r="N153" t="s">
        <v>311</v>
      </c>
      <c r="O153">
        <v>21000</v>
      </c>
      <c r="P153" t="s">
        <v>46</v>
      </c>
      <c r="Q153" t="s">
        <v>47</v>
      </c>
      <c r="R153" t="s">
        <v>48</v>
      </c>
      <c r="T153" t="s">
        <v>36</v>
      </c>
      <c r="U153" t="s">
        <v>36</v>
      </c>
      <c r="V153" t="s">
        <v>36</v>
      </c>
      <c r="W153">
        <v>4000</v>
      </c>
      <c r="X153" t="s">
        <v>49</v>
      </c>
      <c r="Y153" t="s">
        <v>50</v>
      </c>
      <c r="Z153" t="s">
        <v>51</v>
      </c>
      <c r="AA153" t="s">
        <v>37</v>
      </c>
      <c r="AB153" t="s">
        <v>52</v>
      </c>
      <c r="AC153" t="s">
        <v>53</v>
      </c>
      <c r="AD153" t="s">
        <v>54</v>
      </c>
      <c r="AE153">
        <v>30.772616756600002</v>
      </c>
      <c r="AF153">
        <v>3864</v>
      </c>
      <c r="AG153">
        <v>3864.1931476700001</v>
      </c>
      <c r="AH153">
        <v>307731.104689</v>
      </c>
      <c r="AI153">
        <v>48</v>
      </c>
      <c r="AJ153">
        <v>88945.587067758795</v>
      </c>
      <c r="AK153" s="1">
        <f>intersection_ss_Lnight___surface[[#This Row],[surf m2 bout ss]]/intersection_ss_Lnight___surface[[#This Row],[Shape_Area]]</f>
        <v>0.28903671326188884</v>
      </c>
      <c r="AL153">
        <v>1272</v>
      </c>
      <c r="AM153">
        <f>intersection_ss_Lnight___surface[[#This Row],[Population totale 2024 ss]]*intersection_ss_Lnight___surface[[#This Row],[Part de la surface du qs dans le noise contour]]</f>
        <v>367.6546992691226</v>
      </c>
    </row>
    <row r="154" spans="1:39" x14ac:dyDescent="0.3">
      <c r="A154">
        <v>166</v>
      </c>
      <c r="B154" t="s">
        <v>572</v>
      </c>
      <c r="C154" t="s">
        <v>573</v>
      </c>
      <c r="D154" t="s">
        <v>574</v>
      </c>
      <c r="E154" t="s">
        <v>574</v>
      </c>
      <c r="F154" t="s">
        <v>568</v>
      </c>
      <c r="G154" t="s">
        <v>569</v>
      </c>
      <c r="H154" t="s">
        <v>570</v>
      </c>
      <c r="I154" t="s">
        <v>571</v>
      </c>
      <c r="J154" t="s">
        <v>36</v>
      </c>
      <c r="K154">
        <v>21004</v>
      </c>
      <c r="L154" t="s">
        <v>309</v>
      </c>
      <c r="M154" t="s">
        <v>310</v>
      </c>
      <c r="N154" t="s">
        <v>311</v>
      </c>
      <c r="O154">
        <v>21000</v>
      </c>
      <c r="P154" t="s">
        <v>46</v>
      </c>
      <c r="Q154" t="s">
        <v>47</v>
      </c>
      <c r="R154" t="s">
        <v>48</v>
      </c>
      <c r="T154" t="s">
        <v>36</v>
      </c>
      <c r="U154" t="s">
        <v>36</v>
      </c>
      <c r="V154" t="s">
        <v>36</v>
      </c>
      <c r="W154">
        <v>4000</v>
      </c>
      <c r="X154" t="s">
        <v>49</v>
      </c>
      <c r="Y154" t="s">
        <v>50</v>
      </c>
      <c r="Z154" t="s">
        <v>51</v>
      </c>
      <c r="AA154" t="s">
        <v>37</v>
      </c>
      <c r="AB154" t="s">
        <v>52</v>
      </c>
      <c r="AC154" t="s">
        <v>53</v>
      </c>
      <c r="AD154" t="s">
        <v>54</v>
      </c>
      <c r="AE154">
        <v>30.772616756600002</v>
      </c>
      <c r="AF154">
        <v>3864</v>
      </c>
      <c r="AG154">
        <v>3864.1931476700001</v>
      </c>
      <c r="AH154">
        <v>307731.104689</v>
      </c>
      <c r="AI154">
        <v>49</v>
      </c>
      <c r="AJ154">
        <v>97356.166361510594</v>
      </c>
      <c r="AK154" s="1">
        <f>intersection_ss_Lnight___surface[[#This Row],[surf m2 bout ss]]/intersection_ss_Lnight___surface[[#This Row],[Shape_Area]]</f>
        <v>0.3163676498022549</v>
      </c>
      <c r="AL154">
        <v>1272</v>
      </c>
      <c r="AM154">
        <f>intersection_ss_Lnight___surface[[#This Row],[Population totale 2024 ss]]*intersection_ss_Lnight___surface[[#This Row],[Part de la surface du qs dans le noise contour]]</f>
        <v>402.41965054846821</v>
      </c>
    </row>
    <row r="155" spans="1:39" x14ac:dyDescent="0.3">
      <c r="A155">
        <v>167</v>
      </c>
      <c r="B155" t="s">
        <v>572</v>
      </c>
      <c r="C155" t="s">
        <v>573</v>
      </c>
      <c r="D155" t="s">
        <v>574</v>
      </c>
      <c r="E155" t="s">
        <v>574</v>
      </c>
      <c r="F155" t="s">
        <v>568</v>
      </c>
      <c r="G155" t="s">
        <v>569</v>
      </c>
      <c r="H155" t="s">
        <v>570</v>
      </c>
      <c r="I155" t="s">
        <v>571</v>
      </c>
      <c r="J155" t="s">
        <v>36</v>
      </c>
      <c r="K155">
        <v>21004</v>
      </c>
      <c r="L155" t="s">
        <v>309</v>
      </c>
      <c r="M155" t="s">
        <v>310</v>
      </c>
      <c r="N155" t="s">
        <v>311</v>
      </c>
      <c r="O155">
        <v>21000</v>
      </c>
      <c r="P155" t="s">
        <v>46</v>
      </c>
      <c r="Q155" t="s">
        <v>47</v>
      </c>
      <c r="R155" t="s">
        <v>48</v>
      </c>
      <c r="T155" t="s">
        <v>36</v>
      </c>
      <c r="U155" t="s">
        <v>36</v>
      </c>
      <c r="V155" t="s">
        <v>36</v>
      </c>
      <c r="W155">
        <v>4000</v>
      </c>
      <c r="X155" t="s">
        <v>49</v>
      </c>
      <c r="Y155" t="s">
        <v>50</v>
      </c>
      <c r="Z155" t="s">
        <v>51</v>
      </c>
      <c r="AA155" t="s">
        <v>37</v>
      </c>
      <c r="AB155" t="s">
        <v>52</v>
      </c>
      <c r="AC155" t="s">
        <v>53</v>
      </c>
      <c r="AD155" t="s">
        <v>54</v>
      </c>
      <c r="AE155">
        <v>30.772616756600002</v>
      </c>
      <c r="AF155">
        <v>3864</v>
      </c>
      <c r="AG155">
        <v>3864.1931476700001</v>
      </c>
      <c r="AH155">
        <v>307731.104689</v>
      </c>
      <c r="AI155">
        <v>50</v>
      </c>
      <c r="AJ155">
        <v>50420.920202856898</v>
      </c>
      <c r="AK155" s="1">
        <f>intersection_ss_Lnight___surface[[#This Row],[surf m2 bout ss]]/intersection_ss_Lnight___surface[[#This Row],[Shape_Area]]</f>
        <v>0.16384733111010477</v>
      </c>
      <c r="AL155">
        <v>1272</v>
      </c>
      <c r="AM155">
        <f>intersection_ss_Lnight___surface[[#This Row],[Population totale 2024 ss]]*intersection_ss_Lnight___surface[[#This Row],[Part de la surface du qs dans le noise contour]]</f>
        <v>208.41380517205326</v>
      </c>
    </row>
    <row r="156" spans="1:39" x14ac:dyDescent="0.3">
      <c r="A156">
        <v>168</v>
      </c>
      <c r="B156" t="s">
        <v>572</v>
      </c>
      <c r="C156" t="s">
        <v>573</v>
      </c>
      <c r="D156" t="s">
        <v>574</v>
      </c>
      <c r="E156" t="s">
        <v>574</v>
      </c>
      <c r="F156" t="s">
        <v>568</v>
      </c>
      <c r="G156" t="s">
        <v>569</v>
      </c>
      <c r="H156" t="s">
        <v>570</v>
      </c>
      <c r="I156" t="s">
        <v>571</v>
      </c>
      <c r="J156" t="s">
        <v>36</v>
      </c>
      <c r="K156">
        <v>21004</v>
      </c>
      <c r="L156" t="s">
        <v>309</v>
      </c>
      <c r="M156" t="s">
        <v>310</v>
      </c>
      <c r="N156" t="s">
        <v>311</v>
      </c>
      <c r="O156">
        <v>21000</v>
      </c>
      <c r="P156" t="s">
        <v>46</v>
      </c>
      <c r="Q156" t="s">
        <v>47</v>
      </c>
      <c r="R156" t="s">
        <v>48</v>
      </c>
      <c r="T156" t="s">
        <v>36</v>
      </c>
      <c r="U156" t="s">
        <v>36</v>
      </c>
      <c r="V156" t="s">
        <v>36</v>
      </c>
      <c r="W156">
        <v>4000</v>
      </c>
      <c r="X156" t="s">
        <v>49</v>
      </c>
      <c r="Y156" t="s">
        <v>50</v>
      </c>
      <c r="Z156" t="s">
        <v>51</v>
      </c>
      <c r="AA156" t="s">
        <v>37</v>
      </c>
      <c r="AB156" t="s">
        <v>52</v>
      </c>
      <c r="AC156" t="s">
        <v>53</v>
      </c>
      <c r="AD156" t="s">
        <v>54</v>
      </c>
      <c r="AE156">
        <v>30.772616756600002</v>
      </c>
      <c r="AF156">
        <v>3864</v>
      </c>
      <c r="AG156">
        <v>3864.1931476700001</v>
      </c>
      <c r="AH156">
        <v>307731.104689</v>
      </c>
      <c r="AI156">
        <v>51</v>
      </c>
      <c r="AJ156">
        <v>58150.062793087003</v>
      </c>
      <c r="AK156" s="1">
        <f>intersection_ss_Lnight___surface[[#This Row],[surf m2 bout ss]]/intersection_ss_Lnight___surface[[#This Row],[Shape_Area]]</f>
        <v>0.18896387757699948</v>
      </c>
      <c r="AL156">
        <v>1272</v>
      </c>
      <c r="AM156">
        <f>intersection_ss_Lnight___surface[[#This Row],[Population totale 2024 ss]]*intersection_ss_Lnight___surface[[#This Row],[Part de la surface du qs dans le noise contour]]</f>
        <v>240.36205227794335</v>
      </c>
    </row>
    <row r="157" spans="1:39" x14ac:dyDescent="0.3">
      <c r="A157">
        <v>169</v>
      </c>
      <c r="B157" t="s">
        <v>572</v>
      </c>
      <c r="C157" t="s">
        <v>573</v>
      </c>
      <c r="D157" t="s">
        <v>574</v>
      </c>
      <c r="E157" t="s">
        <v>574</v>
      </c>
      <c r="F157" t="s">
        <v>568</v>
      </c>
      <c r="G157" t="s">
        <v>569</v>
      </c>
      <c r="H157" t="s">
        <v>570</v>
      </c>
      <c r="I157" t="s">
        <v>571</v>
      </c>
      <c r="J157" t="s">
        <v>36</v>
      </c>
      <c r="K157">
        <v>21004</v>
      </c>
      <c r="L157" t="s">
        <v>309</v>
      </c>
      <c r="M157" t="s">
        <v>310</v>
      </c>
      <c r="N157" t="s">
        <v>311</v>
      </c>
      <c r="O157">
        <v>21000</v>
      </c>
      <c r="P157" t="s">
        <v>46</v>
      </c>
      <c r="Q157" t="s">
        <v>47</v>
      </c>
      <c r="R157" t="s">
        <v>48</v>
      </c>
      <c r="T157" t="s">
        <v>36</v>
      </c>
      <c r="U157" t="s">
        <v>36</v>
      </c>
      <c r="V157" t="s">
        <v>36</v>
      </c>
      <c r="W157">
        <v>4000</v>
      </c>
      <c r="X157" t="s">
        <v>49</v>
      </c>
      <c r="Y157" t="s">
        <v>50</v>
      </c>
      <c r="Z157" t="s">
        <v>51</v>
      </c>
      <c r="AA157" t="s">
        <v>37</v>
      </c>
      <c r="AB157" t="s">
        <v>52</v>
      </c>
      <c r="AC157" t="s">
        <v>53</v>
      </c>
      <c r="AD157" t="s">
        <v>54</v>
      </c>
      <c r="AE157">
        <v>30.772616756600002</v>
      </c>
      <c r="AF157">
        <v>3864</v>
      </c>
      <c r="AG157">
        <v>3864.1931476700001</v>
      </c>
      <c r="AH157">
        <v>307731.104689</v>
      </c>
      <c r="AI157">
        <v>52</v>
      </c>
      <c r="AJ157">
        <v>12885.9898229151</v>
      </c>
      <c r="AK157" s="1">
        <f>intersection_ss_Lnight___surface[[#This Row],[surf m2 bout ss]]/intersection_ss_Lnight___surface[[#This Row],[Shape_Area]]</f>
        <v>4.1874186998217072E-2</v>
      </c>
      <c r="AL157">
        <v>1272</v>
      </c>
      <c r="AM157">
        <f>intersection_ss_Lnight___surface[[#This Row],[Population totale 2024 ss]]*intersection_ss_Lnight___surface[[#This Row],[Part de la surface du qs dans le noise contour]]</f>
        <v>53.263965861732117</v>
      </c>
    </row>
    <row r="158" spans="1:39" x14ac:dyDescent="0.3">
      <c r="A158">
        <v>170</v>
      </c>
      <c r="B158" t="s">
        <v>575</v>
      </c>
      <c r="C158" t="s">
        <v>576</v>
      </c>
      <c r="D158" t="s">
        <v>577</v>
      </c>
      <c r="E158" t="s">
        <v>577</v>
      </c>
      <c r="F158" t="s">
        <v>568</v>
      </c>
      <c r="G158" t="s">
        <v>569</v>
      </c>
      <c r="H158" t="s">
        <v>570</v>
      </c>
      <c r="I158" t="s">
        <v>571</v>
      </c>
      <c r="J158" t="s">
        <v>36</v>
      </c>
      <c r="K158">
        <v>21004</v>
      </c>
      <c r="L158" t="s">
        <v>309</v>
      </c>
      <c r="M158" t="s">
        <v>310</v>
      </c>
      <c r="N158" t="s">
        <v>311</v>
      </c>
      <c r="O158">
        <v>21000</v>
      </c>
      <c r="P158" t="s">
        <v>46</v>
      </c>
      <c r="Q158" t="s">
        <v>47</v>
      </c>
      <c r="R158" t="s">
        <v>48</v>
      </c>
      <c r="T158" t="s">
        <v>36</v>
      </c>
      <c r="U158" t="s">
        <v>36</v>
      </c>
      <c r="V158" t="s">
        <v>36</v>
      </c>
      <c r="W158">
        <v>4000</v>
      </c>
      <c r="X158" t="s">
        <v>49</v>
      </c>
      <c r="Y158" t="s">
        <v>50</v>
      </c>
      <c r="Z158" t="s">
        <v>51</v>
      </c>
      <c r="AA158" t="s">
        <v>37</v>
      </c>
      <c r="AB158" t="s">
        <v>52</v>
      </c>
      <c r="AC158" t="s">
        <v>53</v>
      </c>
      <c r="AD158" t="s">
        <v>54</v>
      </c>
      <c r="AE158">
        <v>29.513869611400001</v>
      </c>
      <c r="AF158">
        <v>2353</v>
      </c>
      <c r="AG158">
        <v>2353.4976280800001</v>
      </c>
      <c r="AH158">
        <v>295143.44907700003</v>
      </c>
      <c r="AI158">
        <v>51</v>
      </c>
      <c r="AJ158">
        <v>69235.935979059897</v>
      </c>
      <c r="AK158" s="1">
        <f>intersection_ss_Lnight___surface[[#This Row],[surf m2 bout ss]]/intersection_ss_Lnight___surface[[#This Row],[Shape_Area]]</f>
        <v>0.23458401735014259</v>
      </c>
      <c r="AL158">
        <v>1202</v>
      </c>
      <c r="AM158">
        <f>intersection_ss_Lnight___surface[[#This Row],[Population totale 2024 ss]]*intersection_ss_Lnight___surface[[#This Row],[Part de la surface du qs dans le noise contour]]</f>
        <v>281.96998885487142</v>
      </c>
    </row>
    <row r="159" spans="1:39" x14ac:dyDescent="0.3">
      <c r="A159">
        <v>171</v>
      </c>
      <c r="B159" t="s">
        <v>575</v>
      </c>
      <c r="C159" t="s">
        <v>576</v>
      </c>
      <c r="D159" t="s">
        <v>577</v>
      </c>
      <c r="E159" t="s">
        <v>577</v>
      </c>
      <c r="F159" t="s">
        <v>568</v>
      </c>
      <c r="G159" t="s">
        <v>569</v>
      </c>
      <c r="H159" t="s">
        <v>570</v>
      </c>
      <c r="I159" t="s">
        <v>571</v>
      </c>
      <c r="J159" t="s">
        <v>36</v>
      </c>
      <c r="K159">
        <v>21004</v>
      </c>
      <c r="L159" t="s">
        <v>309</v>
      </c>
      <c r="M159" t="s">
        <v>310</v>
      </c>
      <c r="N159" t="s">
        <v>311</v>
      </c>
      <c r="O159">
        <v>21000</v>
      </c>
      <c r="P159" t="s">
        <v>46</v>
      </c>
      <c r="Q159" t="s">
        <v>47</v>
      </c>
      <c r="R159" t="s">
        <v>48</v>
      </c>
      <c r="T159" t="s">
        <v>36</v>
      </c>
      <c r="U159" t="s">
        <v>36</v>
      </c>
      <c r="V159" t="s">
        <v>36</v>
      </c>
      <c r="W159">
        <v>4000</v>
      </c>
      <c r="X159" t="s">
        <v>49</v>
      </c>
      <c r="Y159" t="s">
        <v>50</v>
      </c>
      <c r="Z159" t="s">
        <v>51</v>
      </c>
      <c r="AA159" t="s">
        <v>37</v>
      </c>
      <c r="AB159" t="s">
        <v>52</v>
      </c>
      <c r="AC159" t="s">
        <v>53</v>
      </c>
      <c r="AD159" t="s">
        <v>54</v>
      </c>
      <c r="AE159">
        <v>29.513869611400001</v>
      </c>
      <c r="AF159">
        <v>2353</v>
      </c>
      <c r="AG159">
        <v>2353.4976280800001</v>
      </c>
      <c r="AH159">
        <v>295143.44907700003</v>
      </c>
      <c r="AI159">
        <v>52</v>
      </c>
      <c r="AJ159">
        <v>199986.09417033099</v>
      </c>
      <c r="AK159" s="1">
        <f>intersection_ss_Lnight___surface[[#This Row],[surf m2 bout ss]]/intersection_ss_Lnight___surface[[#This Row],[Shape_Area]]</f>
        <v>0.67758947317226947</v>
      </c>
      <c r="AL159">
        <v>1202</v>
      </c>
      <c r="AM159">
        <f>intersection_ss_Lnight___surface[[#This Row],[Population totale 2024 ss]]*intersection_ss_Lnight___surface[[#This Row],[Part de la surface du qs dans le noise contour]]</f>
        <v>814.46254675306795</v>
      </c>
    </row>
    <row r="160" spans="1:39" x14ac:dyDescent="0.3">
      <c r="A160">
        <v>172</v>
      </c>
      <c r="B160" t="s">
        <v>575</v>
      </c>
      <c r="C160" t="s">
        <v>576</v>
      </c>
      <c r="D160" t="s">
        <v>577</v>
      </c>
      <c r="E160" t="s">
        <v>577</v>
      </c>
      <c r="F160" t="s">
        <v>568</v>
      </c>
      <c r="G160" t="s">
        <v>569</v>
      </c>
      <c r="H160" t="s">
        <v>570</v>
      </c>
      <c r="I160" t="s">
        <v>571</v>
      </c>
      <c r="J160" t="s">
        <v>36</v>
      </c>
      <c r="K160">
        <v>21004</v>
      </c>
      <c r="L160" t="s">
        <v>309</v>
      </c>
      <c r="M160" t="s">
        <v>310</v>
      </c>
      <c r="N160" t="s">
        <v>311</v>
      </c>
      <c r="O160">
        <v>21000</v>
      </c>
      <c r="P160" t="s">
        <v>46</v>
      </c>
      <c r="Q160" t="s">
        <v>47</v>
      </c>
      <c r="R160" t="s">
        <v>48</v>
      </c>
      <c r="T160" t="s">
        <v>36</v>
      </c>
      <c r="U160" t="s">
        <v>36</v>
      </c>
      <c r="V160" t="s">
        <v>36</v>
      </c>
      <c r="W160">
        <v>4000</v>
      </c>
      <c r="X160" t="s">
        <v>49</v>
      </c>
      <c r="Y160" t="s">
        <v>50</v>
      </c>
      <c r="Z160" t="s">
        <v>51</v>
      </c>
      <c r="AA160" t="s">
        <v>37</v>
      </c>
      <c r="AB160" t="s">
        <v>52</v>
      </c>
      <c r="AC160" t="s">
        <v>53</v>
      </c>
      <c r="AD160" t="s">
        <v>54</v>
      </c>
      <c r="AE160">
        <v>29.513869611400001</v>
      </c>
      <c r="AF160">
        <v>2353</v>
      </c>
      <c r="AG160">
        <v>2353.4976280800001</v>
      </c>
      <c r="AH160">
        <v>295143.44907700003</v>
      </c>
      <c r="AI160">
        <v>53</v>
      </c>
      <c r="AJ160">
        <v>25947.760232324701</v>
      </c>
      <c r="AK160" s="1">
        <f>intersection_ss_Lnight___surface[[#This Row],[surf m2 bout ss]]/intersection_ss_Lnight___surface[[#This Row],[Shape_Area]]</f>
        <v>8.7915758636930422E-2</v>
      </c>
      <c r="AL160">
        <v>1202</v>
      </c>
      <c r="AM160">
        <f>intersection_ss_Lnight___surface[[#This Row],[Population totale 2024 ss]]*intersection_ss_Lnight___surface[[#This Row],[Part de la surface du qs dans le noise contour]]</f>
        <v>105.67474188159036</v>
      </c>
    </row>
    <row r="161" spans="1:39" x14ac:dyDescent="0.3">
      <c r="A161">
        <v>173</v>
      </c>
      <c r="B161" t="s">
        <v>578</v>
      </c>
      <c r="C161" t="s">
        <v>579</v>
      </c>
      <c r="D161" t="s">
        <v>580</v>
      </c>
      <c r="E161" t="s">
        <v>580</v>
      </c>
      <c r="F161" t="s">
        <v>568</v>
      </c>
      <c r="G161" t="s">
        <v>569</v>
      </c>
      <c r="H161" t="s">
        <v>570</v>
      </c>
      <c r="I161" t="s">
        <v>571</v>
      </c>
      <c r="J161" t="s">
        <v>36</v>
      </c>
      <c r="K161">
        <v>21004</v>
      </c>
      <c r="L161" t="s">
        <v>309</v>
      </c>
      <c r="M161" t="s">
        <v>310</v>
      </c>
      <c r="N161" t="s">
        <v>311</v>
      </c>
      <c r="O161">
        <v>21000</v>
      </c>
      <c r="P161" t="s">
        <v>46</v>
      </c>
      <c r="Q161" t="s">
        <v>47</v>
      </c>
      <c r="R161" t="s">
        <v>48</v>
      </c>
      <c r="T161" t="s">
        <v>36</v>
      </c>
      <c r="U161" t="s">
        <v>36</v>
      </c>
      <c r="V161" t="s">
        <v>36</v>
      </c>
      <c r="W161">
        <v>4000</v>
      </c>
      <c r="X161" t="s">
        <v>49</v>
      </c>
      <c r="Y161" t="s">
        <v>50</v>
      </c>
      <c r="Z161" t="s">
        <v>51</v>
      </c>
      <c r="AA161" t="s">
        <v>37</v>
      </c>
      <c r="AB161" t="s">
        <v>52</v>
      </c>
      <c r="AC161" t="s">
        <v>53</v>
      </c>
      <c r="AD161" t="s">
        <v>54</v>
      </c>
      <c r="AE161">
        <v>207.85620567399999</v>
      </c>
      <c r="AF161">
        <v>8011</v>
      </c>
      <c r="AG161">
        <v>8011.3012413799997</v>
      </c>
      <c r="AH161">
        <v>2078595.5321599999</v>
      </c>
      <c r="AI161">
        <v>47</v>
      </c>
      <c r="AJ161">
        <v>74890.0601470252</v>
      </c>
      <c r="AK161" s="1">
        <f>intersection_ss_Lnight___surface[[#This Row],[surf m2 bout ss]]/intersection_ss_Lnight___surface[[#This Row],[Shape_Area]]</f>
        <v>3.6029164398906507E-2</v>
      </c>
      <c r="AL161">
        <v>1</v>
      </c>
      <c r="AM161">
        <f>intersection_ss_Lnight___surface[[#This Row],[Population totale 2024 ss]]*intersection_ss_Lnight___surface[[#This Row],[Part de la surface du qs dans le noise contour]]</f>
        <v>3.6029164398906507E-2</v>
      </c>
    </row>
    <row r="162" spans="1:39" x14ac:dyDescent="0.3">
      <c r="A162">
        <v>174</v>
      </c>
      <c r="B162" t="s">
        <v>578</v>
      </c>
      <c r="C162" t="s">
        <v>579</v>
      </c>
      <c r="D162" t="s">
        <v>580</v>
      </c>
      <c r="E162" t="s">
        <v>580</v>
      </c>
      <c r="F162" t="s">
        <v>568</v>
      </c>
      <c r="G162" t="s">
        <v>569</v>
      </c>
      <c r="H162" t="s">
        <v>570</v>
      </c>
      <c r="I162" t="s">
        <v>571</v>
      </c>
      <c r="J162" t="s">
        <v>36</v>
      </c>
      <c r="K162">
        <v>21004</v>
      </c>
      <c r="L162" t="s">
        <v>309</v>
      </c>
      <c r="M162" t="s">
        <v>310</v>
      </c>
      <c r="N162" t="s">
        <v>311</v>
      </c>
      <c r="O162">
        <v>21000</v>
      </c>
      <c r="P162" t="s">
        <v>46</v>
      </c>
      <c r="Q162" t="s">
        <v>47</v>
      </c>
      <c r="R162" t="s">
        <v>48</v>
      </c>
      <c r="T162" t="s">
        <v>36</v>
      </c>
      <c r="U162" t="s">
        <v>36</v>
      </c>
      <c r="V162" t="s">
        <v>36</v>
      </c>
      <c r="W162">
        <v>4000</v>
      </c>
      <c r="X162" t="s">
        <v>49</v>
      </c>
      <c r="Y162" t="s">
        <v>50</v>
      </c>
      <c r="Z162" t="s">
        <v>51</v>
      </c>
      <c r="AA162" t="s">
        <v>37</v>
      </c>
      <c r="AB162" t="s">
        <v>52</v>
      </c>
      <c r="AC162" t="s">
        <v>53</v>
      </c>
      <c r="AD162" t="s">
        <v>54</v>
      </c>
      <c r="AE162">
        <v>207.85620567399999</v>
      </c>
      <c r="AF162">
        <v>8011</v>
      </c>
      <c r="AG162">
        <v>8011.3012413799997</v>
      </c>
      <c r="AH162">
        <v>2078595.5321599999</v>
      </c>
      <c r="AI162">
        <v>48</v>
      </c>
      <c r="AJ162">
        <v>411721.193631912</v>
      </c>
      <c r="AK162" s="1">
        <f>intersection_ss_Lnight___surface[[#This Row],[surf m2 bout ss]]/intersection_ss_Lnight___surface[[#This Row],[Shape_Area]]</f>
        <v>0.19807662782959343</v>
      </c>
      <c r="AL162">
        <v>1</v>
      </c>
      <c r="AM162">
        <f>intersection_ss_Lnight___surface[[#This Row],[Population totale 2024 ss]]*intersection_ss_Lnight___surface[[#This Row],[Part de la surface du qs dans le noise contour]]</f>
        <v>0.19807662782959343</v>
      </c>
    </row>
    <row r="163" spans="1:39" x14ac:dyDescent="0.3">
      <c r="A163">
        <v>175</v>
      </c>
      <c r="B163" t="s">
        <v>578</v>
      </c>
      <c r="C163" t="s">
        <v>579</v>
      </c>
      <c r="D163" t="s">
        <v>580</v>
      </c>
      <c r="E163" t="s">
        <v>580</v>
      </c>
      <c r="F163" t="s">
        <v>568</v>
      </c>
      <c r="G163" t="s">
        <v>569</v>
      </c>
      <c r="H163" t="s">
        <v>570</v>
      </c>
      <c r="I163" t="s">
        <v>571</v>
      </c>
      <c r="J163" t="s">
        <v>36</v>
      </c>
      <c r="K163">
        <v>21004</v>
      </c>
      <c r="L163" t="s">
        <v>309</v>
      </c>
      <c r="M163" t="s">
        <v>310</v>
      </c>
      <c r="N163" t="s">
        <v>311</v>
      </c>
      <c r="O163">
        <v>21000</v>
      </c>
      <c r="P163" t="s">
        <v>46</v>
      </c>
      <c r="Q163" t="s">
        <v>47</v>
      </c>
      <c r="R163" t="s">
        <v>48</v>
      </c>
      <c r="T163" t="s">
        <v>36</v>
      </c>
      <c r="U163" t="s">
        <v>36</v>
      </c>
      <c r="V163" t="s">
        <v>36</v>
      </c>
      <c r="W163">
        <v>4000</v>
      </c>
      <c r="X163" t="s">
        <v>49</v>
      </c>
      <c r="Y163" t="s">
        <v>50</v>
      </c>
      <c r="Z163" t="s">
        <v>51</v>
      </c>
      <c r="AA163" t="s">
        <v>37</v>
      </c>
      <c r="AB163" t="s">
        <v>52</v>
      </c>
      <c r="AC163" t="s">
        <v>53</v>
      </c>
      <c r="AD163" t="s">
        <v>54</v>
      </c>
      <c r="AE163">
        <v>207.85620567399999</v>
      </c>
      <c r="AF163">
        <v>8011</v>
      </c>
      <c r="AG163">
        <v>8011.3012413799997</v>
      </c>
      <c r="AH163">
        <v>2078595.5321599999</v>
      </c>
      <c r="AI163">
        <v>49</v>
      </c>
      <c r="AJ163">
        <v>476615.66669441899</v>
      </c>
      <c r="AK163" s="1">
        <f>intersection_ss_Lnight___surface[[#This Row],[surf m2 bout ss]]/intersection_ss_Lnight___surface[[#This Row],[Shape_Area]]</f>
        <v>0.22929697448119574</v>
      </c>
      <c r="AL163">
        <v>1</v>
      </c>
      <c r="AM163">
        <f>intersection_ss_Lnight___surface[[#This Row],[Population totale 2024 ss]]*intersection_ss_Lnight___surface[[#This Row],[Part de la surface du qs dans le noise contour]]</f>
        <v>0.22929697448119574</v>
      </c>
    </row>
    <row r="164" spans="1:39" x14ac:dyDescent="0.3">
      <c r="A164">
        <v>176</v>
      </c>
      <c r="B164" t="s">
        <v>578</v>
      </c>
      <c r="C164" t="s">
        <v>579</v>
      </c>
      <c r="D164" t="s">
        <v>580</v>
      </c>
      <c r="E164" t="s">
        <v>580</v>
      </c>
      <c r="F164" t="s">
        <v>568</v>
      </c>
      <c r="G164" t="s">
        <v>569</v>
      </c>
      <c r="H164" t="s">
        <v>570</v>
      </c>
      <c r="I164" t="s">
        <v>571</v>
      </c>
      <c r="J164" t="s">
        <v>36</v>
      </c>
      <c r="K164">
        <v>21004</v>
      </c>
      <c r="L164" t="s">
        <v>309</v>
      </c>
      <c r="M164" t="s">
        <v>310</v>
      </c>
      <c r="N164" t="s">
        <v>311</v>
      </c>
      <c r="O164">
        <v>21000</v>
      </c>
      <c r="P164" t="s">
        <v>46</v>
      </c>
      <c r="Q164" t="s">
        <v>47</v>
      </c>
      <c r="R164" t="s">
        <v>48</v>
      </c>
      <c r="T164" t="s">
        <v>36</v>
      </c>
      <c r="U164" t="s">
        <v>36</v>
      </c>
      <c r="V164" t="s">
        <v>36</v>
      </c>
      <c r="W164">
        <v>4000</v>
      </c>
      <c r="X164" t="s">
        <v>49</v>
      </c>
      <c r="Y164" t="s">
        <v>50</v>
      </c>
      <c r="Z164" t="s">
        <v>51</v>
      </c>
      <c r="AA164" t="s">
        <v>37</v>
      </c>
      <c r="AB164" t="s">
        <v>52</v>
      </c>
      <c r="AC164" t="s">
        <v>53</v>
      </c>
      <c r="AD164" t="s">
        <v>54</v>
      </c>
      <c r="AE164">
        <v>207.85620567399999</v>
      </c>
      <c r="AF164">
        <v>8011</v>
      </c>
      <c r="AG164">
        <v>8011.3012413799997</v>
      </c>
      <c r="AH164">
        <v>2078595.5321599999</v>
      </c>
      <c r="AI164">
        <v>50</v>
      </c>
      <c r="AJ164">
        <v>617382.02882669505</v>
      </c>
      <c r="AK164" s="1">
        <f>intersection_ss_Lnight___surface[[#This Row],[surf m2 bout ss]]/intersection_ss_Lnight___surface[[#This Row],[Shape_Area]]</f>
        <v>0.29701883761153591</v>
      </c>
      <c r="AL164">
        <v>1</v>
      </c>
      <c r="AM164">
        <f>intersection_ss_Lnight___surface[[#This Row],[Population totale 2024 ss]]*intersection_ss_Lnight___surface[[#This Row],[Part de la surface du qs dans le noise contour]]</f>
        <v>0.29701883761153591</v>
      </c>
    </row>
    <row r="165" spans="1:39" x14ac:dyDescent="0.3">
      <c r="A165">
        <v>177</v>
      </c>
      <c r="B165" t="s">
        <v>578</v>
      </c>
      <c r="C165" t="s">
        <v>579</v>
      </c>
      <c r="D165" t="s">
        <v>580</v>
      </c>
      <c r="E165" t="s">
        <v>580</v>
      </c>
      <c r="F165" t="s">
        <v>568</v>
      </c>
      <c r="G165" t="s">
        <v>569</v>
      </c>
      <c r="H165" t="s">
        <v>570</v>
      </c>
      <c r="I165" t="s">
        <v>571</v>
      </c>
      <c r="J165" t="s">
        <v>36</v>
      </c>
      <c r="K165">
        <v>21004</v>
      </c>
      <c r="L165" t="s">
        <v>309</v>
      </c>
      <c r="M165" t="s">
        <v>310</v>
      </c>
      <c r="N165" t="s">
        <v>311</v>
      </c>
      <c r="O165">
        <v>21000</v>
      </c>
      <c r="P165" t="s">
        <v>46</v>
      </c>
      <c r="Q165" t="s">
        <v>47</v>
      </c>
      <c r="R165" t="s">
        <v>48</v>
      </c>
      <c r="T165" t="s">
        <v>36</v>
      </c>
      <c r="U165" t="s">
        <v>36</v>
      </c>
      <c r="V165" t="s">
        <v>36</v>
      </c>
      <c r="W165">
        <v>4000</v>
      </c>
      <c r="X165" t="s">
        <v>49</v>
      </c>
      <c r="Y165" t="s">
        <v>50</v>
      </c>
      <c r="Z165" t="s">
        <v>51</v>
      </c>
      <c r="AA165" t="s">
        <v>37</v>
      </c>
      <c r="AB165" t="s">
        <v>52</v>
      </c>
      <c r="AC165" t="s">
        <v>53</v>
      </c>
      <c r="AD165" t="s">
        <v>54</v>
      </c>
      <c r="AE165">
        <v>207.85620567399999</v>
      </c>
      <c r="AF165">
        <v>8011</v>
      </c>
      <c r="AG165">
        <v>8011.3012413799997</v>
      </c>
      <c r="AH165">
        <v>2078595.5321599999</v>
      </c>
      <c r="AI165">
        <v>51</v>
      </c>
      <c r="AJ165">
        <v>420450.95211899199</v>
      </c>
      <c r="AK165" s="1">
        <f>intersection_ss_Lnight___surface[[#This Row],[surf m2 bout ss]]/intersection_ss_Lnight___surface[[#This Row],[Shape_Area]]</f>
        <v>0.20227646293556439</v>
      </c>
      <c r="AL165">
        <v>1</v>
      </c>
      <c r="AM165">
        <f>intersection_ss_Lnight___surface[[#This Row],[Population totale 2024 ss]]*intersection_ss_Lnight___surface[[#This Row],[Part de la surface du qs dans le noise contour]]</f>
        <v>0.20227646293556439</v>
      </c>
    </row>
    <row r="166" spans="1:39" x14ac:dyDescent="0.3">
      <c r="A166">
        <v>178</v>
      </c>
      <c r="B166" t="s">
        <v>578</v>
      </c>
      <c r="C166" t="s">
        <v>579</v>
      </c>
      <c r="D166" t="s">
        <v>580</v>
      </c>
      <c r="E166" t="s">
        <v>580</v>
      </c>
      <c r="F166" t="s">
        <v>568</v>
      </c>
      <c r="G166" t="s">
        <v>569</v>
      </c>
      <c r="H166" t="s">
        <v>570</v>
      </c>
      <c r="I166" t="s">
        <v>571</v>
      </c>
      <c r="J166" t="s">
        <v>36</v>
      </c>
      <c r="K166">
        <v>21004</v>
      </c>
      <c r="L166" t="s">
        <v>309</v>
      </c>
      <c r="M166" t="s">
        <v>310</v>
      </c>
      <c r="N166" t="s">
        <v>311</v>
      </c>
      <c r="O166">
        <v>21000</v>
      </c>
      <c r="P166" t="s">
        <v>46</v>
      </c>
      <c r="Q166" t="s">
        <v>47</v>
      </c>
      <c r="R166" t="s">
        <v>48</v>
      </c>
      <c r="T166" t="s">
        <v>36</v>
      </c>
      <c r="U166" t="s">
        <v>36</v>
      </c>
      <c r="V166" t="s">
        <v>36</v>
      </c>
      <c r="W166">
        <v>4000</v>
      </c>
      <c r="X166" t="s">
        <v>49</v>
      </c>
      <c r="Y166" t="s">
        <v>50</v>
      </c>
      <c r="Z166" t="s">
        <v>51</v>
      </c>
      <c r="AA166" t="s">
        <v>37</v>
      </c>
      <c r="AB166" t="s">
        <v>52</v>
      </c>
      <c r="AC166" t="s">
        <v>53</v>
      </c>
      <c r="AD166" t="s">
        <v>54</v>
      </c>
      <c r="AE166">
        <v>207.85620567399999</v>
      </c>
      <c r="AF166">
        <v>8011</v>
      </c>
      <c r="AG166">
        <v>8011.3012413799997</v>
      </c>
      <c r="AH166">
        <v>2078595.5321599999</v>
      </c>
      <c r="AI166">
        <v>52</v>
      </c>
      <c r="AJ166">
        <v>77717.585640554506</v>
      </c>
      <c r="AK166" s="1">
        <f>intersection_ss_Lnight___surface[[#This Row],[surf m2 bout ss]]/intersection_ss_Lnight___surface[[#This Row],[Shape_Area]]</f>
        <v>3.7389470167769126E-2</v>
      </c>
      <c r="AL166">
        <v>1</v>
      </c>
      <c r="AM166">
        <f>intersection_ss_Lnight___surface[[#This Row],[Population totale 2024 ss]]*intersection_ss_Lnight___surface[[#This Row],[Part de la surface du qs dans le noise contour]]</f>
        <v>3.7389470167769126E-2</v>
      </c>
    </row>
    <row r="167" spans="1:39" x14ac:dyDescent="0.3">
      <c r="A167">
        <v>179</v>
      </c>
      <c r="B167" t="s">
        <v>581</v>
      </c>
      <c r="C167" t="s">
        <v>582</v>
      </c>
      <c r="D167" t="s">
        <v>582</v>
      </c>
      <c r="E167" t="s">
        <v>582</v>
      </c>
      <c r="F167" t="s">
        <v>568</v>
      </c>
      <c r="G167" t="s">
        <v>569</v>
      </c>
      <c r="H167" t="s">
        <v>570</v>
      </c>
      <c r="I167" t="s">
        <v>571</v>
      </c>
      <c r="J167" t="s">
        <v>36</v>
      </c>
      <c r="K167">
        <v>21004</v>
      </c>
      <c r="L167" t="s">
        <v>309</v>
      </c>
      <c r="M167" t="s">
        <v>310</v>
      </c>
      <c r="N167" t="s">
        <v>311</v>
      </c>
      <c r="O167">
        <v>21000</v>
      </c>
      <c r="P167" t="s">
        <v>46</v>
      </c>
      <c r="Q167" t="s">
        <v>47</v>
      </c>
      <c r="R167" t="s">
        <v>48</v>
      </c>
      <c r="T167" t="s">
        <v>36</v>
      </c>
      <c r="U167" t="s">
        <v>36</v>
      </c>
      <c r="V167" t="s">
        <v>36</v>
      </c>
      <c r="W167">
        <v>4000</v>
      </c>
      <c r="X167" t="s">
        <v>49</v>
      </c>
      <c r="Y167" t="s">
        <v>50</v>
      </c>
      <c r="Z167" t="s">
        <v>51</v>
      </c>
      <c r="AA167" t="s">
        <v>37</v>
      </c>
      <c r="AB167" t="s">
        <v>52</v>
      </c>
      <c r="AC167" t="s">
        <v>53</v>
      </c>
      <c r="AD167" t="s">
        <v>54</v>
      </c>
      <c r="AE167">
        <v>65.919799951200005</v>
      </c>
      <c r="AF167">
        <v>5423</v>
      </c>
      <c r="AG167">
        <v>5422.5991313699997</v>
      </c>
      <c r="AH167">
        <v>659208.63543999998</v>
      </c>
      <c r="AI167">
        <v>51</v>
      </c>
      <c r="AJ167">
        <v>119797.694329409</v>
      </c>
      <c r="AK167" s="1">
        <f>intersection_ss_Lnight___surface[[#This Row],[surf m2 bout ss]]/intersection_ss_Lnight___surface[[#This Row],[Shape_Area]]</f>
        <v>0.18172955857813969</v>
      </c>
      <c r="AL167">
        <v>521</v>
      </c>
      <c r="AM167">
        <f>intersection_ss_Lnight___surface[[#This Row],[Population totale 2024 ss]]*intersection_ss_Lnight___surface[[#This Row],[Part de la surface du qs dans le noise contour]]</f>
        <v>94.681100019210774</v>
      </c>
    </row>
    <row r="168" spans="1:39" x14ac:dyDescent="0.3">
      <c r="A168">
        <v>180</v>
      </c>
      <c r="B168" t="s">
        <v>581</v>
      </c>
      <c r="C168" t="s">
        <v>582</v>
      </c>
      <c r="D168" t="s">
        <v>582</v>
      </c>
      <c r="E168" t="s">
        <v>582</v>
      </c>
      <c r="F168" t="s">
        <v>568</v>
      </c>
      <c r="G168" t="s">
        <v>569</v>
      </c>
      <c r="H168" t="s">
        <v>570</v>
      </c>
      <c r="I168" t="s">
        <v>571</v>
      </c>
      <c r="J168" t="s">
        <v>36</v>
      </c>
      <c r="K168">
        <v>21004</v>
      </c>
      <c r="L168" t="s">
        <v>309</v>
      </c>
      <c r="M168" t="s">
        <v>310</v>
      </c>
      <c r="N168" t="s">
        <v>311</v>
      </c>
      <c r="O168">
        <v>21000</v>
      </c>
      <c r="P168" t="s">
        <v>46</v>
      </c>
      <c r="Q168" t="s">
        <v>47</v>
      </c>
      <c r="R168" t="s">
        <v>48</v>
      </c>
      <c r="T168" t="s">
        <v>36</v>
      </c>
      <c r="U168" t="s">
        <v>36</v>
      </c>
      <c r="V168" t="s">
        <v>36</v>
      </c>
      <c r="W168">
        <v>4000</v>
      </c>
      <c r="X168" t="s">
        <v>49</v>
      </c>
      <c r="Y168" t="s">
        <v>50</v>
      </c>
      <c r="Z168" t="s">
        <v>51</v>
      </c>
      <c r="AA168" t="s">
        <v>37</v>
      </c>
      <c r="AB168" t="s">
        <v>52</v>
      </c>
      <c r="AC168" t="s">
        <v>53</v>
      </c>
      <c r="AD168" t="s">
        <v>54</v>
      </c>
      <c r="AE168">
        <v>65.919799951200005</v>
      </c>
      <c r="AF168">
        <v>5423</v>
      </c>
      <c r="AG168">
        <v>5422.5991313699997</v>
      </c>
      <c r="AH168">
        <v>659208.63543999998</v>
      </c>
      <c r="AI168">
        <v>52</v>
      </c>
      <c r="AJ168">
        <v>143396.77827306799</v>
      </c>
      <c r="AK168" s="1">
        <f>intersection_ss_Lnight___surface[[#This Row],[surf m2 bout ss]]/intersection_ss_Lnight___surface[[#This Row],[Shape_Area]]</f>
        <v>0.21752867083932445</v>
      </c>
      <c r="AL168">
        <v>521</v>
      </c>
      <c r="AM168">
        <f>intersection_ss_Lnight___surface[[#This Row],[Population totale 2024 ss]]*intersection_ss_Lnight___surface[[#This Row],[Part de la surface du qs dans le noise contour]]</f>
        <v>113.33243750728803</v>
      </c>
    </row>
    <row r="169" spans="1:39" x14ac:dyDescent="0.3">
      <c r="A169">
        <v>181</v>
      </c>
      <c r="B169" t="s">
        <v>581</v>
      </c>
      <c r="C169" t="s">
        <v>582</v>
      </c>
      <c r="D169" t="s">
        <v>582</v>
      </c>
      <c r="E169" t="s">
        <v>582</v>
      </c>
      <c r="F169" t="s">
        <v>568</v>
      </c>
      <c r="G169" t="s">
        <v>569</v>
      </c>
      <c r="H169" t="s">
        <v>570</v>
      </c>
      <c r="I169" t="s">
        <v>571</v>
      </c>
      <c r="J169" t="s">
        <v>36</v>
      </c>
      <c r="K169">
        <v>21004</v>
      </c>
      <c r="L169" t="s">
        <v>309</v>
      </c>
      <c r="M169" t="s">
        <v>310</v>
      </c>
      <c r="N169" t="s">
        <v>311</v>
      </c>
      <c r="O169">
        <v>21000</v>
      </c>
      <c r="P169" t="s">
        <v>46</v>
      </c>
      <c r="Q169" t="s">
        <v>47</v>
      </c>
      <c r="R169" t="s">
        <v>48</v>
      </c>
      <c r="T169" t="s">
        <v>36</v>
      </c>
      <c r="U169" t="s">
        <v>36</v>
      </c>
      <c r="V169" t="s">
        <v>36</v>
      </c>
      <c r="W169">
        <v>4000</v>
      </c>
      <c r="X169" t="s">
        <v>49</v>
      </c>
      <c r="Y169" t="s">
        <v>50</v>
      </c>
      <c r="Z169" t="s">
        <v>51</v>
      </c>
      <c r="AA169" t="s">
        <v>37</v>
      </c>
      <c r="AB169" t="s">
        <v>52</v>
      </c>
      <c r="AC169" t="s">
        <v>53</v>
      </c>
      <c r="AD169" t="s">
        <v>54</v>
      </c>
      <c r="AE169">
        <v>65.919799951200005</v>
      </c>
      <c r="AF169">
        <v>5423</v>
      </c>
      <c r="AG169">
        <v>5422.5991313699997</v>
      </c>
      <c r="AH169">
        <v>659208.63543999998</v>
      </c>
      <c r="AI169">
        <v>53</v>
      </c>
      <c r="AJ169">
        <v>297920.71591720602</v>
      </c>
      <c r="AK169" s="1">
        <f>intersection_ss_Lnight___surface[[#This Row],[surf m2 bout ss]]/intersection_ss_Lnight___surface[[#This Row],[Shape_Area]]</f>
        <v>0.45193691329354901</v>
      </c>
      <c r="AL169">
        <v>521</v>
      </c>
      <c r="AM169">
        <f>intersection_ss_Lnight___surface[[#This Row],[Population totale 2024 ss]]*intersection_ss_Lnight___surface[[#This Row],[Part de la surface du qs dans le noise contour]]</f>
        <v>235.45913182593904</v>
      </c>
    </row>
    <row r="170" spans="1:39" x14ac:dyDescent="0.3">
      <c r="A170">
        <v>182</v>
      </c>
      <c r="B170" t="s">
        <v>581</v>
      </c>
      <c r="C170" t="s">
        <v>582</v>
      </c>
      <c r="D170" t="s">
        <v>582</v>
      </c>
      <c r="E170" t="s">
        <v>582</v>
      </c>
      <c r="F170" t="s">
        <v>568</v>
      </c>
      <c r="G170" t="s">
        <v>569</v>
      </c>
      <c r="H170" t="s">
        <v>570</v>
      </c>
      <c r="I170" t="s">
        <v>571</v>
      </c>
      <c r="J170" t="s">
        <v>36</v>
      </c>
      <c r="K170">
        <v>21004</v>
      </c>
      <c r="L170" t="s">
        <v>309</v>
      </c>
      <c r="M170" t="s">
        <v>310</v>
      </c>
      <c r="N170" t="s">
        <v>311</v>
      </c>
      <c r="O170">
        <v>21000</v>
      </c>
      <c r="P170" t="s">
        <v>46</v>
      </c>
      <c r="Q170" t="s">
        <v>47</v>
      </c>
      <c r="R170" t="s">
        <v>48</v>
      </c>
      <c r="T170" t="s">
        <v>36</v>
      </c>
      <c r="U170" t="s">
        <v>36</v>
      </c>
      <c r="V170" t="s">
        <v>36</v>
      </c>
      <c r="W170">
        <v>4000</v>
      </c>
      <c r="X170" t="s">
        <v>49</v>
      </c>
      <c r="Y170" t="s">
        <v>50</v>
      </c>
      <c r="Z170" t="s">
        <v>51</v>
      </c>
      <c r="AA170" t="s">
        <v>37</v>
      </c>
      <c r="AB170" t="s">
        <v>52</v>
      </c>
      <c r="AC170" t="s">
        <v>53</v>
      </c>
      <c r="AD170" t="s">
        <v>54</v>
      </c>
      <c r="AE170">
        <v>65.919799951200005</v>
      </c>
      <c r="AF170">
        <v>5423</v>
      </c>
      <c r="AG170">
        <v>5422.5991313699997</v>
      </c>
      <c r="AH170">
        <v>659208.63543999998</v>
      </c>
      <c r="AI170">
        <v>54</v>
      </c>
      <c r="AJ170">
        <v>98150.740257291007</v>
      </c>
      <c r="AK170" s="1">
        <f>intersection_ss_Lnight___surface[[#This Row],[surf m2 bout ss]]/intersection_ss_Lnight___surface[[#This Row],[Shape_Area]]</f>
        <v>0.14889176958638994</v>
      </c>
      <c r="AL170">
        <v>521</v>
      </c>
      <c r="AM170">
        <f>intersection_ss_Lnight___surface[[#This Row],[Population totale 2024 ss]]*intersection_ss_Lnight___surface[[#This Row],[Part de la surface du qs dans le noise contour]]</f>
        <v>77.572611954509156</v>
      </c>
    </row>
    <row r="171" spans="1:39" x14ac:dyDescent="0.3">
      <c r="A171">
        <v>183</v>
      </c>
      <c r="B171" t="s">
        <v>583</v>
      </c>
      <c r="C171" t="s">
        <v>584</v>
      </c>
      <c r="D171" t="s">
        <v>585</v>
      </c>
      <c r="E171" t="s">
        <v>585</v>
      </c>
      <c r="F171" t="s">
        <v>568</v>
      </c>
      <c r="G171" t="s">
        <v>569</v>
      </c>
      <c r="H171" t="s">
        <v>570</v>
      </c>
      <c r="I171" t="s">
        <v>571</v>
      </c>
      <c r="J171" t="s">
        <v>36</v>
      </c>
      <c r="K171">
        <v>21004</v>
      </c>
      <c r="L171" t="s">
        <v>309</v>
      </c>
      <c r="M171" t="s">
        <v>310</v>
      </c>
      <c r="N171" t="s">
        <v>311</v>
      </c>
      <c r="O171">
        <v>21000</v>
      </c>
      <c r="P171" t="s">
        <v>46</v>
      </c>
      <c r="Q171" t="s">
        <v>47</v>
      </c>
      <c r="R171" t="s">
        <v>48</v>
      </c>
      <c r="T171" t="s">
        <v>36</v>
      </c>
      <c r="U171" t="s">
        <v>36</v>
      </c>
      <c r="V171" t="s">
        <v>36</v>
      </c>
      <c r="W171">
        <v>4000</v>
      </c>
      <c r="X171" t="s">
        <v>49</v>
      </c>
      <c r="Y171" t="s">
        <v>50</v>
      </c>
      <c r="Z171" t="s">
        <v>51</v>
      </c>
      <c r="AA171" t="s">
        <v>37</v>
      </c>
      <c r="AB171" t="s">
        <v>52</v>
      </c>
      <c r="AC171" t="s">
        <v>53</v>
      </c>
      <c r="AD171" t="s">
        <v>54</v>
      </c>
      <c r="AE171">
        <v>210.60987001399999</v>
      </c>
      <c r="AF171">
        <v>6806</v>
      </c>
      <c r="AG171">
        <v>6806.0055636400002</v>
      </c>
      <c r="AH171">
        <v>2106132.5976800001</v>
      </c>
      <c r="AI171">
        <v>47</v>
      </c>
      <c r="AJ171">
        <v>5346.6067307358599</v>
      </c>
      <c r="AK171" s="1">
        <f>intersection_ss_Lnight___surface[[#This Row],[surf m2 bout ss]]/intersection_ss_Lnight___surface[[#This Row],[Shape_Area]]</f>
        <v>2.5385898003883458E-3</v>
      </c>
      <c r="AL171">
        <v>838</v>
      </c>
      <c r="AM171">
        <f>intersection_ss_Lnight___surface[[#This Row],[Population totale 2024 ss]]*intersection_ss_Lnight___surface[[#This Row],[Part de la surface du qs dans le noise contour]]</f>
        <v>2.1273382527254339</v>
      </c>
    </row>
    <row r="172" spans="1:39" x14ac:dyDescent="0.3">
      <c r="A172">
        <v>184</v>
      </c>
      <c r="B172" t="s">
        <v>583</v>
      </c>
      <c r="C172" t="s">
        <v>584</v>
      </c>
      <c r="D172" t="s">
        <v>585</v>
      </c>
      <c r="E172" t="s">
        <v>585</v>
      </c>
      <c r="F172" t="s">
        <v>568</v>
      </c>
      <c r="G172" t="s">
        <v>569</v>
      </c>
      <c r="H172" t="s">
        <v>570</v>
      </c>
      <c r="I172" t="s">
        <v>571</v>
      </c>
      <c r="J172" t="s">
        <v>36</v>
      </c>
      <c r="K172">
        <v>21004</v>
      </c>
      <c r="L172" t="s">
        <v>309</v>
      </c>
      <c r="M172" t="s">
        <v>310</v>
      </c>
      <c r="N172" t="s">
        <v>311</v>
      </c>
      <c r="O172">
        <v>21000</v>
      </c>
      <c r="P172" t="s">
        <v>46</v>
      </c>
      <c r="Q172" t="s">
        <v>47</v>
      </c>
      <c r="R172" t="s">
        <v>48</v>
      </c>
      <c r="T172" t="s">
        <v>36</v>
      </c>
      <c r="U172" t="s">
        <v>36</v>
      </c>
      <c r="V172" t="s">
        <v>36</v>
      </c>
      <c r="W172">
        <v>4000</v>
      </c>
      <c r="X172" t="s">
        <v>49</v>
      </c>
      <c r="Y172" t="s">
        <v>50</v>
      </c>
      <c r="Z172" t="s">
        <v>51</v>
      </c>
      <c r="AA172" t="s">
        <v>37</v>
      </c>
      <c r="AB172" t="s">
        <v>52</v>
      </c>
      <c r="AC172" t="s">
        <v>53</v>
      </c>
      <c r="AD172" t="s">
        <v>54</v>
      </c>
      <c r="AE172">
        <v>210.60987001399999</v>
      </c>
      <c r="AF172">
        <v>6806</v>
      </c>
      <c r="AG172">
        <v>6806.0055636400002</v>
      </c>
      <c r="AH172">
        <v>2106132.5976800001</v>
      </c>
      <c r="AI172">
        <v>48</v>
      </c>
      <c r="AJ172">
        <v>278956.07933268999</v>
      </c>
      <c r="AK172" s="1">
        <f>intersection_ss_Lnight___surface[[#This Row],[surf m2 bout ss]]/intersection_ss_Lnight___surface[[#This Row],[Shape_Area]]</f>
        <v>0.13244943819775293</v>
      </c>
      <c r="AL172">
        <v>838</v>
      </c>
      <c r="AM172">
        <f>intersection_ss_Lnight___surface[[#This Row],[Population totale 2024 ss]]*intersection_ss_Lnight___surface[[#This Row],[Part de la surface du qs dans le noise contour]]</f>
        <v>110.99262920971695</v>
      </c>
    </row>
    <row r="173" spans="1:39" x14ac:dyDescent="0.3">
      <c r="A173">
        <v>185</v>
      </c>
      <c r="B173" t="s">
        <v>583</v>
      </c>
      <c r="C173" t="s">
        <v>584</v>
      </c>
      <c r="D173" t="s">
        <v>585</v>
      </c>
      <c r="E173" t="s">
        <v>585</v>
      </c>
      <c r="F173" t="s">
        <v>568</v>
      </c>
      <c r="G173" t="s">
        <v>569</v>
      </c>
      <c r="H173" t="s">
        <v>570</v>
      </c>
      <c r="I173" t="s">
        <v>571</v>
      </c>
      <c r="J173" t="s">
        <v>36</v>
      </c>
      <c r="K173">
        <v>21004</v>
      </c>
      <c r="L173" t="s">
        <v>309</v>
      </c>
      <c r="M173" t="s">
        <v>310</v>
      </c>
      <c r="N173" t="s">
        <v>311</v>
      </c>
      <c r="O173">
        <v>21000</v>
      </c>
      <c r="P173" t="s">
        <v>46</v>
      </c>
      <c r="Q173" t="s">
        <v>47</v>
      </c>
      <c r="R173" t="s">
        <v>48</v>
      </c>
      <c r="T173" t="s">
        <v>36</v>
      </c>
      <c r="U173" t="s">
        <v>36</v>
      </c>
      <c r="V173" t="s">
        <v>36</v>
      </c>
      <c r="W173">
        <v>4000</v>
      </c>
      <c r="X173" t="s">
        <v>49</v>
      </c>
      <c r="Y173" t="s">
        <v>50</v>
      </c>
      <c r="Z173" t="s">
        <v>51</v>
      </c>
      <c r="AA173" t="s">
        <v>37</v>
      </c>
      <c r="AB173" t="s">
        <v>52</v>
      </c>
      <c r="AC173" t="s">
        <v>53</v>
      </c>
      <c r="AD173" t="s">
        <v>54</v>
      </c>
      <c r="AE173">
        <v>210.60987001399999</v>
      </c>
      <c r="AF173">
        <v>6806</v>
      </c>
      <c r="AG173">
        <v>6806.0055636400002</v>
      </c>
      <c r="AH173">
        <v>2106132.5976800001</v>
      </c>
      <c r="AI173">
        <v>49</v>
      </c>
      <c r="AJ173">
        <v>789734.70233588503</v>
      </c>
      <c r="AK173" s="1">
        <f>intersection_ss_Lnight___surface[[#This Row],[surf m2 bout ss]]/intersection_ss_Lnight___surface[[#This Row],[Shape_Area]]</f>
        <v>0.37496912739768301</v>
      </c>
      <c r="AL173">
        <v>838</v>
      </c>
      <c r="AM173">
        <f>intersection_ss_Lnight___surface[[#This Row],[Population totale 2024 ss]]*intersection_ss_Lnight___surface[[#This Row],[Part de la surface du qs dans le noise contour]]</f>
        <v>314.22412875925835</v>
      </c>
    </row>
    <row r="174" spans="1:39" x14ac:dyDescent="0.3">
      <c r="A174">
        <v>186</v>
      </c>
      <c r="B174" t="s">
        <v>583</v>
      </c>
      <c r="C174" t="s">
        <v>584</v>
      </c>
      <c r="D174" t="s">
        <v>585</v>
      </c>
      <c r="E174" t="s">
        <v>585</v>
      </c>
      <c r="F174" t="s">
        <v>568</v>
      </c>
      <c r="G174" t="s">
        <v>569</v>
      </c>
      <c r="H174" t="s">
        <v>570</v>
      </c>
      <c r="I174" t="s">
        <v>571</v>
      </c>
      <c r="J174" t="s">
        <v>36</v>
      </c>
      <c r="K174">
        <v>21004</v>
      </c>
      <c r="L174" t="s">
        <v>309</v>
      </c>
      <c r="M174" t="s">
        <v>310</v>
      </c>
      <c r="N174" t="s">
        <v>311</v>
      </c>
      <c r="O174">
        <v>21000</v>
      </c>
      <c r="P174" t="s">
        <v>46</v>
      </c>
      <c r="Q174" t="s">
        <v>47</v>
      </c>
      <c r="R174" t="s">
        <v>48</v>
      </c>
      <c r="T174" t="s">
        <v>36</v>
      </c>
      <c r="U174" t="s">
        <v>36</v>
      </c>
      <c r="V174" t="s">
        <v>36</v>
      </c>
      <c r="W174">
        <v>4000</v>
      </c>
      <c r="X174" t="s">
        <v>49</v>
      </c>
      <c r="Y174" t="s">
        <v>50</v>
      </c>
      <c r="Z174" t="s">
        <v>51</v>
      </c>
      <c r="AA174" t="s">
        <v>37</v>
      </c>
      <c r="AB174" t="s">
        <v>52</v>
      </c>
      <c r="AC174" t="s">
        <v>53</v>
      </c>
      <c r="AD174" t="s">
        <v>54</v>
      </c>
      <c r="AE174">
        <v>210.60987001399999</v>
      </c>
      <c r="AF174">
        <v>6806</v>
      </c>
      <c r="AG174">
        <v>6806.0055636400002</v>
      </c>
      <c r="AH174">
        <v>2106132.5976800001</v>
      </c>
      <c r="AI174">
        <v>50</v>
      </c>
      <c r="AJ174">
        <v>757745.43971089297</v>
      </c>
      <c r="AK174" s="1">
        <f>intersection_ss_Lnight___surface[[#This Row],[surf m2 bout ss]]/intersection_ss_Lnight___surface[[#This Row],[Shape_Area]]</f>
        <v>0.35978050030923203</v>
      </c>
      <c r="AL174">
        <v>838</v>
      </c>
      <c r="AM174">
        <f>intersection_ss_Lnight___surface[[#This Row],[Population totale 2024 ss]]*intersection_ss_Lnight___surface[[#This Row],[Part de la surface du qs dans le noise contour]]</f>
        <v>301.49605925913642</v>
      </c>
    </row>
    <row r="175" spans="1:39" x14ac:dyDescent="0.3">
      <c r="A175">
        <v>187</v>
      </c>
      <c r="B175" t="s">
        <v>583</v>
      </c>
      <c r="C175" t="s">
        <v>584</v>
      </c>
      <c r="D175" t="s">
        <v>585</v>
      </c>
      <c r="E175" t="s">
        <v>585</v>
      </c>
      <c r="F175" t="s">
        <v>568</v>
      </c>
      <c r="G175" t="s">
        <v>569</v>
      </c>
      <c r="H175" t="s">
        <v>570</v>
      </c>
      <c r="I175" t="s">
        <v>571</v>
      </c>
      <c r="J175" t="s">
        <v>36</v>
      </c>
      <c r="K175">
        <v>21004</v>
      </c>
      <c r="L175" t="s">
        <v>309</v>
      </c>
      <c r="M175" t="s">
        <v>310</v>
      </c>
      <c r="N175" t="s">
        <v>311</v>
      </c>
      <c r="O175">
        <v>21000</v>
      </c>
      <c r="P175" t="s">
        <v>46</v>
      </c>
      <c r="Q175" t="s">
        <v>47</v>
      </c>
      <c r="R175" t="s">
        <v>48</v>
      </c>
      <c r="T175" t="s">
        <v>36</v>
      </c>
      <c r="U175" t="s">
        <v>36</v>
      </c>
      <c r="V175" t="s">
        <v>36</v>
      </c>
      <c r="W175">
        <v>4000</v>
      </c>
      <c r="X175" t="s">
        <v>49</v>
      </c>
      <c r="Y175" t="s">
        <v>50</v>
      </c>
      <c r="Z175" t="s">
        <v>51</v>
      </c>
      <c r="AA175" t="s">
        <v>37</v>
      </c>
      <c r="AB175" t="s">
        <v>52</v>
      </c>
      <c r="AC175" t="s">
        <v>53</v>
      </c>
      <c r="AD175" t="s">
        <v>54</v>
      </c>
      <c r="AE175">
        <v>210.60987001399999</v>
      </c>
      <c r="AF175">
        <v>6806</v>
      </c>
      <c r="AG175">
        <v>6806.0055636400002</v>
      </c>
      <c r="AH175">
        <v>2106132.5976800001</v>
      </c>
      <c r="AI175">
        <v>51</v>
      </c>
      <c r="AJ175">
        <v>271107.23506012198</v>
      </c>
      <c r="AK175" s="1">
        <f>intersection_ss_Lnight___surface[[#This Row],[surf m2 bout ss]]/intersection_ss_Lnight___surface[[#This Row],[Shape_Area]]</f>
        <v>0.12872277621967335</v>
      </c>
      <c r="AL175">
        <v>838</v>
      </c>
      <c r="AM175">
        <f>intersection_ss_Lnight___surface[[#This Row],[Population totale 2024 ss]]*intersection_ss_Lnight___surface[[#This Row],[Part de la surface du qs dans le noise contour]]</f>
        <v>107.86968647208626</v>
      </c>
    </row>
    <row r="176" spans="1:39" x14ac:dyDescent="0.3">
      <c r="A176">
        <v>188</v>
      </c>
      <c r="B176" t="s">
        <v>583</v>
      </c>
      <c r="C176" t="s">
        <v>584</v>
      </c>
      <c r="D176" t="s">
        <v>585</v>
      </c>
      <c r="E176" t="s">
        <v>585</v>
      </c>
      <c r="F176" t="s">
        <v>568</v>
      </c>
      <c r="G176" t="s">
        <v>569</v>
      </c>
      <c r="H176" t="s">
        <v>570</v>
      </c>
      <c r="I176" t="s">
        <v>571</v>
      </c>
      <c r="J176" t="s">
        <v>36</v>
      </c>
      <c r="K176">
        <v>21004</v>
      </c>
      <c r="L176" t="s">
        <v>309</v>
      </c>
      <c r="M176" t="s">
        <v>310</v>
      </c>
      <c r="N176" t="s">
        <v>311</v>
      </c>
      <c r="O176">
        <v>21000</v>
      </c>
      <c r="P176" t="s">
        <v>46</v>
      </c>
      <c r="Q176" t="s">
        <v>47</v>
      </c>
      <c r="R176" t="s">
        <v>48</v>
      </c>
      <c r="T176" t="s">
        <v>36</v>
      </c>
      <c r="U176" t="s">
        <v>36</v>
      </c>
      <c r="V176" t="s">
        <v>36</v>
      </c>
      <c r="W176">
        <v>4000</v>
      </c>
      <c r="X176" t="s">
        <v>49</v>
      </c>
      <c r="Y176" t="s">
        <v>50</v>
      </c>
      <c r="Z176" t="s">
        <v>51</v>
      </c>
      <c r="AA176" t="s">
        <v>37</v>
      </c>
      <c r="AB176" t="s">
        <v>52</v>
      </c>
      <c r="AC176" t="s">
        <v>53</v>
      </c>
      <c r="AD176" t="s">
        <v>54</v>
      </c>
      <c r="AE176">
        <v>210.60987001399999</v>
      </c>
      <c r="AF176">
        <v>6806</v>
      </c>
      <c r="AG176">
        <v>6806.0055636400002</v>
      </c>
      <c r="AH176">
        <v>2106132.5976800001</v>
      </c>
      <c r="AI176">
        <v>52</v>
      </c>
      <c r="AJ176">
        <v>3434.1713341987902</v>
      </c>
      <c r="AK176" s="1">
        <f>intersection_ss_Lnight___surface[[#This Row],[surf m2 bout ss]]/intersection_ss_Lnight___surface[[#This Row],[Shape_Area]]</f>
        <v>1.6305579895499859E-3</v>
      </c>
      <c r="AL176">
        <v>838</v>
      </c>
      <c r="AM176">
        <f>intersection_ss_Lnight___surface[[#This Row],[Population totale 2024 ss]]*intersection_ss_Lnight___surface[[#This Row],[Part de la surface du qs dans le noise contour]]</f>
        <v>1.3664075952428882</v>
      </c>
    </row>
    <row r="177" spans="1:39" x14ac:dyDescent="0.3">
      <c r="A177">
        <v>189</v>
      </c>
      <c r="B177" t="s">
        <v>617</v>
      </c>
      <c r="C177" t="s">
        <v>618</v>
      </c>
      <c r="D177" t="s">
        <v>619</v>
      </c>
      <c r="E177" t="s">
        <v>619</v>
      </c>
      <c r="F177" t="s">
        <v>620</v>
      </c>
      <c r="G177" t="s">
        <v>621</v>
      </c>
      <c r="H177" t="s">
        <v>622</v>
      </c>
      <c r="I177" t="s">
        <v>622</v>
      </c>
      <c r="J177" t="s">
        <v>36</v>
      </c>
      <c r="K177">
        <v>21006</v>
      </c>
      <c r="L177" t="s">
        <v>623</v>
      </c>
      <c r="M177" t="s">
        <v>623</v>
      </c>
      <c r="N177" t="s">
        <v>623</v>
      </c>
      <c r="O177">
        <v>21000</v>
      </c>
      <c r="P177" t="s">
        <v>46</v>
      </c>
      <c r="Q177" t="s">
        <v>47</v>
      </c>
      <c r="R177" t="s">
        <v>48</v>
      </c>
      <c r="T177" t="s">
        <v>36</v>
      </c>
      <c r="U177" t="s">
        <v>36</v>
      </c>
      <c r="V177" t="s">
        <v>36</v>
      </c>
      <c r="W177">
        <v>4000</v>
      </c>
      <c r="X177" t="s">
        <v>49</v>
      </c>
      <c r="Y177" t="s">
        <v>50</v>
      </c>
      <c r="Z177" t="s">
        <v>51</v>
      </c>
      <c r="AA177" t="s">
        <v>37</v>
      </c>
      <c r="AB177" t="s">
        <v>52</v>
      </c>
      <c r="AC177" t="s">
        <v>53</v>
      </c>
      <c r="AD177" t="s">
        <v>54</v>
      </c>
      <c r="AE177">
        <v>19.5351172246</v>
      </c>
      <c r="AF177">
        <v>2786</v>
      </c>
      <c r="AG177">
        <v>2786.3202709799998</v>
      </c>
      <c r="AH177">
        <v>195354.32347100001</v>
      </c>
      <c r="AI177">
        <v>44</v>
      </c>
      <c r="AJ177">
        <v>11.563478440977599</v>
      </c>
      <c r="AK177" s="1">
        <f>intersection_ss_Lnight___surface[[#This Row],[surf m2 bout ss]]/intersection_ss_Lnight___surface[[#This Row],[Shape_Area]]</f>
        <v>5.9192334397933997E-5</v>
      </c>
      <c r="AL177">
        <v>3318</v>
      </c>
      <c r="AM177">
        <f>intersection_ss_Lnight___surface[[#This Row],[Population totale 2024 ss]]*intersection_ss_Lnight___surface[[#This Row],[Part de la surface du qs dans le noise contour]]</f>
        <v>0.19640016553234499</v>
      </c>
    </row>
    <row r="178" spans="1:39" x14ac:dyDescent="0.3">
      <c r="A178">
        <v>190</v>
      </c>
      <c r="B178" t="s">
        <v>617</v>
      </c>
      <c r="C178" t="s">
        <v>618</v>
      </c>
      <c r="D178" t="s">
        <v>619</v>
      </c>
      <c r="E178" t="s">
        <v>619</v>
      </c>
      <c r="F178" t="s">
        <v>620</v>
      </c>
      <c r="G178" t="s">
        <v>621</v>
      </c>
      <c r="H178" t="s">
        <v>622</v>
      </c>
      <c r="I178" t="s">
        <v>622</v>
      </c>
      <c r="J178" t="s">
        <v>36</v>
      </c>
      <c r="K178">
        <v>21006</v>
      </c>
      <c r="L178" t="s">
        <v>623</v>
      </c>
      <c r="M178" t="s">
        <v>623</v>
      </c>
      <c r="N178" t="s">
        <v>623</v>
      </c>
      <c r="O178">
        <v>21000</v>
      </c>
      <c r="P178" t="s">
        <v>46</v>
      </c>
      <c r="Q178" t="s">
        <v>47</v>
      </c>
      <c r="R178" t="s">
        <v>48</v>
      </c>
      <c r="T178" t="s">
        <v>36</v>
      </c>
      <c r="U178" t="s">
        <v>36</v>
      </c>
      <c r="V178" t="s">
        <v>36</v>
      </c>
      <c r="W178">
        <v>4000</v>
      </c>
      <c r="X178" t="s">
        <v>49</v>
      </c>
      <c r="Y178" t="s">
        <v>50</v>
      </c>
      <c r="Z178" t="s">
        <v>51</v>
      </c>
      <c r="AA178" t="s">
        <v>37</v>
      </c>
      <c r="AB178" t="s">
        <v>52</v>
      </c>
      <c r="AC178" t="s">
        <v>53</v>
      </c>
      <c r="AD178" t="s">
        <v>54</v>
      </c>
      <c r="AE178">
        <v>19.5351172246</v>
      </c>
      <c r="AF178">
        <v>2786</v>
      </c>
      <c r="AG178">
        <v>2786.3202709799998</v>
      </c>
      <c r="AH178">
        <v>195354.32347100001</v>
      </c>
      <c r="AI178">
        <v>45</v>
      </c>
      <c r="AJ178">
        <v>50269.379467678496</v>
      </c>
      <c r="AK178" s="1">
        <f>intersection_ss_Lnight___surface[[#This Row],[surf m2 bout ss]]/intersection_ss_Lnight___surface[[#This Row],[Shape_Area]]</f>
        <v>0.25732412047251613</v>
      </c>
      <c r="AL178">
        <v>3318</v>
      </c>
      <c r="AM178">
        <f>intersection_ss_Lnight___surface[[#This Row],[Population totale 2024 ss]]*intersection_ss_Lnight___surface[[#This Row],[Part de la surface du qs dans le noise contour]]</f>
        <v>853.80143172780856</v>
      </c>
    </row>
    <row r="179" spans="1:39" x14ac:dyDescent="0.3">
      <c r="A179">
        <v>191</v>
      </c>
      <c r="B179" t="s">
        <v>617</v>
      </c>
      <c r="C179" t="s">
        <v>618</v>
      </c>
      <c r="D179" t="s">
        <v>619</v>
      </c>
      <c r="E179" t="s">
        <v>619</v>
      </c>
      <c r="F179" t="s">
        <v>620</v>
      </c>
      <c r="G179" t="s">
        <v>621</v>
      </c>
      <c r="H179" t="s">
        <v>622</v>
      </c>
      <c r="I179" t="s">
        <v>622</v>
      </c>
      <c r="J179" t="s">
        <v>36</v>
      </c>
      <c r="K179">
        <v>21006</v>
      </c>
      <c r="L179" t="s">
        <v>623</v>
      </c>
      <c r="M179" t="s">
        <v>623</v>
      </c>
      <c r="N179" t="s">
        <v>623</v>
      </c>
      <c r="O179">
        <v>21000</v>
      </c>
      <c r="P179" t="s">
        <v>46</v>
      </c>
      <c r="Q179" t="s">
        <v>47</v>
      </c>
      <c r="R179" t="s">
        <v>48</v>
      </c>
      <c r="T179" t="s">
        <v>36</v>
      </c>
      <c r="U179" t="s">
        <v>36</v>
      </c>
      <c r="V179" t="s">
        <v>36</v>
      </c>
      <c r="W179">
        <v>4000</v>
      </c>
      <c r="X179" t="s">
        <v>49</v>
      </c>
      <c r="Y179" t="s">
        <v>50</v>
      </c>
      <c r="Z179" t="s">
        <v>51</v>
      </c>
      <c r="AA179" t="s">
        <v>37</v>
      </c>
      <c r="AB179" t="s">
        <v>52</v>
      </c>
      <c r="AC179" t="s">
        <v>53</v>
      </c>
      <c r="AD179" t="s">
        <v>54</v>
      </c>
      <c r="AE179">
        <v>19.5351172246</v>
      </c>
      <c r="AF179">
        <v>2786</v>
      </c>
      <c r="AG179">
        <v>2786.3202709799998</v>
      </c>
      <c r="AH179">
        <v>195354.32347100001</v>
      </c>
      <c r="AI179">
        <v>46</v>
      </c>
      <c r="AJ179">
        <v>97718.343945931396</v>
      </c>
      <c r="AK179" s="1">
        <f>intersection_ss_Lnight___surface[[#This Row],[surf m2 bout ss]]/intersection_ss_Lnight___surface[[#This Row],[Shape_Area]]</f>
        <v>0.50021080777583871</v>
      </c>
      <c r="AL179">
        <v>3318</v>
      </c>
      <c r="AM179">
        <f>intersection_ss_Lnight___surface[[#This Row],[Population totale 2024 ss]]*intersection_ss_Lnight___surface[[#This Row],[Part de la surface du qs dans le noise contour]]</f>
        <v>1659.6994602002328</v>
      </c>
    </row>
    <row r="180" spans="1:39" x14ac:dyDescent="0.3">
      <c r="A180">
        <v>192</v>
      </c>
      <c r="B180" t="s">
        <v>617</v>
      </c>
      <c r="C180" t="s">
        <v>618</v>
      </c>
      <c r="D180" t="s">
        <v>619</v>
      </c>
      <c r="E180" t="s">
        <v>619</v>
      </c>
      <c r="F180" t="s">
        <v>620</v>
      </c>
      <c r="G180" t="s">
        <v>621</v>
      </c>
      <c r="H180" t="s">
        <v>622</v>
      </c>
      <c r="I180" t="s">
        <v>622</v>
      </c>
      <c r="J180" t="s">
        <v>36</v>
      </c>
      <c r="K180">
        <v>21006</v>
      </c>
      <c r="L180" t="s">
        <v>623</v>
      </c>
      <c r="M180" t="s">
        <v>623</v>
      </c>
      <c r="N180" t="s">
        <v>623</v>
      </c>
      <c r="O180">
        <v>21000</v>
      </c>
      <c r="P180" t="s">
        <v>46</v>
      </c>
      <c r="Q180" t="s">
        <v>47</v>
      </c>
      <c r="R180" t="s">
        <v>48</v>
      </c>
      <c r="T180" t="s">
        <v>36</v>
      </c>
      <c r="U180" t="s">
        <v>36</v>
      </c>
      <c r="V180" t="s">
        <v>36</v>
      </c>
      <c r="W180">
        <v>4000</v>
      </c>
      <c r="X180" t="s">
        <v>49</v>
      </c>
      <c r="Y180" t="s">
        <v>50</v>
      </c>
      <c r="Z180" t="s">
        <v>51</v>
      </c>
      <c r="AA180" t="s">
        <v>37</v>
      </c>
      <c r="AB180" t="s">
        <v>52</v>
      </c>
      <c r="AC180" t="s">
        <v>53</v>
      </c>
      <c r="AD180" t="s">
        <v>54</v>
      </c>
      <c r="AE180">
        <v>19.5351172246</v>
      </c>
      <c r="AF180">
        <v>2786</v>
      </c>
      <c r="AG180">
        <v>2786.3202709799998</v>
      </c>
      <c r="AH180">
        <v>195354.32347100001</v>
      </c>
      <c r="AI180">
        <v>47</v>
      </c>
      <c r="AJ180">
        <v>47372.978921514899</v>
      </c>
      <c r="AK180" s="1">
        <f>intersection_ss_Lnight___surface[[#This Row],[surf m2 bout ss]]/intersection_ss_Lnight___surface[[#This Row],[Shape_Area]]</f>
        <v>0.24249772454382015</v>
      </c>
      <c r="AL180">
        <v>3318</v>
      </c>
      <c r="AM180">
        <f>intersection_ss_Lnight___surface[[#This Row],[Population totale 2024 ss]]*intersection_ss_Lnight___surface[[#This Row],[Part de la surface du qs dans le noise contour]]</f>
        <v>804.60745003639522</v>
      </c>
    </row>
    <row r="181" spans="1:39" x14ac:dyDescent="0.3">
      <c r="A181">
        <v>193</v>
      </c>
      <c r="B181" t="s">
        <v>624</v>
      </c>
      <c r="C181" t="s">
        <v>246</v>
      </c>
      <c r="D181" t="s">
        <v>247</v>
      </c>
      <c r="E181" t="s">
        <v>247</v>
      </c>
      <c r="F181" t="s">
        <v>620</v>
      </c>
      <c r="G181" t="s">
        <v>621</v>
      </c>
      <c r="H181" t="s">
        <v>622</v>
      </c>
      <c r="I181" t="s">
        <v>622</v>
      </c>
      <c r="J181" t="s">
        <v>36</v>
      </c>
      <c r="K181">
        <v>21006</v>
      </c>
      <c r="L181" t="s">
        <v>623</v>
      </c>
      <c r="M181" t="s">
        <v>623</v>
      </c>
      <c r="N181" t="s">
        <v>623</v>
      </c>
      <c r="O181">
        <v>21000</v>
      </c>
      <c r="P181" t="s">
        <v>46</v>
      </c>
      <c r="Q181" t="s">
        <v>47</v>
      </c>
      <c r="R181" t="s">
        <v>48</v>
      </c>
      <c r="T181" t="s">
        <v>36</v>
      </c>
      <c r="U181" t="s">
        <v>36</v>
      </c>
      <c r="V181" t="s">
        <v>36</v>
      </c>
      <c r="W181">
        <v>4000</v>
      </c>
      <c r="X181" t="s">
        <v>49</v>
      </c>
      <c r="Y181" t="s">
        <v>50</v>
      </c>
      <c r="Z181" t="s">
        <v>51</v>
      </c>
      <c r="AA181" t="s">
        <v>37</v>
      </c>
      <c r="AB181" t="s">
        <v>52</v>
      </c>
      <c r="AC181" t="s">
        <v>53</v>
      </c>
      <c r="AD181" t="s">
        <v>54</v>
      </c>
      <c r="AE181">
        <v>18.4555597634</v>
      </c>
      <c r="AF181">
        <v>1759</v>
      </c>
      <c r="AG181">
        <v>1758.5939355099999</v>
      </c>
      <c r="AH181">
        <v>184558.56810500001</v>
      </c>
      <c r="AI181">
        <v>44</v>
      </c>
      <c r="AJ181">
        <v>2505.5544802760701</v>
      </c>
      <c r="AK181" s="1">
        <f>intersection_ss_Lnight___surface[[#This Row],[surf m2 bout ss]]/intersection_ss_Lnight___surface[[#This Row],[Shape_Area]]</f>
        <v>1.3575931510535979E-2</v>
      </c>
      <c r="AL181">
        <v>2874</v>
      </c>
      <c r="AM181">
        <f>intersection_ss_Lnight___surface[[#This Row],[Population totale 2024 ss]]*intersection_ss_Lnight___surface[[#This Row],[Part de la surface du qs dans le noise contour]]</f>
        <v>39.017227161280402</v>
      </c>
    </row>
    <row r="182" spans="1:39" x14ac:dyDescent="0.3">
      <c r="A182">
        <v>194</v>
      </c>
      <c r="B182" t="s">
        <v>624</v>
      </c>
      <c r="C182" t="s">
        <v>246</v>
      </c>
      <c r="D182" t="s">
        <v>247</v>
      </c>
      <c r="E182" t="s">
        <v>247</v>
      </c>
      <c r="F182" t="s">
        <v>620</v>
      </c>
      <c r="G182" t="s">
        <v>621</v>
      </c>
      <c r="H182" t="s">
        <v>622</v>
      </c>
      <c r="I182" t="s">
        <v>622</v>
      </c>
      <c r="J182" t="s">
        <v>36</v>
      </c>
      <c r="K182">
        <v>21006</v>
      </c>
      <c r="L182" t="s">
        <v>623</v>
      </c>
      <c r="M182" t="s">
        <v>623</v>
      </c>
      <c r="N182" t="s">
        <v>623</v>
      </c>
      <c r="O182">
        <v>21000</v>
      </c>
      <c r="P182" t="s">
        <v>46</v>
      </c>
      <c r="Q182" t="s">
        <v>47</v>
      </c>
      <c r="R182" t="s">
        <v>48</v>
      </c>
      <c r="T182" t="s">
        <v>36</v>
      </c>
      <c r="U182" t="s">
        <v>36</v>
      </c>
      <c r="V182" t="s">
        <v>36</v>
      </c>
      <c r="W182">
        <v>4000</v>
      </c>
      <c r="X182" t="s">
        <v>49</v>
      </c>
      <c r="Y182" t="s">
        <v>50</v>
      </c>
      <c r="Z182" t="s">
        <v>51</v>
      </c>
      <c r="AA182" t="s">
        <v>37</v>
      </c>
      <c r="AB182" t="s">
        <v>52</v>
      </c>
      <c r="AC182" t="s">
        <v>53</v>
      </c>
      <c r="AD182" t="s">
        <v>54</v>
      </c>
      <c r="AE182">
        <v>18.4555597634</v>
      </c>
      <c r="AF182">
        <v>1759</v>
      </c>
      <c r="AG182">
        <v>1758.5939355099999</v>
      </c>
      <c r="AH182">
        <v>184558.56810500001</v>
      </c>
      <c r="AI182">
        <v>45</v>
      </c>
      <c r="AJ182">
        <v>154111.19827552201</v>
      </c>
      <c r="AK182" s="1">
        <f>intersection_ss_Lnight___surface[[#This Row],[surf m2 bout ss]]/intersection_ss_Lnight___surface[[#This Row],[Shape_Area]]</f>
        <v>0.83502597499480091</v>
      </c>
      <c r="AL182">
        <v>2874</v>
      </c>
      <c r="AM182">
        <f>intersection_ss_Lnight___surface[[#This Row],[Population totale 2024 ss]]*intersection_ss_Lnight___surface[[#This Row],[Part de la surface du qs dans le noise contour]]</f>
        <v>2399.8646521350579</v>
      </c>
    </row>
    <row r="183" spans="1:39" x14ac:dyDescent="0.3">
      <c r="A183">
        <v>195</v>
      </c>
      <c r="B183" t="s">
        <v>624</v>
      </c>
      <c r="C183" t="s">
        <v>246</v>
      </c>
      <c r="D183" t="s">
        <v>247</v>
      </c>
      <c r="E183" t="s">
        <v>247</v>
      </c>
      <c r="F183" t="s">
        <v>620</v>
      </c>
      <c r="G183" t="s">
        <v>621</v>
      </c>
      <c r="H183" t="s">
        <v>622</v>
      </c>
      <c r="I183" t="s">
        <v>622</v>
      </c>
      <c r="J183" t="s">
        <v>36</v>
      </c>
      <c r="K183">
        <v>21006</v>
      </c>
      <c r="L183" t="s">
        <v>623</v>
      </c>
      <c r="M183" t="s">
        <v>623</v>
      </c>
      <c r="N183" t="s">
        <v>623</v>
      </c>
      <c r="O183">
        <v>21000</v>
      </c>
      <c r="P183" t="s">
        <v>46</v>
      </c>
      <c r="Q183" t="s">
        <v>47</v>
      </c>
      <c r="R183" t="s">
        <v>48</v>
      </c>
      <c r="T183" t="s">
        <v>36</v>
      </c>
      <c r="U183" t="s">
        <v>36</v>
      </c>
      <c r="V183" t="s">
        <v>36</v>
      </c>
      <c r="W183">
        <v>4000</v>
      </c>
      <c r="X183" t="s">
        <v>49</v>
      </c>
      <c r="Y183" t="s">
        <v>50</v>
      </c>
      <c r="Z183" t="s">
        <v>51</v>
      </c>
      <c r="AA183" t="s">
        <v>37</v>
      </c>
      <c r="AB183" t="s">
        <v>52</v>
      </c>
      <c r="AC183" t="s">
        <v>53</v>
      </c>
      <c r="AD183" t="s">
        <v>54</v>
      </c>
      <c r="AE183">
        <v>18.4555597634</v>
      </c>
      <c r="AF183">
        <v>1759</v>
      </c>
      <c r="AG183">
        <v>1758.5939355099999</v>
      </c>
      <c r="AH183">
        <v>184558.56810500001</v>
      </c>
      <c r="AI183">
        <v>46</v>
      </c>
      <c r="AJ183">
        <v>27958.907632169499</v>
      </c>
      <c r="AK183" s="1">
        <f>intersection_ss_Lnight___surface[[#This Row],[surf m2 bout ss]]/intersection_ss_Lnight___surface[[#This Row],[Shape_Area]]</f>
        <v>0.1514907051958865</v>
      </c>
      <c r="AL183">
        <v>2874</v>
      </c>
      <c r="AM183">
        <f>intersection_ss_Lnight___surface[[#This Row],[Population totale 2024 ss]]*intersection_ss_Lnight___surface[[#This Row],[Part de la surface du qs dans le noise contour]]</f>
        <v>435.38428673297784</v>
      </c>
    </row>
    <row r="184" spans="1:39" x14ac:dyDescent="0.3">
      <c r="A184">
        <v>196</v>
      </c>
      <c r="B184" t="s">
        <v>625</v>
      </c>
      <c r="C184" t="s">
        <v>626</v>
      </c>
      <c r="D184" t="s">
        <v>626</v>
      </c>
      <c r="E184" t="s">
        <v>626</v>
      </c>
      <c r="F184" t="s">
        <v>620</v>
      </c>
      <c r="G184" t="s">
        <v>621</v>
      </c>
      <c r="H184" t="s">
        <v>622</v>
      </c>
      <c r="I184" t="s">
        <v>622</v>
      </c>
      <c r="J184" t="s">
        <v>36</v>
      </c>
      <c r="K184">
        <v>21006</v>
      </c>
      <c r="L184" t="s">
        <v>623</v>
      </c>
      <c r="M184" t="s">
        <v>623</v>
      </c>
      <c r="N184" t="s">
        <v>623</v>
      </c>
      <c r="O184">
        <v>21000</v>
      </c>
      <c r="P184" t="s">
        <v>46</v>
      </c>
      <c r="Q184" t="s">
        <v>47</v>
      </c>
      <c r="R184" t="s">
        <v>48</v>
      </c>
      <c r="T184" t="s">
        <v>36</v>
      </c>
      <c r="U184" t="s">
        <v>36</v>
      </c>
      <c r="V184" t="s">
        <v>36</v>
      </c>
      <c r="W184">
        <v>4000</v>
      </c>
      <c r="X184" t="s">
        <v>49</v>
      </c>
      <c r="Y184" t="s">
        <v>50</v>
      </c>
      <c r="Z184" t="s">
        <v>51</v>
      </c>
      <c r="AA184" t="s">
        <v>37</v>
      </c>
      <c r="AB184" t="s">
        <v>52</v>
      </c>
      <c r="AC184" t="s">
        <v>53</v>
      </c>
      <c r="AD184" t="s">
        <v>54</v>
      </c>
      <c r="AE184">
        <v>3.4654100864899999</v>
      </c>
      <c r="AF184">
        <v>766</v>
      </c>
      <c r="AG184">
        <v>765.83381624799995</v>
      </c>
      <c r="AH184">
        <v>34654.656790699999</v>
      </c>
      <c r="AI184">
        <v>45</v>
      </c>
      <c r="AJ184">
        <v>32891.6817966546</v>
      </c>
      <c r="AK184" s="1">
        <f>intersection_ss_Lnight___surface[[#This Row],[surf m2 bout ss]]/intersection_ss_Lnight___surface[[#This Row],[Shape_Area]]</f>
        <v>0.94912732783091613</v>
      </c>
      <c r="AL184">
        <v>721</v>
      </c>
      <c r="AM184">
        <f>intersection_ss_Lnight___surface[[#This Row],[Population totale 2024 ss]]*intersection_ss_Lnight___surface[[#This Row],[Part de la surface du qs dans le noise contour]]</f>
        <v>684.32080336609056</v>
      </c>
    </row>
    <row r="185" spans="1:39" x14ac:dyDescent="0.3">
      <c r="A185">
        <v>197</v>
      </c>
      <c r="B185" t="s">
        <v>625</v>
      </c>
      <c r="C185" t="s">
        <v>626</v>
      </c>
      <c r="D185" t="s">
        <v>626</v>
      </c>
      <c r="E185" t="s">
        <v>626</v>
      </c>
      <c r="F185" t="s">
        <v>620</v>
      </c>
      <c r="G185" t="s">
        <v>621</v>
      </c>
      <c r="H185" t="s">
        <v>622</v>
      </c>
      <c r="I185" t="s">
        <v>622</v>
      </c>
      <c r="J185" t="s">
        <v>36</v>
      </c>
      <c r="K185">
        <v>21006</v>
      </c>
      <c r="L185" t="s">
        <v>623</v>
      </c>
      <c r="M185" t="s">
        <v>623</v>
      </c>
      <c r="N185" t="s">
        <v>623</v>
      </c>
      <c r="O185">
        <v>21000</v>
      </c>
      <c r="P185" t="s">
        <v>46</v>
      </c>
      <c r="Q185" t="s">
        <v>47</v>
      </c>
      <c r="R185" t="s">
        <v>48</v>
      </c>
      <c r="T185" t="s">
        <v>36</v>
      </c>
      <c r="U185" t="s">
        <v>36</v>
      </c>
      <c r="V185" t="s">
        <v>36</v>
      </c>
      <c r="W185">
        <v>4000</v>
      </c>
      <c r="X185" t="s">
        <v>49</v>
      </c>
      <c r="Y185" t="s">
        <v>50</v>
      </c>
      <c r="Z185" t="s">
        <v>51</v>
      </c>
      <c r="AA185" t="s">
        <v>37</v>
      </c>
      <c r="AB185" t="s">
        <v>52</v>
      </c>
      <c r="AC185" t="s">
        <v>53</v>
      </c>
      <c r="AD185" t="s">
        <v>54</v>
      </c>
      <c r="AE185">
        <v>3.4654100864899999</v>
      </c>
      <c r="AF185">
        <v>766</v>
      </c>
      <c r="AG185">
        <v>765.83381624799995</v>
      </c>
      <c r="AH185">
        <v>34654.656790699999</v>
      </c>
      <c r="AI185">
        <v>46</v>
      </c>
      <c r="AJ185">
        <v>1766.1538187861399</v>
      </c>
      <c r="AK185" s="1">
        <f>intersection_ss_Lnight___surface[[#This Row],[surf m2 bout ss]]/intersection_ss_Lnight___surface[[#This Row],[Shape_Area]]</f>
        <v>5.0964400814960863E-2</v>
      </c>
      <c r="AL185">
        <v>721</v>
      </c>
      <c r="AM185">
        <f>intersection_ss_Lnight___surface[[#This Row],[Population totale 2024 ss]]*intersection_ss_Lnight___surface[[#This Row],[Part de la surface du qs dans le noise contour]]</f>
        <v>36.745332987586785</v>
      </c>
    </row>
    <row r="186" spans="1:39" x14ac:dyDescent="0.3">
      <c r="A186">
        <v>198</v>
      </c>
      <c r="B186" t="s">
        <v>627</v>
      </c>
      <c r="C186" t="s">
        <v>628</v>
      </c>
      <c r="D186" t="s">
        <v>629</v>
      </c>
      <c r="E186" t="s">
        <v>629</v>
      </c>
      <c r="F186" t="s">
        <v>620</v>
      </c>
      <c r="G186" t="s">
        <v>621</v>
      </c>
      <c r="H186" t="s">
        <v>622</v>
      </c>
      <c r="I186" t="s">
        <v>622</v>
      </c>
      <c r="J186" t="s">
        <v>36</v>
      </c>
      <c r="K186">
        <v>21006</v>
      </c>
      <c r="L186" t="s">
        <v>623</v>
      </c>
      <c r="M186" t="s">
        <v>623</v>
      </c>
      <c r="N186" t="s">
        <v>623</v>
      </c>
      <c r="O186">
        <v>21000</v>
      </c>
      <c r="P186" t="s">
        <v>46</v>
      </c>
      <c r="Q186" t="s">
        <v>47</v>
      </c>
      <c r="R186" t="s">
        <v>48</v>
      </c>
      <c r="T186" t="s">
        <v>36</v>
      </c>
      <c r="U186" t="s">
        <v>36</v>
      </c>
      <c r="V186" t="s">
        <v>36</v>
      </c>
      <c r="W186">
        <v>4000</v>
      </c>
      <c r="X186" t="s">
        <v>49</v>
      </c>
      <c r="Y186" t="s">
        <v>50</v>
      </c>
      <c r="Z186" t="s">
        <v>51</v>
      </c>
      <c r="AA186" t="s">
        <v>37</v>
      </c>
      <c r="AB186" t="s">
        <v>52</v>
      </c>
      <c r="AC186" t="s">
        <v>53</v>
      </c>
      <c r="AD186" t="s">
        <v>54</v>
      </c>
      <c r="AE186">
        <v>1.8388703253400001</v>
      </c>
      <c r="AF186">
        <v>581</v>
      </c>
      <c r="AG186">
        <v>580.73387974599996</v>
      </c>
      <c r="AH186">
        <v>18389.0041351</v>
      </c>
      <c r="AI186">
        <v>46</v>
      </c>
      <c r="AJ186">
        <v>8676.3619044199604</v>
      </c>
      <c r="AK186" s="1">
        <f>intersection_ss_Lnight___surface[[#This Row],[surf m2 bout ss]]/intersection_ss_Lnight___surface[[#This Row],[Shape_Area]]</f>
        <v>0.4718233701334027</v>
      </c>
      <c r="AL186">
        <v>853</v>
      </c>
      <c r="AM186">
        <f>intersection_ss_Lnight___surface[[#This Row],[Population totale 2024 ss]]*intersection_ss_Lnight___surface[[#This Row],[Part de la surface du qs dans le noise contour]]</f>
        <v>402.46533472379252</v>
      </c>
    </row>
    <row r="187" spans="1:39" x14ac:dyDescent="0.3">
      <c r="A187">
        <v>199</v>
      </c>
      <c r="B187" t="s">
        <v>627</v>
      </c>
      <c r="C187" t="s">
        <v>628</v>
      </c>
      <c r="D187" t="s">
        <v>629</v>
      </c>
      <c r="E187" t="s">
        <v>629</v>
      </c>
      <c r="F187" t="s">
        <v>620</v>
      </c>
      <c r="G187" t="s">
        <v>621</v>
      </c>
      <c r="H187" t="s">
        <v>622</v>
      </c>
      <c r="I187" t="s">
        <v>622</v>
      </c>
      <c r="J187" t="s">
        <v>36</v>
      </c>
      <c r="K187">
        <v>21006</v>
      </c>
      <c r="L187" t="s">
        <v>623</v>
      </c>
      <c r="M187" t="s">
        <v>623</v>
      </c>
      <c r="N187" t="s">
        <v>623</v>
      </c>
      <c r="O187">
        <v>21000</v>
      </c>
      <c r="P187" t="s">
        <v>46</v>
      </c>
      <c r="Q187" t="s">
        <v>47</v>
      </c>
      <c r="R187" t="s">
        <v>48</v>
      </c>
      <c r="T187" t="s">
        <v>36</v>
      </c>
      <c r="U187" t="s">
        <v>36</v>
      </c>
      <c r="V187" t="s">
        <v>36</v>
      </c>
      <c r="W187">
        <v>4000</v>
      </c>
      <c r="X187" t="s">
        <v>49</v>
      </c>
      <c r="Y187" t="s">
        <v>50</v>
      </c>
      <c r="Z187" t="s">
        <v>51</v>
      </c>
      <c r="AA187" t="s">
        <v>37</v>
      </c>
      <c r="AB187" t="s">
        <v>52</v>
      </c>
      <c r="AC187" t="s">
        <v>53</v>
      </c>
      <c r="AD187" t="s">
        <v>54</v>
      </c>
      <c r="AE187">
        <v>1.8388703253400001</v>
      </c>
      <c r="AF187">
        <v>581</v>
      </c>
      <c r="AG187">
        <v>580.73387974599996</v>
      </c>
      <c r="AH187">
        <v>18389.0041351</v>
      </c>
      <c r="AI187">
        <v>47</v>
      </c>
      <c r="AJ187">
        <v>9714.3212031358908</v>
      </c>
      <c r="AK187" s="1">
        <f>intersection_ss_Lnight___surface[[#This Row],[surf m2 bout ss]]/intersection_ss_Lnight___surface[[#This Row],[Shape_Area]]</f>
        <v>0.52826793293246843</v>
      </c>
      <c r="AL187">
        <v>853</v>
      </c>
      <c r="AM187">
        <f>intersection_ss_Lnight___surface[[#This Row],[Population totale 2024 ss]]*intersection_ss_Lnight___surface[[#This Row],[Part de la surface du qs dans le noise contour]]</f>
        <v>450.61254679139557</v>
      </c>
    </row>
    <row r="188" spans="1:39" x14ac:dyDescent="0.3">
      <c r="A188">
        <v>200</v>
      </c>
      <c r="B188" t="s">
        <v>630</v>
      </c>
      <c r="C188" t="s">
        <v>631</v>
      </c>
      <c r="D188" t="s">
        <v>631</v>
      </c>
      <c r="E188" t="s">
        <v>631</v>
      </c>
      <c r="F188" t="s">
        <v>620</v>
      </c>
      <c r="G188" t="s">
        <v>621</v>
      </c>
      <c r="H188" t="s">
        <v>622</v>
      </c>
      <c r="I188" t="s">
        <v>622</v>
      </c>
      <c r="J188" t="s">
        <v>36</v>
      </c>
      <c r="K188">
        <v>21006</v>
      </c>
      <c r="L188" t="s">
        <v>623</v>
      </c>
      <c r="M188" t="s">
        <v>623</v>
      </c>
      <c r="N188" t="s">
        <v>623</v>
      </c>
      <c r="O188">
        <v>21000</v>
      </c>
      <c r="P188" t="s">
        <v>46</v>
      </c>
      <c r="Q188" t="s">
        <v>47</v>
      </c>
      <c r="R188" t="s">
        <v>48</v>
      </c>
      <c r="T188" t="s">
        <v>36</v>
      </c>
      <c r="U188" t="s">
        <v>36</v>
      </c>
      <c r="V188" t="s">
        <v>36</v>
      </c>
      <c r="W188">
        <v>4000</v>
      </c>
      <c r="X188" t="s">
        <v>49</v>
      </c>
      <c r="Y188" t="s">
        <v>50</v>
      </c>
      <c r="Z188" t="s">
        <v>51</v>
      </c>
      <c r="AA188" t="s">
        <v>37</v>
      </c>
      <c r="AB188" t="s">
        <v>52</v>
      </c>
      <c r="AC188" t="s">
        <v>53</v>
      </c>
      <c r="AD188" t="s">
        <v>54</v>
      </c>
      <c r="AE188">
        <v>15.2141815582</v>
      </c>
      <c r="AF188">
        <v>1656</v>
      </c>
      <c r="AG188">
        <v>1656.1821261600001</v>
      </c>
      <c r="AH188">
        <v>152144.25469900001</v>
      </c>
      <c r="AI188">
        <v>47</v>
      </c>
      <c r="AJ188">
        <v>87045.841951137394</v>
      </c>
      <c r="AK188" s="1">
        <f>intersection_ss_Lnight___surface[[#This Row],[surf m2 bout ss]]/intersection_ss_Lnight___surface[[#This Row],[Shape_Area]]</f>
        <v>0.5721270390613673</v>
      </c>
      <c r="AL188">
        <v>1269</v>
      </c>
      <c r="AM188">
        <f>intersection_ss_Lnight___surface[[#This Row],[Population totale 2024 ss]]*intersection_ss_Lnight___surface[[#This Row],[Part de la surface du qs dans le noise contour]]</f>
        <v>726.0292125688751</v>
      </c>
    </row>
    <row r="189" spans="1:39" x14ac:dyDescent="0.3">
      <c r="A189">
        <v>201</v>
      </c>
      <c r="B189" t="s">
        <v>630</v>
      </c>
      <c r="C189" t="s">
        <v>631</v>
      </c>
      <c r="D189" t="s">
        <v>631</v>
      </c>
      <c r="E189" t="s">
        <v>631</v>
      </c>
      <c r="F189" t="s">
        <v>620</v>
      </c>
      <c r="G189" t="s">
        <v>621</v>
      </c>
      <c r="H189" t="s">
        <v>622</v>
      </c>
      <c r="I189" t="s">
        <v>622</v>
      </c>
      <c r="J189" t="s">
        <v>36</v>
      </c>
      <c r="K189">
        <v>21006</v>
      </c>
      <c r="L189" t="s">
        <v>623</v>
      </c>
      <c r="M189" t="s">
        <v>623</v>
      </c>
      <c r="N189" t="s">
        <v>623</v>
      </c>
      <c r="O189">
        <v>21000</v>
      </c>
      <c r="P189" t="s">
        <v>46</v>
      </c>
      <c r="Q189" t="s">
        <v>47</v>
      </c>
      <c r="R189" t="s">
        <v>48</v>
      </c>
      <c r="T189" t="s">
        <v>36</v>
      </c>
      <c r="U189" t="s">
        <v>36</v>
      </c>
      <c r="V189" t="s">
        <v>36</v>
      </c>
      <c r="W189">
        <v>4000</v>
      </c>
      <c r="X189" t="s">
        <v>49</v>
      </c>
      <c r="Y189" t="s">
        <v>50</v>
      </c>
      <c r="Z189" t="s">
        <v>51</v>
      </c>
      <c r="AA189" t="s">
        <v>37</v>
      </c>
      <c r="AB189" t="s">
        <v>52</v>
      </c>
      <c r="AC189" t="s">
        <v>53</v>
      </c>
      <c r="AD189" t="s">
        <v>54</v>
      </c>
      <c r="AE189">
        <v>15.2141815582</v>
      </c>
      <c r="AF189">
        <v>1656</v>
      </c>
      <c r="AG189">
        <v>1656.1821261600001</v>
      </c>
      <c r="AH189">
        <v>152144.25469900001</v>
      </c>
      <c r="AI189">
        <v>48</v>
      </c>
      <c r="AJ189">
        <v>65112.237765518898</v>
      </c>
      <c r="AK189" s="1">
        <f>intersection_ss_Lnight___surface[[#This Row],[surf m2 bout ss]]/intersection_ss_Lnight___surface[[#This Row],[Shape_Area]]</f>
        <v>0.42796382876458927</v>
      </c>
      <c r="AL189">
        <v>1269</v>
      </c>
      <c r="AM189">
        <f>intersection_ss_Lnight___surface[[#This Row],[Population totale 2024 ss]]*intersection_ss_Lnight___surface[[#This Row],[Part de la surface du qs dans le noise contour]]</f>
        <v>543.08609870226383</v>
      </c>
    </row>
    <row r="190" spans="1:39" x14ac:dyDescent="0.3">
      <c r="A190">
        <v>202</v>
      </c>
      <c r="B190" t="s">
        <v>632</v>
      </c>
      <c r="C190" t="s">
        <v>633</v>
      </c>
      <c r="D190" t="s">
        <v>634</v>
      </c>
      <c r="E190" t="s">
        <v>634</v>
      </c>
      <c r="F190" t="s">
        <v>620</v>
      </c>
      <c r="G190" t="s">
        <v>621</v>
      </c>
      <c r="H190" t="s">
        <v>622</v>
      </c>
      <c r="I190" t="s">
        <v>622</v>
      </c>
      <c r="J190" t="s">
        <v>36</v>
      </c>
      <c r="K190">
        <v>21006</v>
      </c>
      <c r="L190" t="s">
        <v>623</v>
      </c>
      <c r="M190" t="s">
        <v>623</v>
      </c>
      <c r="N190" t="s">
        <v>623</v>
      </c>
      <c r="O190">
        <v>21000</v>
      </c>
      <c r="P190" t="s">
        <v>46</v>
      </c>
      <c r="Q190" t="s">
        <v>47</v>
      </c>
      <c r="R190" t="s">
        <v>48</v>
      </c>
      <c r="T190" t="s">
        <v>36</v>
      </c>
      <c r="U190" t="s">
        <v>36</v>
      </c>
      <c r="V190" t="s">
        <v>36</v>
      </c>
      <c r="W190">
        <v>4000</v>
      </c>
      <c r="X190" t="s">
        <v>49</v>
      </c>
      <c r="Y190" t="s">
        <v>50</v>
      </c>
      <c r="Z190" t="s">
        <v>51</v>
      </c>
      <c r="AA190" t="s">
        <v>37</v>
      </c>
      <c r="AB190" t="s">
        <v>52</v>
      </c>
      <c r="AC190" t="s">
        <v>53</v>
      </c>
      <c r="AD190" t="s">
        <v>54</v>
      </c>
      <c r="AE190">
        <v>17.799027816999999</v>
      </c>
      <c r="AF190">
        <v>2291</v>
      </c>
      <c r="AG190">
        <v>2290.6224085700001</v>
      </c>
      <c r="AH190">
        <v>177993.15339600001</v>
      </c>
      <c r="AI190">
        <v>46</v>
      </c>
      <c r="AJ190">
        <v>63506.087655929601</v>
      </c>
      <c r="AK190" s="1">
        <f>intersection_ss_Lnight___surface[[#This Row],[surf m2 bout ss]]/intersection_ss_Lnight___surface[[#This Row],[Shape_Area]]</f>
        <v>0.35678949692318196</v>
      </c>
      <c r="AL190">
        <v>2733</v>
      </c>
      <c r="AM190">
        <f>intersection_ss_Lnight___surface[[#This Row],[Population totale 2024 ss]]*intersection_ss_Lnight___surface[[#This Row],[Part de la surface du qs dans le noise contour]]</f>
        <v>975.1056950910563</v>
      </c>
    </row>
    <row r="191" spans="1:39" x14ac:dyDescent="0.3">
      <c r="A191">
        <v>203</v>
      </c>
      <c r="B191" t="s">
        <v>632</v>
      </c>
      <c r="C191" t="s">
        <v>633</v>
      </c>
      <c r="D191" t="s">
        <v>634</v>
      </c>
      <c r="E191" t="s">
        <v>634</v>
      </c>
      <c r="F191" t="s">
        <v>620</v>
      </c>
      <c r="G191" t="s">
        <v>621</v>
      </c>
      <c r="H191" t="s">
        <v>622</v>
      </c>
      <c r="I191" t="s">
        <v>622</v>
      </c>
      <c r="J191" t="s">
        <v>36</v>
      </c>
      <c r="K191">
        <v>21006</v>
      </c>
      <c r="L191" t="s">
        <v>623</v>
      </c>
      <c r="M191" t="s">
        <v>623</v>
      </c>
      <c r="N191" t="s">
        <v>623</v>
      </c>
      <c r="O191">
        <v>21000</v>
      </c>
      <c r="P191" t="s">
        <v>46</v>
      </c>
      <c r="Q191" t="s">
        <v>47</v>
      </c>
      <c r="R191" t="s">
        <v>48</v>
      </c>
      <c r="T191" t="s">
        <v>36</v>
      </c>
      <c r="U191" t="s">
        <v>36</v>
      </c>
      <c r="V191" t="s">
        <v>36</v>
      </c>
      <c r="W191">
        <v>4000</v>
      </c>
      <c r="X191" t="s">
        <v>49</v>
      </c>
      <c r="Y191" t="s">
        <v>50</v>
      </c>
      <c r="Z191" t="s">
        <v>51</v>
      </c>
      <c r="AA191" t="s">
        <v>37</v>
      </c>
      <c r="AB191" t="s">
        <v>52</v>
      </c>
      <c r="AC191" t="s">
        <v>53</v>
      </c>
      <c r="AD191" t="s">
        <v>54</v>
      </c>
      <c r="AE191">
        <v>17.799027816999999</v>
      </c>
      <c r="AF191">
        <v>2291</v>
      </c>
      <c r="AG191">
        <v>2290.6224085700001</v>
      </c>
      <c r="AH191">
        <v>177993.15339600001</v>
      </c>
      <c r="AI191">
        <v>47</v>
      </c>
      <c r="AJ191">
        <v>98468.969271695503</v>
      </c>
      <c r="AK191" s="1">
        <f>intersection_ss_Lnight___surface[[#This Row],[surf m2 bout ss]]/intersection_ss_Lnight___surface[[#This Row],[Shape_Area]]</f>
        <v>0.55321773558683618</v>
      </c>
      <c r="AL191">
        <v>2733</v>
      </c>
      <c r="AM191">
        <f>intersection_ss_Lnight___surface[[#This Row],[Population totale 2024 ss]]*intersection_ss_Lnight___surface[[#This Row],[Part de la surface du qs dans le noise contour]]</f>
        <v>1511.9440713588233</v>
      </c>
    </row>
    <row r="192" spans="1:39" x14ac:dyDescent="0.3">
      <c r="A192">
        <v>204</v>
      </c>
      <c r="B192" t="s">
        <v>632</v>
      </c>
      <c r="C192" t="s">
        <v>633</v>
      </c>
      <c r="D192" t="s">
        <v>634</v>
      </c>
      <c r="E192" t="s">
        <v>634</v>
      </c>
      <c r="F192" t="s">
        <v>620</v>
      </c>
      <c r="G192" t="s">
        <v>621</v>
      </c>
      <c r="H192" t="s">
        <v>622</v>
      </c>
      <c r="I192" t="s">
        <v>622</v>
      </c>
      <c r="J192" t="s">
        <v>36</v>
      </c>
      <c r="K192">
        <v>21006</v>
      </c>
      <c r="L192" t="s">
        <v>623</v>
      </c>
      <c r="M192" t="s">
        <v>623</v>
      </c>
      <c r="N192" t="s">
        <v>623</v>
      </c>
      <c r="O192">
        <v>21000</v>
      </c>
      <c r="P192" t="s">
        <v>46</v>
      </c>
      <c r="Q192" t="s">
        <v>47</v>
      </c>
      <c r="R192" t="s">
        <v>48</v>
      </c>
      <c r="T192" t="s">
        <v>36</v>
      </c>
      <c r="U192" t="s">
        <v>36</v>
      </c>
      <c r="V192" t="s">
        <v>36</v>
      </c>
      <c r="W192">
        <v>4000</v>
      </c>
      <c r="X192" t="s">
        <v>49</v>
      </c>
      <c r="Y192" t="s">
        <v>50</v>
      </c>
      <c r="Z192" t="s">
        <v>51</v>
      </c>
      <c r="AA192" t="s">
        <v>37</v>
      </c>
      <c r="AB192" t="s">
        <v>52</v>
      </c>
      <c r="AC192" t="s">
        <v>53</v>
      </c>
      <c r="AD192" t="s">
        <v>54</v>
      </c>
      <c r="AE192">
        <v>17.799027816999999</v>
      </c>
      <c r="AF192">
        <v>2291</v>
      </c>
      <c r="AG192">
        <v>2290.6224085700001</v>
      </c>
      <c r="AH192">
        <v>177993.15339600001</v>
      </c>
      <c r="AI192">
        <v>48</v>
      </c>
      <c r="AJ192">
        <v>16034.4612527052</v>
      </c>
      <c r="AK192" s="1">
        <f>intersection_ss_Lnight___surface[[#This Row],[surf m2 bout ss]]/intersection_ss_Lnight___surface[[#This Row],[Shape_Area]]</f>
        <v>9.008470801700813E-2</v>
      </c>
      <c r="AL192">
        <v>2733</v>
      </c>
      <c r="AM192">
        <f>intersection_ss_Lnight___surface[[#This Row],[Population totale 2024 ss]]*intersection_ss_Lnight___surface[[#This Row],[Part de la surface du qs dans le noise contour]]</f>
        <v>246.20150701048323</v>
      </c>
    </row>
    <row r="193" spans="1:39" x14ac:dyDescent="0.3">
      <c r="A193">
        <v>205</v>
      </c>
      <c r="B193" t="s">
        <v>635</v>
      </c>
      <c r="C193" t="s">
        <v>579</v>
      </c>
      <c r="D193" t="s">
        <v>580</v>
      </c>
      <c r="E193" t="s">
        <v>580</v>
      </c>
      <c r="F193" t="s">
        <v>620</v>
      </c>
      <c r="G193" t="s">
        <v>621</v>
      </c>
      <c r="H193" t="s">
        <v>622</v>
      </c>
      <c r="I193" t="s">
        <v>622</v>
      </c>
      <c r="J193" t="s">
        <v>36</v>
      </c>
      <c r="K193">
        <v>21006</v>
      </c>
      <c r="L193" t="s">
        <v>623</v>
      </c>
      <c r="M193" t="s">
        <v>623</v>
      </c>
      <c r="N193" t="s">
        <v>623</v>
      </c>
      <c r="O193">
        <v>21000</v>
      </c>
      <c r="P193" t="s">
        <v>46</v>
      </c>
      <c r="Q193" t="s">
        <v>47</v>
      </c>
      <c r="R193" t="s">
        <v>48</v>
      </c>
      <c r="T193" t="s">
        <v>36</v>
      </c>
      <c r="U193" t="s">
        <v>36</v>
      </c>
      <c r="V193" t="s">
        <v>36</v>
      </c>
      <c r="W193">
        <v>4000</v>
      </c>
      <c r="X193" t="s">
        <v>49</v>
      </c>
      <c r="Y193" t="s">
        <v>50</v>
      </c>
      <c r="Z193" t="s">
        <v>51</v>
      </c>
      <c r="AA193" t="s">
        <v>37</v>
      </c>
      <c r="AB193" t="s">
        <v>52</v>
      </c>
      <c r="AC193" t="s">
        <v>53</v>
      </c>
      <c r="AD193" t="s">
        <v>54</v>
      </c>
      <c r="AE193">
        <v>21.746207934299999</v>
      </c>
      <c r="AF193">
        <v>2676</v>
      </c>
      <c r="AG193">
        <v>2676.4903832499999</v>
      </c>
      <c r="AH193">
        <v>217465.56440199999</v>
      </c>
      <c r="AI193">
        <v>45</v>
      </c>
      <c r="AJ193">
        <v>15475.130477975799</v>
      </c>
      <c r="AK193" s="1">
        <f>intersection_ss_Lnight___surface[[#This Row],[surf m2 bout ss]]/intersection_ss_Lnight___surface[[#This Row],[Shape_Area]]</f>
        <v>7.1161291768332385E-2</v>
      </c>
      <c r="AL193">
        <v>0</v>
      </c>
      <c r="AM193">
        <f>intersection_ss_Lnight___surface[[#This Row],[Population totale 2024 ss]]*intersection_ss_Lnight___surface[[#This Row],[Part de la surface du qs dans le noise contour]]</f>
        <v>0</v>
      </c>
    </row>
    <row r="194" spans="1:39" x14ac:dyDescent="0.3">
      <c r="A194">
        <v>206</v>
      </c>
      <c r="B194" t="s">
        <v>635</v>
      </c>
      <c r="C194" t="s">
        <v>579</v>
      </c>
      <c r="D194" t="s">
        <v>580</v>
      </c>
      <c r="E194" t="s">
        <v>580</v>
      </c>
      <c r="F194" t="s">
        <v>620</v>
      </c>
      <c r="G194" t="s">
        <v>621</v>
      </c>
      <c r="H194" t="s">
        <v>622</v>
      </c>
      <c r="I194" t="s">
        <v>622</v>
      </c>
      <c r="J194" t="s">
        <v>36</v>
      </c>
      <c r="K194">
        <v>21006</v>
      </c>
      <c r="L194" t="s">
        <v>623</v>
      </c>
      <c r="M194" t="s">
        <v>623</v>
      </c>
      <c r="N194" t="s">
        <v>623</v>
      </c>
      <c r="O194">
        <v>21000</v>
      </c>
      <c r="P194" t="s">
        <v>46</v>
      </c>
      <c r="Q194" t="s">
        <v>47</v>
      </c>
      <c r="R194" t="s">
        <v>48</v>
      </c>
      <c r="T194" t="s">
        <v>36</v>
      </c>
      <c r="U194" t="s">
        <v>36</v>
      </c>
      <c r="V194" t="s">
        <v>36</v>
      </c>
      <c r="W194">
        <v>4000</v>
      </c>
      <c r="X194" t="s">
        <v>49</v>
      </c>
      <c r="Y194" t="s">
        <v>50</v>
      </c>
      <c r="Z194" t="s">
        <v>51</v>
      </c>
      <c r="AA194" t="s">
        <v>37</v>
      </c>
      <c r="AB194" t="s">
        <v>52</v>
      </c>
      <c r="AC194" t="s">
        <v>53</v>
      </c>
      <c r="AD194" t="s">
        <v>54</v>
      </c>
      <c r="AE194">
        <v>21.746207934299999</v>
      </c>
      <c r="AF194">
        <v>2676</v>
      </c>
      <c r="AG194">
        <v>2676.4903832499999</v>
      </c>
      <c r="AH194">
        <v>217465.56440199999</v>
      </c>
      <c r="AI194">
        <v>46</v>
      </c>
      <c r="AJ194">
        <v>84046.704518362894</v>
      </c>
      <c r="AK194" s="1">
        <f>intersection_ss_Lnight___surface[[#This Row],[surf m2 bout ss]]/intersection_ss_Lnight___surface[[#This Row],[Shape_Area]]</f>
        <v>0.38648281970287857</v>
      </c>
      <c r="AL194">
        <v>0</v>
      </c>
      <c r="AM194">
        <f>intersection_ss_Lnight___surface[[#This Row],[Population totale 2024 ss]]*intersection_ss_Lnight___surface[[#This Row],[Part de la surface du qs dans le noise contour]]</f>
        <v>0</v>
      </c>
    </row>
    <row r="195" spans="1:39" x14ac:dyDescent="0.3">
      <c r="A195">
        <v>207</v>
      </c>
      <c r="B195" t="s">
        <v>635</v>
      </c>
      <c r="C195" t="s">
        <v>579</v>
      </c>
      <c r="D195" t="s">
        <v>580</v>
      </c>
      <c r="E195" t="s">
        <v>580</v>
      </c>
      <c r="F195" t="s">
        <v>620</v>
      </c>
      <c r="G195" t="s">
        <v>621</v>
      </c>
      <c r="H195" t="s">
        <v>622</v>
      </c>
      <c r="I195" t="s">
        <v>622</v>
      </c>
      <c r="J195" t="s">
        <v>36</v>
      </c>
      <c r="K195">
        <v>21006</v>
      </c>
      <c r="L195" t="s">
        <v>623</v>
      </c>
      <c r="M195" t="s">
        <v>623</v>
      </c>
      <c r="N195" t="s">
        <v>623</v>
      </c>
      <c r="O195">
        <v>21000</v>
      </c>
      <c r="P195" t="s">
        <v>46</v>
      </c>
      <c r="Q195" t="s">
        <v>47</v>
      </c>
      <c r="R195" t="s">
        <v>48</v>
      </c>
      <c r="T195" t="s">
        <v>36</v>
      </c>
      <c r="U195" t="s">
        <v>36</v>
      </c>
      <c r="V195" t="s">
        <v>36</v>
      </c>
      <c r="W195">
        <v>4000</v>
      </c>
      <c r="X195" t="s">
        <v>49</v>
      </c>
      <c r="Y195" t="s">
        <v>50</v>
      </c>
      <c r="Z195" t="s">
        <v>51</v>
      </c>
      <c r="AA195" t="s">
        <v>37</v>
      </c>
      <c r="AB195" t="s">
        <v>52</v>
      </c>
      <c r="AC195" t="s">
        <v>53</v>
      </c>
      <c r="AD195" t="s">
        <v>54</v>
      </c>
      <c r="AE195">
        <v>21.746207934299999</v>
      </c>
      <c r="AF195">
        <v>2676</v>
      </c>
      <c r="AG195">
        <v>2676.4903832499999</v>
      </c>
      <c r="AH195">
        <v>217465.56440199999</v>
      </c>
      <c r="AI195">
        <v>47</v>
      </c>
      <c r="AJ195">
        <v>98267.832157176003</v>
      </c>
      <c r="AK195" s="1">
        <f>intersection_ss_Lnight___surface[[#This Row],[surf m2 bout ss]]/intersection_ss_Lnight___surface[[#This Row],[Shape_Area]]</f>
        <v>0.45187766820645309</v>
      </c>
      <c r="AL195">
        <v>0</v>
      </c>
      <c r="AM195">
        <f>intersection_ss_Lnight___surface[[#This Row],[Population totale 2024 ss]]*intersection_ss_Lnight___surface[[#This Row],[Part de la surface du qs dans le noise contour]]</f>
        <v>0</v>
      </c>
    </row>
    <row r="196" spans="1:39" x14ac:dyDescent="0.3">
      <c r="A196">
        <v>208</v>
      </c>
      <c r="B196" t="s">
        <v>635</v>
      </c>
      <c r="C196" t="s">
        <v>579</v>
      </c>
      <c r="D196" t="s">
        <v>580</v>
      </c>
      <c r="E196" t="s">
        <v>580</v>
      </c>
      <c r="F196" t="s">
        <v>620</v>
      </c>
      <c r="G196" t="s">
        <v>621</v>
      </c>
      <c r="H196" t="s">
        <v>622</v>
      </c>
      <c r="I196" t="s">
        <v>622</v>
      </c>
      <c r="J196" t="s">
        <v>36</v>
      </c>
      <c r="K196">
        <v>21006</v>
      </c>
      <c r="L196" t="s">
        <v>623</v>
      </c>
      <c r="M196" t="s">
        <v>623</v>
      </c>
      <c r="N196" t="s">
        <v>623</v>
      </c>
      <c r="O196">
        <v>21000</v>
      </c>
      <c r="P196" t="s">
        <v>46</v>
      </c>
      <c r="Q196" t="s">
        <v>47</v>
      </c>
      <c r="R196" t="s">
        <v>48</v>
      </c>
      <c r="T196" t="s">
        <v>36</v>
      </c>
      <c r="U196" t="s">
        <v>36</v>
      </c>
      <c r="V196" t="s">
        <v>36</v>
      </c>
      <c r="W196">
        <v>4000</v>
      </c>
      <c r="X196" t="s">
        <v>49</v>
      </c>
      <c r="Y196" t="s">
        <v>50</v>
      </c>
      <c r="Z196" t="s">
        <v>51</v>
      </c>
      <c r="AA196" t="s">
        <v>37</v>
      </c>
      <c r="AB196" t="s">
        <v>52</v>
      </c>
      <c r="AC196" t="s">
        <v>53</v>
      </c>
      <c r="AD196" t="s">
        <v>54</v>
      </c>
      <c r="AE196">
        <v>21.746207934299999</v>
      </c>
      <c r="AF196">
        <v>2676</v>
      </c>
      <c r="AG196">
        <v>2676.4903832499999</v>
      </c>
      <c r="AH196">
        <v>217465.56440199999</v>
      </c>
      <c r="AI196">
        <v>48</v>
      </c>
      <c r="AJ196">
        <v>19695.577722743201</v>
      </c>
      <c r="AK196" s="1">
        <f>intersection_ss_Lnight___surface[[#This Row],[surf m2 bout ss]]/intersection_ss_Lnight___surface[[#This Row],[Shape_Area]]</f>
        <v>9.0568719589712035E-2</v>
      </c>
      <c r="AL196">
        <v>0</v>
      </c>
      <c r="AM196">
        <f>intersection_ss_Lnight___surface[[#This Row],[Population totale 2024 ss]]*intersection_ss_Lnight___surface[[#This Row],[Part de la surface du qs dans le noise contour]]</f>
        <v>0</v>
      </c>
    </row>
    <row r="197" spans="1:39" x14ac:dyDescent="0.3">
      <c r="A197">
        <v>209</v>
      </c>
      <c r="B197" t="s">
        <v>636</v>
      </c>
      <c r="C197" t="s">
        <v>637</v>
      </c>
      <c r="D197" t="s">
        <v>638</v>
      </c>
      <c r="E197" t="s">
        <v>638</v>
      </c>
      <c r="F197" t="s">
        <v>620</v>
      </c>
      <c r="G197" t="s">
        <v>621</v>
      </c>
      <c r="H197" t="s">
        <v>622</v>
      </c>
      <c r="I197" t="s">
        <v>622</v>
      </c>
      <c r="J197" t="s">
        <v>36</v>
      </c>
      <c r="K197">
        <v>21006</v>
      </c>
      <c r="L197" t="s">
        <v>623</v>
      </c>
      <c r="M197" t="s">
        <v>623</v>
      </c>
      <c r="N197" t="s">
        <v>623</v>
      </c>
      <c r="O197">
        <v>21000</v>
      </c>
      <c r="P197" t="s">
        <v>46</v>
      </c>
      <c r="Q197" t="s">
        <v>47</v>
      </c>
      <c r="R197" t="s">
        <v>48</v>
      </c>
      <c r="T197" t="s">
        <v>36</v>
      </c>
      <c r="U197" t="s">
        <v>36</v>
      </c>
      <c r="V197" t="s">
        <v>36</v>
      </c>
      <c r="W197">
        <v>4000</v>
      </c>
      <c r="X197" t="s">
        <v>49</v>
      </c>
      <c r="Y197" t="s">
        <v>50</v>
      </c>
      <c r="Z197" t="s">
        <v>51</v>
      </c>
      <c r="AA197" t="s">
        <v>37</v>
      </c>
      <c r="AB197" t="s">
        <v>52</v>
      </c>
      <c r="AC197" t="s">
        <v>53</v>
      </c>
      <c r="AD197" t="s">
        <v>54</v>
      </c>
      <c r="AE197">
        <v>30.971498622999999</v>
      </c>
      <c r="AF197">
        <v>2629</v>
      </c>
      <c r="AG197">
        <v>2629.3839288300001</v>
      </c>
      <c r="AH197">
        <v>309719.95857399999</v>
      </c>
      <c r="AI197">
        <v>45</v>
      </c>
      <c r="AJ197">
        <v>32917.792795588699</v>
      </c>
      <c r="AK197" s="1">
        <f>intersection_ss_Lnight___surface[[#This Row],[surf m2 bout ss]]/intersection_ss_Lnight___surface[[#This Row],[Shape_Area]]</f>
        <v>0.10628243961786467</v>
      </c>
      <c r="AL197">
        <v>450</v>
      </c>
      <c r="AM197">
        <f>intersection_ss_Lnight___surface[[#This Row],[Population totale 2024 ss]]*intersection_ss_Lnight___surface[[#This Row],[Part de la surface du qs dans le noise contour]]</f>
        <v>47.827097828039101</v>
      </c>
    </row>
    <row r="198" spans="1:39" x14ac:dyDescent="0.3">
      <c r="A198">
        <v>210</v>
      </c>
      <c r="B198" t="s">
        <v>636</v>
      </c>
      <c r="C198" t="s">
        <v>637</v>
      </c>
      <c r="D198" t="s">
        <v>638</v>
      </c>
      <c r="E198" t="s">
        <v>638</v>
      </c>
      <c r="F198" t="s">
        <v>620</v>
      </c>
      <c r="G198" t="s">
        <v>621</v>
      </c>
      <c r="H198" t="s">
        <v>622</v>
      </c>
      <c r="I198" t="s">
        <v>622</v>
      </c>
      <c r="J198" t="s">
        <v>36</v>
      </c>
      <c r="K198">
        <v>21006</v>
      </c>
      <c r="L198" t="s">
        <v>623</v>
      </c>
      <c r="M198" t="s">
        <v>623</v>
      </c>
      <c r="N198" t="s">
        <v>623</v>
      </c>
      <c r="O198">
        <v>21000</v>
      </c>
      <c r="P198" t="s">
        <v>46</v>
      </c>
      <c r="Q198" t="s">
        <v>47</v>
      </c>
      <c r="R198" t="s">
        <v>48</v>
      </c>
      <c r="T198" t="s">
        <v>36</v>
      </c>
      <c r="U198" t="s">
        <v>36</v>
      </c>
      <c r="V198" t="s">
        <v>36</v>
      </c>
      <c r="W198">
        <v>4000</v>
      </c>
      <c r="X198" t="s">
        <v>49</v>
      </c>
      <c r="Y198" t="s">
        <v>50</v>
      </c>
      <c r="Z198" t="s">
        <v>51</v>
      </c>
      <c r="AA198" t="s">
        <v>37</v>
      </c>
      <c r="AB198" t="s">
        <v>52</v>
      </c>
      <c r="AC198" t="s">
        <v>53</v>
      </c>
      <c r="AD198" t="s">
        <v>54</v>
      </c>
      <c r="AE198">
        <v>30.971498622999999</v>
      </c>
      <c r="AF198">
        <v>2629</v>
      </c>
      <c r="AG198">
        <v>2629.3839288300001</v>
      </c>
      <c r="AH198">
        <v>309719.95857399999</v>
      </c>
      <c r="AI198">
        <v>46</v>
      </c>
      <c r="AJ198">
        <v>199891.526703129</v>
      </c>
      <c r="AK198" s="1">
        <f>intersection_ss_Lnight___surface[[#This Row],[surf m2 bout ss]]/intersection_ss_Lnight___surface[[#This Row],[Shape_Area]]</f>
        <v>0.64539439958426126</v>
      </c>
      <c r="AL198">
        <v>450</v>
      </c>
      <c r="AM198">
        <f>intersection_ss_Lnight___surface[[#This Row],[Population totale 2024 ss]]*intersection_ss_Lnight___surface[[#This Row],[Part de la surface du qs dans le noise contour]]</f>
        <v>290.42747981291757</v>
      </c>
    </row>
    <row r="199" spans="1:39" x14ac:dyDescent="0.3">
      <c r="A199">
        <v>211</v>
      </c>
      <c r="B199" t="s">
        <v>636</v>
      </c>
      <c r="C199" t="s">
        <v>637</v>
      </c>
      <c r="D199" t="s">
        <v>638</v>
      </c>
      <c r="E199" t="s">
        <v>638</v>
      </c>
      <c r="F199" t="s">
        <v>620</v>
      </c>
      <c r="G199" t="s">
        <v>621</v>
      </c>
      <c r="H199" t="s">
        <v>622</v>
      </c>
      <c r="I199" t="s">
        <v>622</v>
      </c>
      <c r="J199" t="s">
        <v>36</v>
      </c>
      <c r="K199">
        <v>21006</v>
      </c>
      <c r="L199" t="s">
        <v>623</v>
      </c>
      <c r="M199" t="s">
        <v>623</v>
      </c>
      <c r="N199" t="s">
        <v>623</v>
      </c>
      <c r="O199">
        <v>21000</v>
      </c>
      <c r="P199" t="s">
        <v>46</v>
      </c>
      <c r="Q199" t="s">
        <v>47</v>
      </c>
      <c r="R199" t="s">
        <v>48</v>
      </c>
      <c r="T199" t="s">
        <v>36</v>
      </c>
      <c r="U199" t="s">
        <v>36</v>
      </c>
      <c r="V199" t="s">
        <v>36</v>
      </c>
      <c r="W199">
        <v>4000</v>
      </c>
      <c r="X199" t="s">
        <v>49</v>
      </c>
      <c r="Y199" t="s">
        <v>50</v>
      </c>
      <c r="Z199" t="s">
        <v>51</v>
      </c>
      <c r="AA199" t="s">
        <v>37</v>
      </c>
      <c r="AB199" t="s">
        <v>52</v>
      </c>
      <c r="AC199" t="s">
        <v>53</v>
      </c>
      <c r="AD199" t="s">
        <v>54</v>
      </c>
      <c r="AE199">
        <v>30.971498622999999</v>
      </c>
      <c r="AF199">
        <v>2629</v>
      </c>
      <c r="AG199">
        <v>2629.3839288300001</v>
      </c>
      <c r="AH199">
        <v>309719.95857399999</v>
      </c>
      <c r="AI199">
        <v>47</v>
      </c>
      <c r="AJ199">
        <v>76938.870357838503</v>
      </c>
      <c r="AK199" s="1">
        <f>intersection_ss_Lnight___surface[[#This Row],[surf m2 bout ss]]/intersection_ss_Lnight___surface[[#This Row],[Shape_Area]]</f>
        <v>0.24841431179339335</v>
      </c>
      <c r="AL199">
        <v>450</v>
      </c>
      <c r="AM199">
        <f>intersection_ss_Lnight___surface[[#This Row],[Population totale 2024 ss]]*intersection_ss_Lnight___surface[[#This Row],[Part de la surface du qs dans le noise contour]]</f>
        <v>111.78644030702701</v>
      </c>
    </row>
    <row r="200" spans="1:39" x14ac:dyDescent="0.3">
      <c r="A200">
        <v>212</v>
      </c>
      <c r="B200" t="s">
        <v>639</v>
      </c>
      <c r="C200" t="s">
        <v>640</v>
      </c>
      <c r="D200" t="s">
        <v>640</v>
      </c>
      <c r="E200" t="s">
        <v>640</v>
      </c>
      <c r="F200" t="s">
        <v>641</v>
      </c>
      <c r="G200" t="s">
        <v>621</v>
      </c>
      <c r="H200" t="s">
        <v>622</v>
      </c>
      <c r="I200" t="s">
        <v>622</v>
      </c>
      <c r="J200" t="s">
        <v>36</v>
      </c>
      <c r="K200">
        <v>21006</v>
      </c>
      <c r="L200" t="s">
        <v>623</v>
      </c>
      <c r="M200" t="s">
        <v>623</v>
      </c>
      <c r="N200" t="s">
        <v>623</v>
      </c>
      <c r="O200">
        <v>21000</v>
      </c>
      <c r="P200" t="s">
        <v>46</v>
      </c>
      <c r="Q200" t="s">
        <v>47</v>
      </c>
      <c r="R200" t="s">
        <v>48</v>
      </c>
      <c r="T200" t="s">
        <v>36</v>
      </c>
      <c r="U200" t="s">
        <v>36</v>
      </c>
      <c r="V200" t="s">
        <v>36</v>
      </c>
      <c r="W200">
        <v>4000</v>
      </c>
      <c r="X200" t="s">
        <v>49</v>
      </c>
      <c r="Y200" t="s">
        <v>50</v>
      </c>
      <c r="Z200" t="s">
        <v>51</v>
      </c>
      <c r="AA200" t="s">
        <v>37</v>
      </c>
      <c r="AB200" t="s">
        <v>52</v>
      </c>
      <c r="AC200" t="s">
        <v>53</v>
      </c>
      <c r="AD200" t="s">
        <v>54</v>
      </c>
      <c r="AE200">
        <v>24.013115995100001</v>
      </c>
      <c r="AF200">
        <v>2855</v>
      </c>
      <c r="AG200">
        <v>2854.98038438</v>
      </c>
      <c r="AH200">
        <v>240135.04581000001</v>
      </c>
      <c r="AI200">
        <v>44</v>
      </c>
      <c r="AJ200">
        <v>606.371084026061</v>
      </c>
      <c r="AK200" s="1">
        <f>intersection_ss_Lnight___surface[[#This Row],[surf m2 bout ss]]/intersection_ss_Lnight___surface[[#This Row],[Shape_Area]]</f>
        <v>2.525125318466988E-3</v>
      </c>
      <c r="AL200">
        <v>4585</v>
      </c>
      <c r="AM200">
        <f>intersection_ss_Lnight___surface[[#This Row],[Population totale 2024 ss]]*intersection_ss_Lnight___surface[[#This Row],[Part de la surface du qs dans le noise contour]]</f>
        <v>11.577699585171141</v>
      </c>
    </row>
    <row r="201" spans="1:39" x14ac:dyDescent="0.3">
      <c r="A201">
        <v>213</v>
      </c>
      <c r="B201" t="s">
        <v>639</v>
      </c>
      <c r="C201" t="s">
        <v>640</v>
      </c>
      <c r="D201" t="s">
        <v>640</v>
      </c>
      <c r="E201" t="s">
        <v>640</v>
      </c>
      <c r="F201" t="s">
        <v>641</v>
      </c>
      <c r="G201" t="s">
        <v>621</v>
      </c>
      <c r="H201" t="s">
        <v>622</v>
      </c>
      <c r="I201" t="s">
        <v>622</v>
      </c>
      <c r="J201" t="s">
        <v>36</v>
      </c>
      <c r="K201">
        <v>21006</v>
      </c>
      <c r="L201" t="s">
        <v>623</v>
      </c>
      <c r="M201" t="s">
        <v>623</v>
      </c>
      <c r="N201" t="s">
        <v>623</v>
      </c>
      <c r="O201">
        <v>21000</v>
      </c>
      <c r="P201" t="s">
        <v>46</v>
      </c>
      <c r="Q201" t="s">
        <v>47</v>
      </c>
      <c r="R201" t="s">
        <v>48</v>
      </c>
      <c r="T201" t="s">
        <v>36</v>
      </c>
      <c r="U201" t="s">
        <v>36</v>
      </c>
      <c r="V201" t="s">
        <v>36</v>
      </c>
      <c r="W201">
        <v>4000</v>
      </c>
      <c r="X201" t="s">
        <v>49</v>
      </c>
      <c r="Y201" t="s">
        <v>50</v>
      </c>
      <c r="Z201" t="s">
        <v>51</v>
      </c>
      <c r="AA201" t="s">
        <v>37</v>
      </c>
      <c r="AB201" t="s">
        <v>52</v>
      </c>
      <c r="AC201" t="s">
        <v>53</v>
      </c>
      <c r="AD201" t="s">
        <v>54</v>
      </c>
      <c r="AE201">
        <v>24.013115995100001</v>
      </c>
      <c r="AF201">
        <v>2855</v>
      </c>
      <c r="AG201">
        <v>2854.98038438</v>
      </c>
      <c r="AH201">
        <v>240135.04581000001</v>
      </c>
      <c r="AI201">
        <v>45</v>
      </c>
      <c r="AJ201">
        <v>96411.087004871806</v>
      </c>
      <c r="AK201" s="1">
        <f>intersection_ss_Lnight___surface[[#This Row],[surf m2 bout ss]]/intersection_ss_Lnight___surface[[#This Row],[Shape_Area]]</f>
        <v>0.40148694947739666</v>
      </c>
      <c r="AL201">
        <v>4585</v>
      </c>
      <c r="AM201">
        <f>intersection_ss_Lnight___surface[[#This Row],[Population totale 2024 ss]]*intersection_ss_Lnight___surface[[#This Row],[Part de la surface du qs dans le noise contour]]</f>
        <v>1840.8176633538637</v>
      </c>
    </row>
    <row r="202" spans="1:39" x14ac:dyDescent="0.3">
      <c r="A202">
        <v>214</v>
      </c>
      <c r="B202" t="s">
        <v>639</v>
      </c>
      <c r="C202" t="s">
        <v>640</v>
      </c>
      <c r="D202" t="s">
        <v>640</v>
      </c>
      <c r="E202" t="s">
        <v>640</v>
      </c>
      <c r="F202" t="s">
        <v>641</v>
      </c>
      <c r="G202" t="s">
        <v>621</v>
      </c>
      <c r="H202" t="s">
        <v>622</v>
      </c>
      <c r="I202" t="s">
        <v>622</v>
      </c>
      <c r="J202" t="s">
        <v>36</v>
      </c>
      <c r="K202">
        <v>21006</v>
      </c>
      <c r="L202" t="s">
        <v>623</v>
      </c>
      <c r="M202" t="s">
        <v>623</v>
      </c>
      <c r="N202" t="s">
        <v>623</v>
      </c>
      <c r="O202">
        <v>21000</v>
      </c>
      <c r="P202" t="s">
        <v>46</v>
      </c>
      <c r="Q202" t="s">
        <v>47</v>
      </c>
      <c r="R202" t="s">
        <v>48</v>
      </c>
      <c r="T202" t="s">
        <v>36</v>
      </c>
      <c r="U202" t="s">
        <v>36</v>
      </c>
      <c r="V202" t="s">
        <v>36</v>
      </c>
      <c r="W202">
        <v>4000</v>
      </c>
      <c r="X202" t="s">
        <v>49</v>
      </c>
      <c r="Y202" t="s">
        <v>50</v>
      </c>
      <c r="Z202" t="s">
        <v>51</v>
      </c>
      <c r="AA202" t="s">
        <v>37</v>
      </c>
      <c r="AB202" t="s">
        <v>52</v>
      </c>
      <c r="AC202" t="s">
        <v>53</v>
      </c>
      <c r="AD202" t="s">
        <v>54</v>
      </c>
      <c r="AE202">
        <v>24.013115995100001</v>
      </c>
      <c r="AF202">
        <v>2855</v>
      </c>
      <c r="AG202">
        <v>2854.98038438</v>
      </c>
      <c r="AH202">
        <v>240135.04581000001</v>
      </c>
      <c r="AI202">
        <v>46</v>
      </c>
      <c r="AJ202">
        <v>134790.04361129901</v>
      </c>
      <c r="AK202" s="1">
        <f>intersection_ss_Lnight___surface[[#This Row],[surf m2 bout ss]]/intersection_ss_Lnight___surface[[#This Row],[Shape_Area]]</f>
        <v>0.5613093380711609</v>
      </c>
      <c r="AL202">
        <v>4585</v>
      </c>
      <c r="AM202">
        <f>intersection_ss_Lnight___surface[[#This Row],[Population totale 2024 ss]]*intersection_ss_Lnight___surface[[#This Row],[Part de la surface du qs dans le noise contour]]</f>
        <v>2573.6033150562725</v>
      </c>
    </row>
    <row r="203" spans="1:39" x14ac:dyDescent="0.3">
      <c r="A203">
        <v>215</v>
      </c>
      <c r="B203" t="s">
        <v>639</v>
      </c>
      <c r="C203" t="s">
        <v>640</v>
      </c>
      <c r="D203" t="s">
        <v>640</v>
      </c>
      <c r="E203" t="s">
        <v>640</v>
      </c>
      <c r="F203" t="s">
        <v>641</v>
      </c>
      <c r="G203" t="s">
        <v>621</v>
      </c>
      <c r="H203" t="s">
        <v>622</v>
      </c>
      <c r="I203" t="s">
        <v>622</v>
      </c>
      <c r="J203" t="s">
        <v>36</v>
      </c>
      <c r="K203">
        <v>21006</v>
      </c>
      <c r="L203" t="s">
        <v>623</v>
      </c>
      <c r="M203" t="s">
        <v>623</v>
      </c>
      <c r="N203" t="s">
        <v>623</v>
      </c>
      <c r="O203">
        <v>21000</v>
      </c>
      <c r="P203" t="s">
        <v>46</v>
      </c>
      <c r="Q203" t="s">
        <v>47</v>
      </c>
      <c r="R203" t="s">
        <v>48</v>
      </c>
      <c r="T203" t="s">
        <v>36</v>
      </c>
      <c r="U203" t="s">
        <v>36</v>
      </c>
      <c r="V203" t="s">
        <v>36</v>
      </c>
      <c r="W203">
        <v>4000</v>
      </c>
      <c r="X203" t="s">
        <v>49</v>
      </c>
      <c r="Y203" t="s">
        <v>50</v>
      </c>
      <c r="Z203" t="s">
        <v>51</v>
      </c>
      <c r="AA203" t="s">
        <v>37</v>
      </c>
      <c r="AB203" t="s">
        <v>52</v>
      </c>
      <c r="AC203" t="s">
        <v>53</v>
      </c>
      <c r="AD203" t="s">
        <v>54</v>
      </c>
      <c r="AE203">
        <v>24.013115995100001</v>
      </c>
      <c r="AF203">
        <v>2855</v>
      </c>
      <c r="AG203">
        <v>2854.98038438</v>
      </c>
      <c r="AH203">
        <v>240135.04581000001</v>
      </c>
      <c r="AI203">
        <v>47</v>
      </c>
      <c r="AJ203">
        <v>8349.9417376741803</v>
      </c>
      <c r="AK203" s="1">
        <f>intersection_ss_Lnight___surface[[#This Row],[surf m2 bout ss]]/intersection_ss_Lnight___surface[[#This Row],[Shape_Area]]</f>
        <v>3.4771858099716245E-2</v>
      </c>
      <c r="AL203">
        <v>4585</v>
      </c>
      <c r="AM203">
        <f>intersection_ss_Lnight___surface[[#This Row],[Population totale 2024 ss]]*intersection_ss_Lnight___surface[[#This Row],[Part de la surface du qs dans le noise contour]]</f>
        <v>159.42896938719898</v>
      </c>
    </row>
    <row r="204" spans="1:39" x14ac:dyDescent="0.3">
      <c r="A204">
        <v>216</v>
      </c>
      <c r="B204" t="s">
        <v>642</v>
      </c>
      <c r="C204" t="s">
        <v>643</v>
      </c>
      <c r="D204" t="s">
        <v>644</v>
      </c>
      <c r="E204" t="s">
        <v>644</v>
      </c>
      <c r="F204" t="s">
        <v>641</v>
      </c>
      <c r="G204" t="s">
        <v>621</v>
      </c>
      <c r="H204" t="s">
        <v>622</v>
      </c>
      <c r="I204" t="s">
        <v>622</v>
      </c>
      <c r="J204" t="s">
        <v>36</v>
      </c>
      <c r="K204">
        <v>21006</v>
      </c>
      <c r="L204" t="s">
        <v>623</v>
      </c>
      <c r="M204" t="s">
        <v>623</v>
      </c>
      <c r="N204" t="s">
        <v>623</v>
      </c>
      <c r="O204">
        <v>21000</v>
      </c>
      <c r="P204" t="s">
        <v>46</v>
      </c>
      <c r="Q204" t="s">
        <v>47</v>
      </c>
      <c r="R204" t="s">
        <v>48</v>
      </c>
      <c r="T204" t="s">
        <v>36</v>
      </c>
      <c r="U204" t="s">
        <v>36</v>
      </c>
      <c r="V204" t="s">
        <v>36</v>
      </c>
      <c r="W204">
        <v>4000</v>
      </c>
      <c r="X204" t="s">
        <v>49</v>
      </c>
      <c r="Y204" t="s">
        <v>50</v>
      </c>
      <c r="Z204" t="s">
        <v>51</v>
      </c>
      <c r="AA204" t="s">
        <v>37</v>
      </c>
      <c r="AB204" t="s">
        <v>52</v>
      </c>
      <c r="AC204" t="s">
        <v>53</v>
      </c>
      <c r="AD204" t="s">
        <v>54</v>
      </c>
      <c r="AE204">
        <v>18.996077378300001</v>
      </c>
      <c r="AF204">
        <v>3259</v>
      </c>
      <c r="AG204">
        <v>3258.9751046199999</v>
      </c>
      <c r="AH204">
        <v>189963.793293</v>
      </c>
      <c r="AI204">
        <v>42</v>
      </c>
      <c r="AJ204">
        <v>256.64881894160499</v>
      </c>
      <c r="AK204" s="1">
        <f>intersection_ss_Lnight___surface[[#This Row],[surf m2 bout ss]]/intersection_ss_Lnight___surface[[#This Row],[Shape_Area]]</f>
        <v>1.3510407140888687E-3</v>
      </c>
      <c r="AL204">
        <v>879</v>
      </c>
      <c r="AM204">
        <f>intersection_ss_Lnight___surface[[#This Row],[Population totale 2024 ss]]*intersection_ss_Lnight___surface[[#This Row],[Part de la surface du qs dans le noise contour]]</f>
        <v>1.1875647876841156</v>
      </c>
    </row>
    <row r="205" spans="1:39" x14ac:dyDescent="0.3">
      <c r="A205">
        <v>217</v>
      </c>
      <c r="B205" t="s">
        <v>642</v>
      </c>
      <c r="C205" t="s">
        <v>643</v>
      </c>
      <c r="D205" t="s">
        <v>644</v>
      </c>
      <c r="E205" t="s">
        <v>644</v>
      </c>
      <c r="F205" t="s">
        <v>641</v>
      </c>
      <c r="G205" t="s">
        <v>621</v>
      </c>
      <c r="H205" t="s">
        <v>622</v>
      </c>
      <c r="I205" t="s">
        <v>622</v>
      </c>
      <c r="J205" t="s">
        <v>36</v>
      </c>
      <c r="K205">
        <v>21006</v>
      </c>
      <c r="L205" t="s">
        <v>623</v>
      </c>
      <c r="M205" t="s">
        <v>623</v>
      </c>
      <c r="N205" t="s">
        <v>623</v>
      </c>
      <c r="O205">
        <v>21000</v>
      </c>
      <c r="P205" t="s">
        <v>46</v>
      </c>
      <c r="Q205" t="s">
        <v>47</v>
      </c>
      <c r="R205" t="s">
        <v>48</v>
      </c>
      <c r="T205" t="s">
        <v>36</v>
      </c>
      <c r="U205" t="s">
        <v>36</v>
      </c>
      <c r="V205" t="s">
        <v>36</v>
      </c>
      <c r="W205">
        <v>4000</v>
      </c>
      <c r="X205" t="s">
        <v>49</v>
      </c>
      <c r="Y205" t="s">
        <v>50</v>
      </c>
      <c r="Z205" t="s">
        <v>51</v>
      </c>
      <c r="AA205" t="s">
        <v>37</v>
      </c>
      <c r="AB205" t="s">
        <v>52</v>
      </c>
      <c r="AC205" t="s">
        <v>53</v>
      </c>
      <c r="AD205" t="s">
        <v>54</v>
      </c>
      <c r="AE205">
        <v>18.996077378300001</v>
      </c>
      <c r="AF205">
        <v>3259</v>
      </c>
      <c r="AG205">
        <v>3258.9751046199999</v>
      </c>
      <c r="AH205">
        <v>189963.793293</v>
      </c>
      <c r="AI205">
        <v>43</v>
      </c>
      <c r="AJ205">
        <v>53018.283429545401</v>
      </c>
      <c r="AK205" s="1">
        <f>intersection_ss_Lnight___surface[[#This Row],[surf m2 bout ss]]/intersection_ss_Lnight___surface[[#This Row],[Shape_Area]]</f>
        <v>0.27909678213137196</v>
      </c>
      <c r="AL205">
        <v>879</v>
      </c>
      <c r="AM205">
        <f>intersection_ss_Lnight___surface[[#This Row],[Population totale 2024 ss]]*intersection_ss_Lnight___surface[[#This Row],[Part de la surface du qs dans le noise contour]]</f>
        <v>245.32607149347595</v>
      </c>
    </row>
    <row r="206" spans="1:39" x14ac:dyDescent="0.3">
      <c r="A206">
        <v>218</v>
      </c>
      <c r="B206" t="s">
        <v>642</v>
      </c>
      <c r="C206" t="s">
        <v>643</v>
      </c>
      <c r="D206" t="s">
        <v>644</v>
      </c>
      <c r="E206" t="s">
        <v>644</v>
      </c>
      <c r="F206" t="s">
        <v>641</v>
      </c>
      <c r="G206" t="s">
        <v>621</v>
      </c>
      <c r="H206" t="s">
        <v>622</v>
      </c>
      <c r="I206" t="s">
        <v>622</v>
      </c>
      <c r="J206" t="s">
        <v>36</v>
      </c>
      <c r="K206">
        <v>21006</v>
      </c>
      <c r="L206" t="s">
        <v>623</v>
      </c>
      <c r="M206" t="s">
        <v>623</v>
      </c>
      <c r="N206" t="s">
        <v>623</v>
      </c>
      <c r="O206">
        <v>21000</v>
      </c>
      <c r="P206" t="s">
        <v>46</v>
      </c>
      <c r="Q206" t="s">
        <v>47</v>
      </c>
      <c r="R206" t="s">
        <v>48</v>
      </c>
      <c r="T206" t="s">
        <v>36</v>
      </c>
      <c r="U206" t="s">
        <v>36</v>
      </c>
      <c r="V206" t="s">
        <v>36</v>
      </c>
      <c r="W206">
        <v>4000</v>
      </c>
      <c r="X206" t="s">
        <v>49</v>
      </c>
      <c r="Y206" t="s">
        <v>50</v>
      </c>
      <c r="Z206" t="s">
        <v>51</v>
      </c>
      <c r="AA206" t="s">
        <v>37</v>
      </c>
      <c r="AB206" t="s">
        <v>52</v>
      </c>
      <c r="AC206" t="s">
        <v>53</v>
      </c>
      <c r="AD206" t="s">
        <v>54</v>
      </c>
      <c r="AE206">
        <v>18.996077378300001</v>
      </c>
      <c r="AF206">
        <v>3259</v>
      </c>
      <c r="AG206">
        <v>3258.9751046199999</v>
      </c>
      <c r="AH206">
        <v>189963.793293</v>
      </c>
      <c r="AI206">
        <v>44</v>
      </c>
      <c r="AJ206">
        <v>36611.665942084001</v>
      </c>
      <c r="AK206" s="1">
        <f>intersection_ss_Lnight___surface[[#This Row],[surf m2 bout ss]]/intersection_ss_Lnight___surface[[#This Row],[Shape_Area]]</f>
        <v>0.19272970552664317</v>
      </c>
      <c r="AL206">
        <v>879</v>
      </c>
      <c r="AM206">
        <f>intersection_ss_Lnight___surface[[#This Row],[Population totale 2024 ss]]*intersection_ss_Lnight___surface[[#This Row],[Part de la surface du qs dans le noise contour]]</f>
        <v>169.40941115791935</v>
      </c>
    </row>
    <row r="207" spans="1:39" x14ac:dyDescent="0.3">
      <c r="A207">
        <v>219</v>
      </c>
      <c r="B207" t="s">
        <v>642</v>
      </c>
      <c r="C207" t="s">
        <v>643</v>
      </c>
      <c r="D207" t="s">
        <v>644</v>
      </c>
      <c r="E207" t="s">
        <v>644</v>
      </c>
      <c r="F207" t="s">
        <v>641</v>
      </c>
      <c r="G207" t="s">
        <v>621</v>
      </c>
      <c r="H207" t="s">
        <v>622</v>
      </c>
      <c r="I207" t="s">
        <v>622</v>
      </c>
      <c r="J207" t="s">
        <v>36</v>
      </c>
      <c r="K207">
        <v>21006</v>
      </c>
      <c r="L207" t="s">
        <v>623</v>
      </c>
      <c r="M207" t="s">
        <v>623</v>
      </c>
      <c r="N207" t="s">
        <v>623</v>
      </c>
      <c r="O207">
        <v>21000</v>
      </c>
      <c r="P207" t="s">
        <v>46</v>
      </c>
      <c r="Q207" t="s">
        <v>47</v>
      </c>
      <c r="R207" t="s">
        <v>48</v>
      </c>
      <c r="T207" t="s">
        <v>36</v>
      </c>
      <c r="U207" t="s">
        <v>36</v>
      </c>
      <c r="V207" t="s">
        <v>36</v>
      </c>
      <c r="W207">
        <v>4000</v>
      </c>
      <c r="X207" t="s">
        <v>49</v>
      </c>
      <c r="Y207" t="s">
        <v>50</v>
      </c>
      <c r="Z207" t="s">
        <v>51</v>
      </c>
      <c r="AA207" t="s">
        <v>37</v>
      </c>
      <c r="AB207" t="s">
        <v>52</v>
      </c>
      <c r="AC207" t="s">
        <v>53</v>
      </c>
      <c r="AD207" t="s">
        <v>54</v>
      </c>
      <c r="AE207">
        <v>18.996077378300001</v>
      </c>
      <c r="AF207">
        <v>3259</v>
      </c>
      <c r="AG207">
        <v>3258.9751046199999</v>
      </c>
      <c r="AH207">
        <v>189963.793293</v>
      </c>
      <c r="AI207">
        <v>45</v>
      </c>
      <c r="AJ207">
        <v>26394.242858203099</v>
      </c>
      <c r="AK207" s="1">
        <f>intersection_ss_Lnight___surface[[#This Row],[surf m2 bout ss]]/intersection_ss_Lnight___surface[[#This Row],[Shape_Area]]</f>
        <v>0.1389435449811883</v>
      </c>
      <c r="AL207">
        <v>879</v>
      </c>
      <c r="AM207">
        <f>intersection_ss_Lnight___surface[[#This Row],[Population totale 2024 ss]]*intersection_ss_Lnight___surface[[#This Row],[Part de la surface du qs dans le noise contour]]</f>
        <v>122.13137603846451</v>
      </c>
    </row>
    <row r="208" spans="1:39" x14ac:dyDescent="0.3">
      <c r="A208">
        <v>220</v>
      </c>
      <c r="B208" t="s">
        <v>642</v>
      </c>
      <c r="C208" t="s">
        <v>643</v>
      </c>
      <c r="D208" t="s">
        <v>644</v>
      </c>
      <c r="E208" t="s">
        <v>644</v>
      </c>
      <c r="F208" t="s">
        <v>641</v>
      </c>
      <c r="G208" t="s">
        <v>621</v>
      </c>
      <c r="H208" t="s">
        <v>622</v>
      </c>
      <c r="I208" t="s">
        <v>622</v>
      </c>
      <c r="J208" t="s">
        <v>36</v>
      </c>
      <c r="K208">
        <v>21006</v>
      </c>
      <c r="L208" t="s">
        <v>623</v>
      </c>
      <c r="M208" t="s">
        <v>623</v>
      </c>
      <c r="N208" t="s">
        <v>623</v>
      </c>
      <c r="O208">
        <v>21000</v>
      </c>
      <c r="P208" t="s">
        <v>46</v>
      </c>
      <c r="Q208" t="s">
        <v>47</v>
      </c>
      <c r="R208" t="s">
        <v>48</v>
      </c>
      <c r="T208" t="s">
        <v>36</v>
      </c>
      <c r="U208" t="s">
        <v>36</v>
      </c>
      <c r="V208" t="s">
        <v>36</v>
      </c>
      <c r="W208">
        <v>4000</v>
      </c>
      <c r="X208" t="s">
        <v>49</v>
      </c>
      <c r="Y208" t="s">
        <v>50</v>
      </c>
      <c r="Z208" t="s">
        <v>51</v>
      </c>
      <c r="AA208" t="s">
        <v>37</v>
      </c>
      <c r="AB208" t="s">
        <v>52</v>
      </c>
      <c r="AC208" t="s">
        <v>53</v>
      </c>
      <c r="AD208" t="s">
        <v>54</v>
      </c>
      <c r="AE208">
        <v>18.996077378300001</v>
      </c>
      <c r="AF208">
        <v>3259</v>
      </c>
      <c r="AG208">
        <v>3258.9751046199999</v>
      </c>
      <c r="AH208">
        <v>189963.793293</v>
      </c>
      <c r="AI208">
        <v>46</v>
      </c>
      <c r="AJ208">
        <v>31578.038581348999</v>
      </c>
      <c r="AK208" s="1">
        <f>intersection_ss_Lnight___surface[[#This Row],[surf m2 bout ss]]/intersection_ss_Lnight___surface[[#This Row],[Shape_Area]]</f>
        <v>0.16623188047547072</v>
      </c>
      <c r="AL208">
        <v>879</v>
      </c>
      <c r="AM208">
        <f>intersection_ss_Lnight___surface[[#This Row],[Population totale 2024 ss]]*intersection_ss_Lnight___surface[[#This Row],[Part de la surface du qs dans le noise contour]]</f>
        <v>146.11782293793877</v>
      </c>
    </row>
    <row r="209" spans="1:39" x14ac:dyDescent="0.3">
      <c r="A209">
        <v>221</v>
      </c>
      <c r="B209" t="s">
        <v>642</v>
      </c>
      <c r="C209" t="s">
        <v>643</v>
      </c>
      <c r="D209" t="s">
        <v>644</v>
      </c>
      <c r="E209" t="s">
        <v>644</v>
      </c>
      <c r="F209" t="s">
        <v>641</v>
      </c>
      <c r="G209" t="s">
        <v>621</v>
      </c>
      <c r="H209" t="s">
        <v>622</v>
      </c>
      <c r="I209" t="s">
        <v>622</v>
      </c>
      <c r="J209" t="s">
        <v>36</v>
      </c>
      <c r="K209">
        <v>21006</v>
      </c>
      <c r="L209" t="s">
        <v>623</v>
      </c>
      <c r="M209" t="s">
        <v>623</v>
      </c>
      <c r="N209" t="s">
        <v>623</v>
      </c>
      <c r="O209">
        <v>21000</v>
      </c>
      <c r="P209" t="s">
        <v>46</v>
      </c>
      <c r="Q209" t="s">
        <v>47</v>
      </c>
      <c r="R209" t="s">
        <v>48</v>
      </c>
      <c r="T209" t="s">
        <v>36</v>
      </c>
      <c r="U209" t="s">
        <v>36</v>
      </c>
      <c r="V209" t="s">
        <v>36</v>
      </c>
      <c r="W209">
        <v>4000</v>
      </c>
      <c r="X209" t="s">
        <v>49</v>
      </c>
      <c r="Y209" t="s">
        <v>50</v>
      </c>
      <c r="Z209" t="s">
        <v>51</v>
      </c>
      <c r="AA209" t="s">
        <v>37</v>
      </c>
      <c r="AB209" t="s">
        <v>52</v>
      </c>
      <c r="AC209" t="s">
        <v>53</v>
      </c>
      <c r="AD209" t="s">
        <v>54</v>
      </c>
      <c r="AE209">
        <v>18.996077378300001</v>
      </c>
      <c r="AF209">
        <v>3259</v>
      </c>
      <c r="AG209">
        <v>3258.9751046199999</v>
      </c>
      <c r="AH209">
        <v>189963.793293</v>
      </c>
      <c r="AI209">
        <v>47</v>
      </c>
      <c r="AJ209">
        <v>42122.759294435396</v>
      </c>
      <c r="AK209" s="1">
        <f>intersection_ss_Lnight___surface[[#This Row],[surf m2 bout ss]]/intersection_ss_Lnight___surface[[#This Row],[Shape_Area]]</f>
        <v>0.22174098844965306</v>
      </c>
      <c r="AL209">
        <v>879</v>
      </c>
      <c r="AM209">
        <f>intersection_ss_Lnight___surface[[#This Row],[Population totale 2024 ss]]*intersection_ss_Lnight___surface[[#This Row],[Part de la surface du qs dans le noise contour]]</f>
        <v>194.91032884724504</v>
      </c>
    </row>
    <row r="210" spans="1:39" x14ac:dyDescent="0.3">
      <c r="A210">
        <v>222</v>
      </c>
      <c r="B210" t="s">
        <v>645</v>
      </c>
      <c r="C210" t="s">
        <v>646</v>
      </c>
      <c r="D210" t="s">
        <v>646</v>
      </c>
      <c r="E210" t="s">
        <v>646</v>
      </c>
      <c r="F210" t="s">
        <v>641</v>
      </c>
      <c r="G210" t="s">
        <v>621</v>
      </c>
      <c r="H210" t="s">
        <v>622</v>
      </c>
      <c r="I210" t="s">
        <v>622</v>
      </c>
      <c r="J210" t="s">
        <v>36</v>
      </c>
      <c r="K210">
        <v>21006</v>
      </c>
      <c r="L210" t="s">
        <v>623</v>
      </c>
      <c r="M210" t="s">
        <v>623</v>
      </c>
      <c r="N210" t="s">
        <v>623</v>
      </c>
      <c r="O210">
        <v>21000</v>
      </c>
      <c r="P210" t="s">
        <v>46</v>
      </c>
      <c r="Q210" t="s">
        <v>47</v>
      </c>
      <c r="R210" t="s">
        <v>48</v>
      </c>
      <c r="T210" t="s">
        <v>36</v>
      </c>
      <c r="U210" t="s">
        <v>36</v>
      </c>
      <c r="V210" t="s">
        <v>36</v>
      </c>
      <c r="W210">
        <v>4000</v>
      </c>
      <c r="X210" t="s">
        <v>49</v>
      </c>
      <c r="Y210" t="s">
        <v>50</v>
      </c>
      <c r="Z210" t="s">
        <v>51</v>
      </c>
      <c r="AA210" t="s">
        <v>37</v>
      </c>
      <c r="AB210" t="s">
        <v>52</v>
      </c>
      <c r="AC210" t="s">
        <v>53</v>
      </c>
      <c r="AD210" t="s">
        <v>54</v>
      </c>
      <c r="AE210">
        <v>5.61108804788</v>
      </c>
      <c r="AF210">
        <v>1481</v>
      </c>
      <c r="AG210">
        <v>1480.9232125000001</v>
      </c>
      <c r="AH210">
        <v>56111.7877936</v>
      </c>
      <c r="AI210">
        <v>46</v>
      </c>
      <c r="AJ210">
        <v>886.91481561958801</v>
      </c>
      <c r="AK210" s="1">
        <f>intersection_ss_Lnight___surface[[#This Row],[surf m2 bout ss]]/intersection_ss_Lnight___surface[[#This Row],[Shape_Area]]</f>
        <v>1.5806212036622146E-2</v>
      </c>
      <c r="AL210">
        <v>855</v>
      </c>
      <c r="AM210">
        <f>intersection_ss_Lnight___surface[[#This Row],[Population totale 2024 ss]]*intersection_ss_Lnight___surface[[#This Row],[Part de la surface du qs dans le noise contour]]</f>
        <v>13.514311291311936</v>
      </c>
    </row>
    <row r="211" spans="1:39" x14ac:dyDescent="0.3">
      <c r="A211">
        <v>223</v>
      </c>
      <c r="B211" t="s">
        <v>645</v>
      </c>
      <c r="C211" t="s">
        <v>646</v>
      </c>
      <c r="D211" t="s">
        <v>646</v>
      </c>
      <c r="E211" t="s">
        <v>646</v>
      </c>
      <c r="F211" t="s">
        <v>641</v>
      </c>
      <c r="G211" t="s">
        <v>621</v>
      </c>
      <c r="H211" t="s">
        <v>622</v>
      </c>
      <c r="I211" t="s">
        <v>622</v>
      </c>
      <c r="J211" t="s">
        <v>36</v>
      </c>
      <c r="K211">
        <v>21006</v>
      </c>
      <c r="L211" t="s">
        <v>623</v>
      </c>
      <c r="M211" t="s">
        <v>623</v>
      </c>
      <c r="N211" t="s">
        <v>623</v>
      </c>
      <c r="O211">
        <v>21000</v>
      </c>
      <c r="P211" t="s">
        <v>46</v>
      </c>
      <c r="Q211" t="s">
        <v>47</v>
      </c>
      <c r="R211" t="s">
        <v>48</v>
      </c>
      <c r="T211" t="s">
        <v>36</v>
      </c>
      <c r="U211" t="s">
        <v>36</v>
      </c>
      <c r="V211" t="s">
        <v>36</v>
      </c>
      <c r="W211">
        <v>4000</v>
      </c>
      <c r="X211" t="s">
        <v>49</v>
      </c>
      <c r="Y211" t="s">
        <v>50</v>
      </c>
      <c r="Z211" t="s">
        <v>51</v>
      </c>
      <c r="AA211" t="s">
        <v>37</v>
      </c>
      <c r="AB211" t="s">
        <v>52</v>
      </c>
      <c r="AC211" t="s">
        <v>53</v>
      </c>
      <c r="AD211" t="s">
        <v>54</v>
      </c>
      <c r="AE211">
        <v>5.61108804788</v>
      </c>
      <c r="AF211">
        <v>1481</v>
      </c>
      <c r="AG211">
        <v>1480.9232125000001</v>
      </c>
      <c r="AH211">
        <v>56111.7877936</v>
      </c>
      <c r="AI211">
        <v>47</v>
      </c>
      <c r="AJ211">
        <v>46172.7398696495</v>
      </c>
      <c r="AK211" s="1">
        <f>intersection_ss_Lnight___surface[[#This Row],[surf m2 bout ss]]/intersection_ss_Lnight___surface[[#This Row],[Shape_Area]]</f>
        <v>0.82287058896590481</v>
      </c>
      <c r="AL211">
        <v>855</v>
      </c>
      <c r="AM211">
        <f>intersection_ss_Lnight___surface[[#This Row],[Population totale 2024 ss]]*intersection_ss_Lnight___surface[[#This Row],[Part de la surface du qs dans le noise contour]]</f>
        <v>703.5543535658486</v>
      </c>
    </row>
    <row r="212" spans="1:39" x14ac:dyDescent="0.3">
      <c r="A212">
        <v>224</v>
      </c>
      <c r="B212" t="s">
        <v>645</v>
      </c>
      <c r="C212" t="s">
        <v>646</v>
      </c>
      <c r="D212" t="s">
        <v>646</v>
      </c>
      <c r="E212" t="s">
        <v>646</v>
      </c>
      <c r="F212" t="s">
        <v>641</v>
      </c>
      <c r="G212" t="s">
        <v>621</v>
      </c>
      <c r="H212" t="s">
        <v>622</v>
      </c>
      <c r="I212" t="s">
        <v>622</v>
      </c>
      <c r="J212" t="s">
        <v>36</v>
      </c>
      <c r="K212">
        <v>21006</v>
      </c>
      <c r="L212" t="s">
        <v>623</v>
      </c>
      <c r="M212" t="s">
        <v>623</v>
      </c>
      <c r="N212" t="s">
        <v>623</v>
      </c>
      <c r="O212">
        <v>21000</v>
      </c>
      <c r="P212" t="s">
        <v>46</v>
      </c>
      <c r="Q212" t="s">
        <v>47</v>
      </c>
      <c r="R212" t="s">
        <v>48</v>
      </c>
      <c r="T212" t="s">
        <v>36</v>
      </c>
      <c r="U212" t="s">
        <v>36</v>
      </c>
      <c r="V212" t="s">
        <v>36</v>
      </c>
      <c r="W212">
        <v>4000</v>
      </c>
      <c r="X212" t="s">
        <v>49</v>
      </c>
      <c r="Y212" t="s">
        <v>50</v>
      </c>
      <c r="Z212" t="s">
        <v>51</v>
      </c>
      <c r="AA212" t="s">
        <v>37</v>
      </c>
      <c r="AB212" t="s">
        <v>52</v>
      </c>
      <c r="AC212" t="s">
        <v>53</v>
      </c>
      <c r="AD212" t="s">
        <v>54</v>
      </c>
      <c r="AE212">
        <v>5.61108804788</v>
      </c>
      <c r="AF212">
        <v>1481</v>
      </c>
      <c r="AG212">
        <v>1480.9232125000001</v>
      </c>
      <c r="AH212">
        <v>56111.7877936</v>
      </c>
      <c r="AI212">
        <v>48</v>
      </c>
      <c r="AJ212">
        <v>9057.3349289083908</v>
      </c>
      <c r="AK212" s="1">
        <f>intersection_ss_Lnight___surface[[#This Row],[surf m2 bout ss]]/intersection_ss_Lnight___surface[[#This Row],[Shape_Area]]</f>
        <v>0.16141590359274655</v>
      </c>
      <c r="AL212">
        <v>855</v>
      </c>
      <c r="AM212">
        <f>intersection_ss_Lnight___surface[[#This Row],[Population totale 2024 ss]]*intersection_ss_Lnight___surface[[#This Row],[Part de la surface du qs dans le noise contour]]</f>
        <v>138.01059757179829</v>
      </c>
    </row>
    <row r="213" spans="1:39" x14ac:dyDescent="0.3">
      <c r="A213">
        <v>225</v>
      </c>
      <c r="B213" t="s">
        <v>647</v>
      </c>
      <c r="C213" t="s">
        <v>648</v>
      </c>
      <c r="D213" t="s">
        <v>649</v>
      </c>
      <c r="E213" t="s">
        <v>649</v>
      </c>
      <c r="F213" t="s">
        <v>641</v>
      </c>
      <c r="G213" t="s">
        <v>621</v>
      </c>
      <c r="H213" t="s">
        <v>622</v>
      </c>
      <c r="I213" t="s">
        <v>622</v>
      </c>
      <c r="J213" t="s">
        <v>36</v>
      </c>
      <c r="K213">
        <v>21006</v>
      </c>
      <c r="L213" t="s">
        <v>623</v>
      </c>
      <c r="M213" t="s">
        <v>623</v>
      </c>
      <c r="N213" t="s">
        <v>623</v>
      </c>
      <c r="O213">
        <v>21000</v>
      </c>
      <c r="P213" t="s">
        <v>46</v>
      </c>
      <c r="Q213" t="s">
        <v>47</v>
      </c>
      <c r="R213" t="s">
        <v>48</v>
      </c>
      <c r="T213" t="s">
        <v>36</v>
      </c>
      <c r="U213" t="s">
        <v>36</v>
      </c>
      <c r="V213" t="s">
        <v>36</v>
      </c>
      <c r="W213">
        <v>4000</v>
      </c>
      <c r="X213" t="s">
        <v>49</v>
      </c>
      <c r="Y213" t="s">
        <v>50</v>
      </c>
      <c r="Z213" t="s">
        <v>51</v>
      </c>
      <c r="AA213" t="s">
        <v>37</v>
      </c>
      <c r="AB213" t="s">
        <v>52</v>
      </c>
      <c r="AC213" t="s">
        <v>53</v>
      </c>
      <c r="AD213" t="s">
        <v>54</v>
      </c>
      <c r="AE213">
        <v>9.6873546263900003</v>
      </c>
      <c r="AF213">
        <v>1699</v>
      </c>
      <c r="AG213">
        <v>1698.9657995299999</v>
      </c>
      <c r="AH213">
        <v>96875.102188200006</v>
      </c>
      <c r="AI213">
        <v>46</v>
      </c>
      <c r="AJ213">
        <v>7196.0261907791701</v>
      </c>
      <c r="AK213" s="1">
        <f>intersection_ss_Lnight___surface[[#This Row],[surf m2 bout ss]]/intersection_ss_Lnight___surface[[#This Row],[Shape_Area]]</f>
        <v>7.4281482323491077E-2</v>
      </c>
      <c r="AL213">
        <v>1664</v>
      </c>
      <c r="AM213">
        <f>intersection_ss_Lnight___surface[[#This Row],[Population totale 2024 ss]]*intersection_ss_Lnight___surface[[#This Row],[Part de la surface du qs dans le noise contour]]</f>
        <v>123.60438658628915</v>
      </c>
    </row>
    <row r="214" spans="1:39" x14ac:dyDescent="0.3">
      <c r="A214">
        <v>226</v>
      </c>
      <c r="B214" t="s">
        <v>647</v>
      </c>
      <c r="C214" t="s">
        <v>648</v>
      </c>
      <c r="D214" t="s">
        <v>649</v>
      </c>
      <c r="E214" t="s">
        <v>649</v>
      </c>
      <c r="F214" t="s">
        <v>641</v>
      </c>
      <c r="G214" t="s">
        <v>621</v>
      </c>
      <c r="H214" t="s">
        <v>622</v>
      </c>
      <c r="I214" t="s">
        <v>622</v>
      </c>
      <c r="J214" t="s">
        <v>36</v>
      </c>
      <c r="K214">
        <v>21006</v>
      </c>
      <c r="L214" t="s">
        <v>623</v>
      </c>
      <c r="M214" t="s">
        <v>623</v>
      </c>
      <c r="N214" t="s">
        <v>623</v>
      </c>
      <c r="O214">
        <v>21000</v>
      </c>
      <c r="P214" t="s">
        <v>46</v>
      </c>
      <c r="Q214" t="s">
        <v>47</v>
      </c>
      <c r="R214" t="s">
        <v>48</v>
      </c>
      <c r="T214" t="s">
        <v>36</v>
      </c>
      <c r="U214" t="s">
        <v>36</v>
      </c>
      <c r="V214" t="s">
        <v>36</v>
      </c>
      <c r="W214">
        <v>4000</v>
      </c>
      <c r="X214" t="s">
        <v>49</v>
      </c>
      <c r="Y214" t="s">
        <v>50</v>
      </c>
      <c r="Z214" t="s">
        <v>51</v>
      </c>
      <c r="AA214" t="s">
        <v>37</v>
      </c>
      <c r="AB214" t="s">
        <v>52</v>
      </c>
      <c r="AC214" t="s">
        <v>53</v>
      </c>
      <c r="AD214" t="s">
        <v>54</v>
      </c>
      <c r="AE214">
        <v>9.6873546263900003</v>
      </c>
      <c r="AF214">
        <v>1699</v>
      </c>
      <c r="AG214">
        <v>1698.9657995299999</v>
      </c>
      <c r="AH214">
        <v>96875.102188200006</v>
      </c>
      <c r="AI214">
        <v>47</v>
      </c>
      <c r="AJ214">
        <v>89335.245499096796</v>
      </c>
      <c r="AK214" s="1">
        <f>intersection_ss_Lnight___surface[[#This Row],[surf m2 bout ss]]/intersection_ss_Lnight___surface[[#This Row],[Shape_Area]]</f>
        <v>0.92216930337316727</v>
      </c>
      <c r="AL214">
        <v>1664</v>
      </c>
      <c r="AM214">
        <f>intersection_ss_Lnight___surface[[#This Row],[Population totale 2024 ss]]*intersection_ss_Lnight___surface[[#This Row],[Part de la surface du qs dans le noise contour]]</f>
        <v>1534.4897208129503</v>
      </c>
    </row>
    <row r="215" spans="1:39" x14ac:dyDescent="0.3">
      <c r="A215">
        <v>227</v>
      </c>
      <c r="B215" t="s">
        <v>647</v>
      </c>
      <c r="C215" t="s">
        <v>648</v>
      </c>
      <c r="D215" t="s">
        <v>649</v>
      </c>
      <c r="E215" t="s">
        <v>649</v>
      </c>
      <c r="F215" t="s">
        <v>641</v>
      </c>
      <c r="G215" t="s">
        <v>621</v>
      </c>
      <c r="H215" t="s">
        <v>622</v>
      </c>
      <c r="I215" t="s">
        <v>622</v>
      </c>
      <c r="J215" t="s">
        <v>36</v>
      </c>
      <c r="K215">
        <v>21006</v>
      </c>
      <c r="L215" t="s">
        <v>623</v>
      </c>
      <c r="M215" t="s">
        <v>623</v>
      </c>
      <c r="N215" t="s">
        <v>623</v>
      </c>
      <c r="O215">
        <v>21000</v>
      </c>
      <c r="P215" t="s">
        <v>46</v>
      </c>
      <c r="Q215" t="s">
        <v>47</v>
      </c>
      <c r="R215" t="s">
        <v>48</v>
      </c>
      <c r="T215" t="s">
        <v>36</v>
      </c>
      <c r="U215" t="s">
        <v>36</v>
      </c>
      <c r="V215" t="s">
        <v>36</v>
      </c>
      <c r="W215">
        <v>4000</v>
      </c>
      <c r="X215" t="s">
        <v>49</v>
      </c>
      <c r="Y215" t="s">
        <v>50</v>
      </c>
      <c r="Z215" t="s">
        <v>51</v>
      </c>
      <c r="AA215" t="s">
        <v>37</v>
      </c>
      <c r="AB215" t="s">
        <v>52</v>
      </c>
      <c r="AC215" t="s">
        <v>53</v>
      </c>
      <c r="AD215" t="s">
        <v>54</v>
      </c>
      <c r="AE215">
        <v>9.6873546263900003</v>
      </c>
      <c r="AF215">
        <v>1699</v>
      </c>
      <c r="AG215">
        <v>1698.9657995299999</v>
      </c>
      <c r="AH215">
        <v>96875.102188200006</v>
      </c>
      <c r="AI215">
        <v>48</v>
      </c>
      <c r="AJ215">
        <v>352.78948290180398</v>
      </c>
      <c r="AK215" s="1">
        <f>intersection_ss_Lnight___surface[[#This Row],[surf m2 bout ss]]/intersection_ss_Lnight___surface[[#This Row],[Shape_Area]]</f>
        <v>3.6416940465924582E-3</v>
      </c>
      <c r="AL215">
        <v>1664</v>
      </c>
      <c r="AM215">
        <f>intersection_ss_Lnight___surface[[#This Row],[Population totale 2024 ss]]*intersection_ss_Lnight___surface[[#This Row],[Part de la surface du qs dans le noise contour]]</f>
        <v>6.0597788935298507</v>
      </c>
    </row>
    <row r="216" spans="1:39" x14ac:dyDescent="0.3">
      <c r="A216">
        <v>228</v>
      </c>
      <c r="B216" t="s">
        <v>650</v>
      </c>
      <c r="C216" t="s">
        <v>651</v>
      </c>
      <c r="D216" t="s">
        <v>652</v>
      </c>
      <c r="E216" t="s">
        <v>652</v>
      </c>
      <c r="F216" t="s">
        <v>641</v>
      </c>
      <c r="G216" t="s">
        <v>621</v>
      </c>
      <c r="H216" t="s">
        <v>622</v>
      </c>
      <c r="I216" t="s">
        <v>622</v>
      </c>
      <c r="J216" t="s">
        <v>36</v>
      </c>
      <c r="K216">
        <v>21006</v>
      </c>
      <c r="L216" t="s">
        <v>623</v>
      </c>
      <c r="M216" t="s">
        <v>623</v>
      </c>
      <c r="N216" t="s">
        <v>623</v>
      </c>
      <c r="O216">
        <v>21000</v>
      </c>
      <c r="P216" t="s">
        <v>46</v>
      </c>
      <c r="Q216" t="s">
        <v>47</v>
      </c>
      <c r="R216" t="s">
        <v>48</v>
      </c>
      <c r="T216" t="s">
        <v>36</v>
      </c>
      <c r="U216" t="s">
        <v>36</v>
      </c>
      <c r="V216" t="s">
        <v>36</v>
      </c>
      <c r="W216">
        <v>4000</v>
      </c>
      <c r="X216" t="s">
        <v>49</v>
      </c>
      <c r="Y216" t="s">
        <v>50</v>
      </c>
      <c r="Z216" t="s">
        <v>51</v>
      </c>
      <c r="AA216" t="s">
        <v>37</v>
      </c>
      <c r="AB216" t="s">
        <v>52</v>
      </c>
      <c r="AC216" t="s">
        <v>53</v>
      </c>
      <c r="AD216" t="s">
        <v>54</v>
      </c>
      <c r="AE216">
        <v>5.8463512190699998</v>
      </c>
      <c r="AF216">
        <v>1112</v>
      </c>
      <c r="AG216">
        <v>1111.9191398800001</v>
      </c>
      <c r="AH216">
        <v>58464.452410899998</v>
      </c>
      <c r="AI216">
        <v>45</v>
      </c>
      <c r="AJ216">
        <v>36913.5437152921</v>
      </c>
      <c r="AK216" s="1">
        <f>intersection_ss_Lnight___surface[[#This Row],[surf m2 bout ss]]/intersection_ss_Lnight___surface[[#This Row],[Shape_Area]]</f>
        <v>0.63138440869772028</v>
      </c>
      <c r="AL216">
        <v>1286</v>
      </c>
      <c r="AM216">
        <f>intersection_ss_Lnight___surface[[#This Row],[Population totale 2024 ss]]*intersection_ss_Lnight___surface[[#This Row],[Part de la surface du qs dans le noise contour]]</f>
        <v>811.96034958526832</v>
      </c>
    </row>
    <row r="217" spans="1:39" x14ac:dyDescent="0.3">
      <c r="A217">
        <v>229</v>
      </c>
      <c r="B217" t="s">
        <v>650</v>
      </c>
      <c r="C217" t="s">
        <v>651</v>
      </c>
      <c r="D217" t="s">
        <v>652</v>
      </c>
      <c r="E217" t="s">
        <v>652</v>
      </c>
      <c r="F217" t="s">
        <v>641</v>
      </c>
      <c r="G217" t="s">
        <v>621</v>
      </c>
      <c r="H217" t="s">
        <v>622</v>
      </c>
      <c r="I217" t="s">
        <v>622</v>
      </c>
      <c r="J217" t="s">
        <v>36</v>
      </c>
      <c r="K217">
        <v>21006</v>
      </c>
      <c r="L217" t="s">
        <v>623</v>
      </c>
      <c r="M217" t="s">
        <v>623</v>
      </c>
      <c r="N217" t="s">
        <v>623</v>
      </c>
      <c r="O217">
        <v>21000</v>
      </c>
      <c r="P217" t="s">
        <v>46</v>
      </c>
      <c r="Q217" t="s">
        <v>47</v>
      </c>
      <c r="R217" t="s">
        <v>48</v>
      </c>
      <c r="T217" t="s">
        <v>36</v>
      </c>
      <c r="U217" t="s">
        <v>36</v>
      </c>
      <c r="V217" t="s">
        <v>36</v>
      </c>
      <c r="W217">
        <v>4000</v>
      </c>
      <c r="X217" t="s">
        <v>49</v>
      </c>
      <c r="Y217" t="s">
        <v>50</v>
      </c>
      <c r="Z217" t="s">
        <v>51</v>
      </c>
      <c r="AA217" t="s">
        <v>37</v>
      </c>
      <c r="AB217" t="s">
        <v>52</v>
      </c>
      <c r="AC217" t="s">
        <v>53</v>
      </c>
      <c r="AD217" t="s">
        <v>54</v>
      </c>
      <c r="AE217">
        <v>5.8463512190699998</v>
      </c>
      <c r="AF217">
        <v>1112</v>
      </c>
      <c r="AG217">
        <v>1111.9191398800001</v>
      </c>
      <c r="AH217">
        <v>58464.452410899998</v>
      </c>
      <c r="AI217">
        <v>46</v>
      </c>
      <c r="AJ217">
        <v>21556.355947422999</v>
      </c>
      <c r="AK217" s="1">
        <f>intersection_ss_Lnight___surface[[#This Row],[surf m2 bout ss]]/intersection_ss_Lnight___surface[[#This Row],[Shape_Area]]</f>
        <v>0.3687087633340097</v>
      </c>
      <c r="AL217">
        <v>1286</v>
      </c>
      <c r="AM217">
        <f>intersection_ss_Lnight___surface[[#This Row],[Population totale 2024 ss]]*intersection_ss_Lnight___surface[[#This Row],[Part de la surface du qs dans le noise contour]]</f>
        <v>474.15946964753647</v>
      </c>
    </row>
    <row r="218" spans="1:39" x14ac:dyDescent="0.3">
      <c r="A218">
        <v>230</v>
      </c>
      <c r="B218" t="s">
        <v>653</v>
      </c>
      <c r="C218" t="s">
        <v>654</v>
      </c>
      <c r="D218" t="s">
        <v>654</v>
      </c>
      <c r="E218" t="s">
        <v>654</v>
      </c>
      <c r="F218" t="s">
        <v>641</v>
      </c>
      <c r="G218" t="s">
        <v>621</v>
      </c>
      <c r="H218" t="s">
        <v>622</v>
      </c>
      <c r="I218" t="s">
        <v>622</v>
      </c>
      <c r="J218" t="s">
        <v>36</v>
      </c>
      <c r="K218">
        <v>21006</v>
      </c>
      <c r="L218" t="s">
        <v>623</v>
      </c>
      <c r="M218" t="s">
        <v>623</v>
      </c>
      <c r="N218" t="s">
        <v>623</v>
      </c>
      <c r="O218">
        <v>21000</v>
      </c>
      <c r="P218" t="s">
        <v>46</v>
      </c>
      <c r="Q218" t="s">
        <v>47</v>
      </c>
      <c r="R218" t="s">
        <v>48</v>
      </c>
      <c r="T218" t="s">
        <v>36</v>
      </c>
      <c r="U218" t="s">
        <v>36</v>
      </c>
      <c r="V218" t="s">
        <v>36</v>
      </c>
      <c r="W218">
        <v>4000</v>
      </c>
      <c r="X218" t="s">
        <v>49</v>
      </c>
      <c r="Y218" t="s">
        <v>50</v>
      </c>
      <c r="Z218" t="s">
        <v>51</v>
      </c>
      <c r="AA218" t="s">
        <v>37</v>
      </c>
      <c r="AB218" t="s">
        <v>52</v>
      </c>
      <c r="AC218" t="s">
        <v>53</v>
      </c>
      <c r="AD218" t="s">
        <v>54</v>
      </c>
      <c r="AE218">
        <v>9.4578811730699996</v>
      </c>
      <c r="AF218">
        <v>1535</v>
      </c>
      <c r="AG218">
        <v>1534.62633203</v>
      </c>
      <c r="AH218">
        <v>94580.336394099999</v>
      </c>
      <c r="AI218">
        <v>43</v>
      </c>
      <c r="AJ218">
        <v>5239.0592245450198</v>
      </c>
      <c r="AK218" s="1">
        <f>intersection_ss_Lnight___surface[[#This Row],[surf m2 bout ss]]/intersection_ss_Lnight___surface[[#This Row],[Shape_Area]]</f>
        <v>5.5392689688845691E-2</v>
      </c>
      <c r="AL218">
        <v>1303</v>
      </c>
      <c r="AM218">
        <f>intersection_ss_Lnight___surface[[#This Row],[Population totale 2024 ss]]*intersection_ss_Lnight___surface[[#This Row],[Part de la surface du qs dans le noise contour]]</f>
        <v>72.176674664565937</v>
      </c>
    </row>
    <row r="219" spans="1:39" x14ac:dyDescent="0.3">
      <c r="A219">
        <v>231</v>
      </c>
      <c r="B219" t="s">
        <v>653</v>
      </c>
      <c r="C219" t="s">
        <v>654</v>
      </c>
      <c r="D219" t="s">
        <v>654</v>
      </c>
      <c r="E219" t="s">
        <v>654</v>
      </c>
      <c r="F219" t="s">
        <v>641</v>
      </c>
      <c r="G219" t="s">
        <v>621</v>
      </c>
      <c r="H219" t="s">
        <v>622</v>
      </c>
      <c r="I219" t="s">
        <v>622</v>
      </c>
      <c r="J219" t="s">
        <v>36</v>
      </c>
      <c r="K219">
        <v>21006</v>
      </c>
      <c r="L219" t="s">
        <v>623</v>
      </c>
      <c r="M219" t="s">
        <v>623</v>
      </c>
      <c r="N219" t="s">
        <v>623</v>
      </c>
      <c r="O219">
        <v>21000</v>
      </c>
      <c r="P219" t="s">
        <v>46</v>
      </c>
      <c r="Q219" t="s">
        <v>47</v>
      </c>
      <c r="R219" t="s">
        <v>48</v>
      </c>
      <c r="T219" t="s">
        <v>36</v>
      </c>
      <c r="U219" t="s">
        <v>36</v>
      </c>
      <c r="V219" t="s">
        <v>36</v>
      </c>
      <c r="W219">
        <v>4000</v>
      </c>
      <c r="X219" t="s">
        <v>49</v>
      </c>
      <c r="Y219" t="s">
        <v>50</v>
      </c>
      <c r="Z219" t="s">
        <v>51</v>
      </c>
      <c r="AA219" t="s">
        <v>37</v>
      </c>
      <c r="AB219" t="s">
        <v>52</v>
      </c>
      <c r="AC219" t="s">
        <v>53</v>
      </c>
      <c r="AD219" t="s">
        <v>54</v>
      </c>
      <c r="AE219">
        <v>9.4578811730699996</v>
      </c>
      <c r="AF219">
        <v>1535</v>
      </c>
      <c r="AG219">
        <v>1534.62633203</v>
      </c>
      <c r="AH219">
        <v>94580.336394099999</v>
      </c>
      <c r="AI219">
        <v>44</v>
      </c>
      <c r="AJ219">
        <v>58649.838607336897</v>
      </c>
      <c r="AK219" s="1">
        <f>intersection_ss_Lnight___surface[[#This Row],[surf m2 bout ss]]/intersection_ss_Lnight___surface[[#This Row],[Shape_Area]]</f>
        <v>0.62010604786763612</v>
      </c>
      <c r="AL219">
        <v>1303</v>
      </c>
      <c r="AM219">
        <f>intersection_ss_Lnight___surface[[#This Row],[Population totale 2024 ss]]*intersection_ss_Lnight___surface[[#This Row],[Part de la surface du qs dans le noise contour]]</f>
        <v>807.99818037152988</v>
      </c>
    </row>
    <row r="220" spans="1:39" x14ac:dyDescent="0.3">
      <c r="A220">
        <v>232</v>
      </c>
      <c r="B220" t="s">
        <v>653</v>
      </c>
      <c r="C220" t="s">
        <v>654</v>
      </c>
      <c r="D220" t="s">
        <v>654</v>
      </c>
      <c r="E220" t="s">
        <v>654</v>
      </c>
      <c r="F220" t="s">
        <v>641</v>
      </c>
      <c r="G220" t="s">
        <v>621</v>
      </c>
      <c r="H220" t="s">
        <v>622</v>
      </c>
      <c r="I220" t="s">
        <v>622</v>
      </c>
      <c r="J220" t="s">
        <v>36</v>
      </c>
      <c r="K220">
        <v>21006</v>
      </c>
      <c r="L220" t="s">
        <v>623</v>
      </c>
      <c r="M220" t="s">
        <v>623</v>
      </c>
      <c r="N220" t="s">
        <v>623</v>
      </c>
      <c r="O220">
        <v>21000</v>
      </c>
      <c r="P220" t="s">
        <v>46</v>
      </c>
      <c r="Q220" t="s">
        <v>47</v>
      </c>
      <c r="R220" t="s">
        <v>48</v>
      </c>
      <c r="T220" t="s">
        <v>36</v>
      </c>
      <c r="U220" t="s">
        <v>36</v>
      </c>
      <c r="V220" t="s">
        <v>36</v>
      </c>
      <c r="W220">
        <v>4000</v>
      </c>
      <c r="X220" t="s">
        <v>49</v>
      </c>
      <c r="Y220" t="s">
        <v>50</v>
      </c>
      <c r="Z220" t="s">
        <v>51</v>
      </c>
      <c r="AA220" t="s">
        <v>37</v>
      </c>
      <c r="AB220" t="s">
        <v>52</v>
      </c>
      <c r="AC220" t="s">
        <v>53</v>
      </c>
      <c r="AD220" t="s">
        <v>54</v>
      </c>
      <c r="AE220">
        <v>9.4578811730699996</v>
      </c>
      <c r="AF220">
        <v>1535</v>
      </c>
      <c r="AG220">
        <v>1534.62633203</v>
      </c>
      <c r="AH220">
        <v>94580.336394099999</v>
      </c>
      <c r="AI220">
        <v>45</v>
      </c>
      <c r="AJ220">
        <v>30700.334246208899</v>
      </c>
      <c r="AK220" s="1">
        <f>intersection_ss_Lnight___surface[[#This Row],[surf m2 bout ss]]/intersection_ss_Lnight___surface[[#This Row],[Shape_Area]]</f>
        <v>0.32459531670817793</v>
      </c>
      <c r="AL220">
        <v>1303</v>
      </c>
      <c r="AM220">
        <f>intersection_ss_Lnight___surface[[#This Row],[Population totale 2024 ss]]*intersection_ss_Lnight___surface[[#This Row],[Part de la surface du qs dans le noise contour]]</f>
        <v>422.94769767075582</v>
      </c>
    </row>
    <row r="221" spans="1:39" x14ac:dyDescent="0.3">
      <c r="A221">
        <v>233</v>
      </c>
      <c r="B221" t="s">
        <v>655</v>
      </c>
      <c r="C221" t="s">
        <v>656</v>
      </c>
      <c r="D221" t="s">
        <v>657</v>
      </c>
      <c r="E221" t="s">
        <v>657</v>
      </c>
      <c r="F221" t="s">
        <v>641</v>
      </c>
      <c r="G221" t="s">
        <v>621</v>
      </c>
      <c r="H221" t="s">
        <v>622</v>
      </c>
      <c r="I221" t="s">
        <v>622</v>
      </c>
      <c r="J221" t="s">
        <v>36</v>
      </c>
      <c r="K221">
        <v>21006</v>
      </c>
      <c r="L221" t="s">
        <v>623</v>
      </c>
      <c r="M221" t="s">
        <v>623</v>
      </c>
      <c r="N221" t="s">
        <v>623</v>
      </c>
      <c r="O221">
        <v>21000</v>
      </c>
      <c r="P221" t="s">
        <v>46</v>
      </c>
      <c r="Q221" t="s">
        <v>47</v>
      </c>
      <c r="R221" t="s">
        <v>48</v>
      </c>
      <c r="T221" t="s">
        <v>36</v>
      </c>
      <c r="U221" t="s">
        <v>36</v>
      </c>
      <c r="V221" t="s">
        <v>36</v>
      </c>
      <c r="W221">
        <v>4000</v>
      </c>
      <c r="X221" t="s">
        <v>49</v>
      </c>
      <c r="Y221" t="s">
        <v>50</v>
      </c>
      <c r="Z221" t="s">
        <v>51</v>
      </c>
      <c r="AA221" t="s">
        <v>37</v>
      </c>
      <c r="AB221" t="s">
        <v>52</v>
      </c>
      <c r="AC221" t="s">
        <v>53</v>
      </c>
      <c r="AD221" t="s">
        <v>54</v>
      </c>
      <c r="AE221">
        <v>45.529890733599998</v>
      </c>
      <c r="AF221">
        <v>4618</v>
      </c>
      <c r="AG221">
        <v>4617.6206915599996</v>
      </c>
      <c r="AH221">
        <v>455306.265526</v>
      </c>
      <c r="AI221">
        <v>42</v>
      </c>
      <c r="AJ221">
        <v>1377.1163290368399</v>
      </c>
      <c r="AK221" s="1">
        <f>intersection_ss_Lnight___surface[[#This Row],[surf m2 bout ss]]/intersection_ss_Lnight___surface[[#This Row],[Shape_Area]]</f>
        <v>3.0245934073538476E-3</v>
      </c>
      <c r="AL221">
        <v>1099</v>
      </c>
      <c r="AM221">
        <f>intersection_ss_Lnight___surface[[#This Row],[Population totale 2024 ss]]*intersection_ss_Lnight___surface[[#This Row],[Part de la surface du qs dans le noise contour]]</f>
        <v>3.3240281546818786</v>
      </c>
    </row>
    <row r="222" spans="1:39" x14ac:dyDescent="0.3">
      <c r="A222">
        <v>234</v>
      </c>
      <c r="B222" t="s">
        <v>655</v>
      </c>
      <c r="C222" t="s">
        <v>656</v>
      </c>
      <c r="D222" t="s">
        <v>657</v>
      </c>
      <c r="E222" t="s">
        <v>657</v>
      </c>
      <c r="F222" t="s">
        <v>641</v>
      </c>
      <c r="G222" t="s">
        <v>621</v>
      </c>
      <c r="H222" t="s">
        <v>622</v>
      </c>
      <c r="I222" t="s">
        <v>622</v>
      </c>
      <c r="J222" t="s">
        <v>36</v>
      </c>
      <c r="K222">
        <v>21006</v>
      </c>
      <c r="L222" t="s">
        <v>623</v>
      </c>
      <c r="M222" t="s">
        <v>623</v>
      </c>
      <c r="N222" t="s">
        <v>623</v>
      </c>
      <c r="O222">
        <v>21000</v>
      </c>
      <c r="P222" t="s">
        <v>46</v>
      </c>
      <c r="Q222" t="s">
        <v>47</v>
      </c>
      <c r="R222" t="s">
        <v>48</v>
      </c>
      <c r="T222" t="s">
        <v>36</v>
      </c>
      <c r="U222" t="s">
        <v>36</v>
      </c>
      <c r="V222" t="s">
        <v>36</v>
      </c>
      <c r="W222">
        <v>4000</v>
      </c>
      <c r="X222" t="s">
        <v>49</v>
      </c>
      <c r="Y222" t="s">
        <v>50</v>
      </c>
      <c r="Z222" t="s">
        <v>51</v>
      </c>
      <c r="AA222" t="s">
        <v>37</v>
      </c>
      <c r="AB222" t="s">
        <v>52</v>
      </c>
      <c r="AC222" t="s">
        <v>53</v>
      </c>
      <c r="AD222" t="s">
        <v>54</v>
      </c>
      <c r="AE222">
        <v>45.529890733599998</v>
      </c>
      <c r="AF222">
        <v>4618</v>
      </c>
      <c r="AG222">
        <v>4617.6206915599996</v>
      </c>
      <c r="AH222">
        <v>455306.265526</v>
      </c>
      <c r="AI222">
        <v>43</v>
      </c>
      <c r="AJ222">
        <v>28039.689491382302</v>
      </c>
      <c r="AK222" s="1">
        <f>intersection_ss_Lnight___surface[[#This Row],[surf m2 bout ss]]/intersection_ss_Lnight___surface[[#This Row],[Shape_Area]]</f>
        <v>6.1584238158877501E-2</v>
      </c>
      <c r="AL222">
        <v>1099</v>
      </c>
      <c r="AM222">
        <f>intersection_ss_Lnight___surface[[#This Row],[Population totale 2024 ss]]*intersection_ss_Lnight___surface[[#This Row],[Part de la surface du qs dans le noise contour]]</f>
        <v>67.681077736606369</v>
      </c>
    </row>
    <row r="223" spans="1:39" x14ac:dyDescent="0.3">
      <c r="A223">
        <v>235</v>
      </c>
      <c r="B223" t="s">
        <v>655</v>
      </c>
      <c r="C223" t="s">
        <v>656</v>
      </c>
      <c r="D223" t="s">
        <v>657</v>
      </c>
      <c r="E223" t="s">
        <v>657</v>
      </c>
      <c r="F223" t="s">
        <v>641</v>
      </c>
      <c r="G223" t="s">
        <v>621</v>
      </c>
      <c r="H223" t="s">
        <v>622</v>
      </c>
      <c r="I223" t="s">
        <v>622</v>
      </c>
      <c r="J223" t="s">
        <v>36</v>
      </c>
      <c r="K223">
        <v>21006</v>
      </c>
      <c r="L223" t="s">
        <v>623</v>
      </c>
      <c r="M223" t="s">
        <v>623</v>
      </c>
      <c r="N223" t="s">
        <v>623</v>
      </c>
      <c r="O223">
        <v>21000</v>
      </c>
      <c r="P223" t="s">
        <v>46</v>
      </c>
      <c r="Q223" t="s">
        <v>47</v>
      </c>
      <c r="R223" t="s">
        <v>48</v>
      </c>
      <c r="T223" t="s">
        <v>36</v>
      </c>
      <c r="U223" t="s">
        <v>36</v>
      </c>
      <c r="V223" t="s">
        <v>36</v>
      </c>
      <c r="W223">
        <v>4000</v>
      </c>
      <c r="X223" t="s">
        <v>49</v>
      </c>
      <c r="Y223" t="s">
        <v>50</v>
      </c>
      <c r="Z223" t="s">
        <v>51</v>
      </c>
      <c r="AA223" t="s">
        <v>37</v>
      </c>
      <c r="AB223" t="s">
        <v>52</v>
      </c>
      <c r="AC223" t="s">
        <v>53</v>
      </c>
      <c r="AD223" t="s">
        <v>54</v>
      </c>
      <c r="AE223">
        <v>45.529890733599998</v>
      </c>
      <c r="AF223">
        <v>4618</v>
      </c>
      <c r="AG223">
        <v>4617.6206915599996</v>
      </c>
      <c r="AH223">
        <v>455306.265526</v>
      </c>
      <c r="AI223">
        <v>44</v>
      </c>
      <c r="AJ223">
        <v>41860.314916989802</v>
      </c>
      <c r="AK223" s="1">
        <f>intersection_ss_Lnight___surface[[#This Row],[surf m2 bout ss]]/intersection_ss_Lnight___surface[[#This Row],[Shape_Area]]</f>
        <v>9.1938807098624023E-2</v>
      </c>
      <c r="AL223">
        <v>1099</v>
      </c>
      <c r="AM223">
        <f>intersection_ss_Lnight___surface[[#This Row],[Population totale 2024 ss]]*intersection_ss_Lnight___surface[[#This Row],[Part de la surface du qs dans le noise contour]]</f>
        <v>101.04074900138779</v>
      </c>
    </row>
    <row r="224" spans="1:39" x14ac:dyDescent="0.3">
      <c r="A224">
        <v>236</v>
      </c>
      <c r="B224" t="s">
        <v>655</v>
      </c>
      <c r="C224" t="s">
        <v>656</v>
      </c>
      <c r="D224" t="s">
        <v>657</v>
      </c>
      <c r="E224" t="s">
        <v>657</v>
      </c>
      <c r="F224" t="s">
        <v>641</v>
      </c>
      <c r="G224" t="s">
        <v>621</v>
      </c>
      <c r="H224" t="s">
        <v>622</v>
      </c>
      <c r="I224" t="s">
        <v>622</v>
      </c>
      <c r="J224" t="s">
        <v>36</v>
      </c>
      <c r="K224">
        <v>21006</v>
      </c>
      <c r="L224" t="s">
        <v>623</v>
      </c>
      <c r="M224" t="s">
        <v>623</v>
      </c>
      <c r="N224" t="s">
        <v>623</v>
      </c>
      <c r="O224">
        <v>21000</v>
      </c>
      <c r="P224" t="s">
        <v>46</v>
      </c>
      <c r="Q224" t="s">
        <v>47</v>
      </c>
      <c r="R224" t="s">
        <v>48</v>
      </c>
      <c r="T224" t="s">
        <v>36</v>
      </c>
      <c r="U224" t="s">
        <v>36</v>
      </c>
      <c r="V224" t="s">
        <v>36</v>
      </c>
      <c r="W224">
        <v>4000</v>
      </c>
      <c r="X224" t="s">
        <v>49</v>
      </c>
      <c r="Y224" t="s">
        <v>50</v>
      </c>
      <c r="Z224" t="s">
        <v>51</v>
      </c>
      <c r="AA224" t="s">
        <v>37</v>
      </c>
      <c r="AB224" t="s">
        <v>52</v>
      </c>
      <c r="AC224" t="s">
        <v>53</v>
      </c>
      <c r="AD224" t="s">
        <v>54</v>
      </c>
      <c r="AE224">
        <v>45.529890733599998</v>
      </c>
      <c r="AF224">
        <v>4618</v>
      </c>
      <c r="AG224">
        <v>4617.6206915599996</v>
      </c>
      <c r="AH224">
        <v>455306.265526</v>
      </c>
      <c r="AI224">
        <v>45</v>
      </c>
      <c r="AJ224">
        <v>213621.90680813501</v>
      </c>
      <c r="AK224" s="1">
        <f>intersection_ss_Lnight___surface[[#This Row],[surf m2 bout ss]]/intersection_ss_Lnight___surface[[#This Row],[Shape_Area]]</f>
        <v>0.46918288409966163</v>
      </c>
      <c r="AL224">
        <v>1099</v>
      </c>
      <c r="AM224">
        <f>intersection_ss_Lnight___surface[[#This Row],[Population totale 2024 ss]]*intersection_ss_Lnight___surface[[#This Row],[Part de la surface du qs dans le noise contour]]</f>
        <v>515.63198962552815</v>
      </c>
    </row>
    <row r="225" spans="1:39" x14ac:dyDescent="0.3">
      <c r="A225">
        <v>237</v>
      </c>
      <c r="B225" t="s">
        <v>655</v>
      </c>
      <c r="C225" t="s">
        <v>656</v>
      </c>
      <c r="D225" t="s">
        <v>657</v>
      </c>
      <c r="E225" t="s">
        <v>657</v>
      </c>
      <c r="F225" t="s">
        <v>641</v>
      </c>
      <c r="G225" t="s">
        <v>621</v>
      </c>
      <c r="H225" t="s">
        <v>622</v>
      </c>
      <c r="I225" t="s">
        <v>622</v>
      </c>
      <c r="J225" t="s">
        <v>36</v>
      </c>
      <c r="K225">
        <v>21006</v>
      </c>
      <c r="L225" t="s">
        <v>623</v>
      </c>
      <c r="M225" t="s">
        <v>623</v>
      </c>
      <c r="N225" t="s">
        <v>623</v>
      </c>
      <c r="O225">
        <v>21000</v>
      </c>
      <c r="P225" t="s">
        <v>46</v>
      </c>
      <c r="Q225" t="s">
        <v>47</v>
      </c>
      <c r="R225" t="s">
        <v>48</v>
      </c>
      <c r="T225" t="s">
        <v>36</v>
      </c>
      <c r="U225" t="s">
        <v>36</v>
      </c>
      <c r="V225" t="s">
        <v>36</v>
      </c>
      <c r="W225">
        <v>4000</v>
      </c>
      <c r="X225" t="s">
        <v>49</v>
      </c>
      <c r="Y225" t="s">
        <v>50</v>
      </c>
      <c r="Z225" t="s">
        <v>51</v>
      </c>
      <c r="AA225" t="s">
        <v>37</v>
      </c>
      <c r="AB225" t="s">
        <v>52</v>
      </c>
      <c r="AC225" t="s">
        <v>53</v>
      </c>
      <c r="AD225" t="s">
        <v>54</v>
      </c>
      <c r="AE225">
        <v>45.529890733599998</v>
      </c>
      <c r="AF225">
        <v>4618</v>
      </c>
      <c r="AG225">
        <v>4617.6206915599996</v>
      </c>
      <c r="AH225">
        <v>455306.265526</v>
      </c>
      <c r="AI225">
        <v>46</v>
      </c>
      <c r="AJ225">
        <v>106233.641994055</v>
      </c>
      <c r="AK225" s="1">
        <f>intersection_ss_Lnight___surface[[#This Row],[surf m2 bout ss]]/intersection_ss_Lnight___surface[[#This Row],[Shape_Area]]</f>
        <v>0.23332347924385985</v>
      </c>
      <c r="AL225">
        <v>1099</v>
      </c>
      <c r="AM225">
        <f>intersection_ss_Lnight___surface[[#This Row],[Population totale 2024 ss]]*intersection_ss_Lnight___surface[[#This Row],[Part de la surface du qs dans le noise contour]]</f>
        <v>256.42250368900199</v>
      </c>
    </row>
    <row r="226" spans="1:39" x14ac:dyDescent="0.3">
      <c r="A226">
        <v>238</v>
      </c>
      <c r="B226" t="s">
        <v>655</v>
      </c>
      <c r="C226" t="s">
        <v>656</v>
      </c>
      <c r="D226" t="s">
        <v>657</v>
      </c>
      <c r="E226" t="s">
        <v>657</v>
      </c>
      <c r="F226" t="s">
        <v>641</v>
      </c>
      <c r="G226" t="s">
        <v>621</v>
      </c>
      <c r="H226" t="s">
        <v>622</v>
      </c>
      <c r="I226" t="s">
        <v>622</v>
      </c>
      <c r="J226" t="s">
        <v>36</v>
      </c>
      <c r="K226">
        <v>21006</v>
      </c>
      <c r="L226" t="s">
        <v>623</v>
      </c>
      <c r="M226" t="s">
        <v>623</v>
      </c>
      <c r="N226" t="s">
        <v>623</v>
      </c>
      <c r="O226">
        <v>21000</v>
      </c>
      <c r="P226" t="s">
        <v>46</v>
      </c>
      <c r="Q226" t="s">
        <v>47</v>
      </c>
      <c r="R226" t="s">
        <v>48</v>
      </c>
      <c r="T226" t="s">
        <v>36</v>
      </c>
      <c r="U226" t="s">
        <v>36</v>
      </c>
      <c r="V226" t="s">
        <v>36</v>
      </c>
      <c r="W226">
        <v>4000</v>
      </c>
      <c r="X226" t="s">
        <v>49</v>
      </c>
      <c r="Y226" t="s">
        <v>50</v>
      </c>
      <c r="Z226" t="s">
        <v>51</v>
      </c>
      <c r="AA226" t="s">
        <v>37</v>
      </c>
      <c r="AB226" t="s">
        <v>52</v>
      </c>
      <c r="AC226" t="s">
        <v>53</v>
      </c>
      <c r="AD226" t="s">
        <v>54</v>
      </c>
      <c r="AE226">
        <v>45.529890733599998</v>
      </c>
      <c r="AF226">
        <v>4618</v>
      </c>
      <c r="AG226">
        <v>4617.6206915599996</v>
      </c>
      <c r="AH226">
        <v>455306.265526</v>
      </c>
      <c r="AI226">
        <v>47</v>
      </c>
      <c r="AJ226">
        <v>58232.442890545397</v>
      </c>
      <c r="AK226" s="1">
        <f>intersection_ss_Lnight___surface[[#This Row],[surf m2 bout ss]]/intersection_ss_Lnight___surface[[#This Row],[Shape_Area]]</f>
        <v>0.1278973018815619</v>
      </c>
      <c r="AL226">
        <v>1099</v>
      </c>
      <c r="AM226">
        <f>intersection_ss_Lnight___surface[[#This Row],[Population totale 2024 ss]]*intersection_ss_Lnight___surface[[#This Row],[Part de la surface du qs dans le noise contour]]</f>
        <v>140.55913476783653</v>
      </c>
    </row>
    <row r="227" spans="1:39" x14ac:dyDescent="0.3">
      <c r="A227">
        <v>239</v>
      </c>
      <c r="B227" t="s">
        <v>655</v>
      </c>
      <c r="C227" t="s">
        <v>656</v>
      </c>
      <c r="D227" t="s">
        <v>657</v>
      </c>
      <c r="E227" t="s">
        <v>657</v>
      </c>
      <c r="F227" t="s">
        <v>641</v>
      </c>
      <c r="G227" t="s">
        <v>621</v>
      </c>
      <c r="H227" t="s">
        <v>622</v>
      </c>
      <c r="I227" t="s">
        <v>622</v>
      </c>
      <c r="J227" t="s">
        <v>36</v>
      </c>
      <c r="K227">
        <v>21006</v>
      </c>
      <c r="L227" t="s">
        <v>623</v>
      </c>
      <c r="M227" t="s">
        <v>623</v>
      </c>
      <c r="N227" t="s">
        <v>623</v>
      </c>
      <c r="O227">
        <v>21000</v>
      </c>
      <c r="P227" t="s">
        <v>46</v>
      </c>
      <c r="Q227" t="s">
        <v>47</v>
      </c>
      <c r="R227" t="s">
        <v>48</v>
      </c>
      <c r="T227" t="s">
        <v>36</v>
      </c>
      <c r="U227" t="s">
        <v>36</v>
      </c>
      <c r="V227" t="s">
        <v>36</v>
      </c>
      <c r="W227">
        <v>4000</v>
      </c>
      <c r="X227" t="s">
        <v>49</v>
      </c>
      <c r="Y227" t="s">
        <v>50</v>
      </c>
      <c r="Z227" t="s">
        <v>51</v>
      </c>
      <c r="AA227" t="s">
        <v>37</v>
      </c>
      <c r="AB227" t="s">
        <v>52</v>
      </c>
      <c r="AC227" t="s">
        <v>53</v>
      </c>
      <c r="AD227" t="s">
        <v>54</v>
      </c>
      <c r="AE227">
        <v>45.529890733599998</v>
      </c>
      <c r="AF227">
        <v>4618</v>
      </c>
      <c r="AG227">
        <v>4617.6206915599996</v>
      </c>
      <c r="AH227">
        <v>455306.265526</v>
      </c>
      <c r="AI227">
        <v>48</v>
      </c>
      <c r="AJ227">
        <v>5983.9580409380096</v>
      </c>
      <c r="AK227" s="1">
        <f>intersection_ss_Lnight___surface[[#This Row],[surf m2 bout ss]]/intersection_ss_Lnight___surface[[#This Row],[Shape_Area]]</f>
        <v>1.314270963090074E-2</v>
      </c>
      <c r="AL227">
        <v>1099</v>
      </c>
      <c r="AM227">
        <f>intersection_ss_Lnight___surface[[#This Row],[Population totale 2024 ss]]*intersection_ss_Lnight___surface[[#This Row],[Part de la surface du qs dans le noise contour]]</f>
        <v>14.443837884359914</v>
      </c>
    </row>
    <row r="228" spans="1:39" x14ac:dyDescent="0.3">
      <c r="A228">
        <v>240</v>
      </c>
      <c r="B228" t="s">
        <v>658</v>
      </c>
      <c r="C228" t="s">
        <v>659</v>
      </c>
      <c r="D228" t="s">
        <v>660</v>
      </c>
      <c r="E228" t="s">
        <v>660</v>
      </c>
      <c r="F228" t="s">
        <v>661</v>
      </c>
      <c r="G228" t="s">
        <v>621</v>
      </c>
      <c r="H228" t="s">
        <v>622</v>
      </c>
      <c r="I228" t="s">
        <v>622</v>
      </c>
      <c r="J228" t="s">
        <v>36</v>
      </c>
      <c r="K228">
        <v>21006</v>
      </c>
      <c r="L228" t="s">
        <v>623</v>
      </c>
      <c r="M228" t="s">
        <v>623</v>
      </c>
      <c r="N228" t="s">
        <v>623</v>
      </c>
      <c r="O228">
        <v>21000</v>
      </c>
      <c r="P228" t="s">
        <v>46</v>
      </c>
      <c r="Q228" t="s">
        <v>47</v>
      </c>
      <c r="R228" t="s">
        <v>48</v>
      </c>
      <c r="T228" t="s">
        <v>36</v>
      </c>
      <c r="U228" t="s">
        <v>36</v>
      </c>
      <c r="V228" t="s">
        <v>36</v>
      </c>
      <c r="W228">
        <v>4000</v>
      </c>
      <c r="X228" t="s">
        <v>49</v>
      </c>
      <c r="Y228" t="s">
        <v>50</v>
      </c>
      <c r="Z228" t="s">
        <v>51</v>
      </c>
      <c r="AA228" t="s">
        <v>37</v>
      </c>
      <c r="AB228" t="s">
        <v>52</v>
      </c>
      <c r="AC228" t="s">
        <v>53</v>
      </c>
      <c r="AD228" t="s">
        <v>54</v>
      </c>
      <c r="AE228">
        <v>20.8318375986</v>
      </c>
      <c r="AF228">
        <v>1854</v>
      </c>
      <c r="AG228">
        <v>1853.73846632</v>
      </c>
      <c r="AH228">
        <v>208321.732728</v>
      </c>
      <c r="AI228">
        <v>42</v>
      </c>
      <c r="AJ228">
        <v>2697.88778829697</v>
      </c>
      <c r="AK228" s="1">
        <f>intersection_ss_Lnight___surface[[#This Row],[surf m2 bout ss]]/intersection_ss_Lnight___surface[[#This Row],[Shape_Area]]</f>
        <v>1.2950582509888819E-2</v>
      </c>
      <c r="AL228">
        <v>2718</v>
      </c>
      <c r="AM228">
        <f>intersection_ss_Lnight___surface[[#This Row],[Population totale 2024 ss]]*intersection_ss_Lnight___surface[[#This Row],[Part de la surface du qs dans le noise contour]]</f>
        <v>35.199683261877809</v>
      </c>
    </row>
    <row r="229" spans="1:39" x14ac:dyDescent="0.3">
      <c r="A229">
        <v>241</v>
      </c>
      <c r="B229" t="s">
        <v>658</v>
      </c>
      <c r="C229" t="s">
        <v>659</v>
      </c>
      <c r="D229" t="s">
        <v>660</v>
      </c>
      <c r="E229" t="s">
        <v>660</v>
      </c>
      <c r="F229" t="s">
        <v>661</v>
      </c>
      <c r="G229" t="s">
        <v>621</v>
      </c>
      <c r="H229" t="s">
        <v>622</v>
      </c>
      <c r="I229" t="s">
        <v>622</v>
      </c>
      <c r="J229" t="s">
        <v>36</v>
      </c>
      <c r="K229">
        <v>21006</v>
      </c>
      <c r="L229" t="s">
        <v>623</v>
      </c>
      <c r="M229" t="s">
        <v>623</v>
      </c>
      <c r="N229" t="s">
        <v>623</v>
      </c>
      <c r="O229">
        <v>21000</v>
      </c>
      <c r="P229" t="s">
        <v>46</v>
      </c>
      <c r="Q229" t="s">
        <v>47</v>
      </c>
      <c r="R229" t="s">
        <v>48</v>
      </c>
      <c r="T229" t="s">
        <v>36</v>
      </c>
      <c r="U229" t="s">
        <v>36</v>
      </c>
      <c r="V229" t="s">
        <v>36</v>
      </c>
      <c r="W229">
        <v>4000</v>
      </c>
      <c r="X229" t="s">
        <v>49</v>
      </c>
      <c r="Y229" t="s">
        <v>50</v>
      </c>
      <c r="Z229" t="s">
        <v>51</v>
      </c>
      <c r="AA229" t="s">
        <v>37</v>
      </c>
      <c r="AB229" t="s">
        <v>52</v>
      </c>
      <c r="AC229" t="s">
        <v>53</v>
      </c>
      <c r="AD229" t="s">
        <v>54</v>
      </c>
      <c r="AE229">
        <v>20.8318375986</v>
      </c>
      <c r="AF229">
        <v>1854</v>
      </c>
      <c r="AG229">
        <v>1853.73846632</v>
      </c>
      <c r="AH229">
        <v>208321.732728</v>
      </c>
      <c r="AI229">
        <v>43</v>
      </c>
      <c r="AJ229">
        <v>145548.578159795</v>
      </c>
      <c r="AK229" s="1">
        <f>intersection_ss_Lnight___surface[[#This Row],[surf m2 bout ss]]/intersection_ss_Lnight___surface[[#This Row],[Shape_Area]]</f>
        <v>0.69867207925845065</v>
      </c>
      <c r="AL229">
        <v>2718</v>
      </c>
      <c r="AM229">
        <f>intersection_ss_Lnight___surface[[#This Row],[Population totale 2024 ss]]*intersection_ss_Lnight___surface[[#This Row],[Part de la surface du qs dans le noise contour]]</f>
        <v>1898.9907114244688</v>
      </c>
    </row>
    <row r="230" spans="1:39" x14ac:dyDescent="0.3">
      <c r="A230">
        <v>242</v>
      </c>
      <c r="B230" t="s">
        <v>658</v>
      </c>
      <c r="C230" t="s">
        <v>659</v>
      </c>
      <c r="D230" t="s">
        <v>660</v>
      </c>
      <c r="E230" t="s">
        <v>660</v>
      </c>
      <c r="F230" t="s">
        <v>661</v>
      </c>
      <c r="G230" t="s">
        <v>621</v>
      </c>
      <c r="H230" t="s">
        <v>622</v>
      </c>
      <c r="I230" t="s">
        <v>622</v>
      </c>
      <c r="J230" t="s">
        <v>36</v>
      </c>
      <c r="K230">
        <v>21006</v>
      </c>
      <c r="L230" t="s">
        <v>623</v>
      </c>
      <c r="M230" t="s">
        <v>623</v>
      </c>
      <c r="N230" t="s">
        <v>623</v>
      </c>
      <c r="O230">
        <v>21000</v>
      </c>
      <c r="P230" t="s">
        <v>46</v>
      </c>
      <c r="Q230" t="s">
        <v>47</v>
      </c>
      <c r="R230" t="s">
        <v>48</v>
      </c>
      <c r="T230" t="s">
        <v>36</v>
      </c>
      <c r="U230" t="s">
        <v>36</v>
      </c>
      <c r="V230" t="s">
        <v>36</v>
      </c>
      <c r="W230">
        <v>4000</v>
      </c>
      <c r="X230" t="s">
        <v>49</v>
      </c>
      <c r="Y230" t="s">
        <v>50</v>
      </c>
      <c r="Z230" t="s">
        <v>51</v>
      </c>
      <c r="AA230" t="s">
        <v>37</v>
      </c>
      <c r="AB230" t="s">
        <v>52</v>
      </c>
      <c r="AC230" t="s">
        <v>53</v>
      </c>
      <c r="AD230" t="s">
        <v>54</v>
      </c>
      <c r="AE230">
        <v>20.8318375986</v>
      </c>
      <c r="AF230">
        <v>1854</v>
      </c>
      <c r="AG230">
        <v>1853.73846632</v>
      </c>
      <c r="AH230">
        <v>208321.732728</v>
      </c>
      <c r="AI230">
        <v>44</v>
      </c>
      <c r="AJ230">
        <v>60095.321819394099</v>
      </c>
      <c r="AK230" s="1">
        <f>intersection_ss_Lnight___surface[[#This Row],[surf m2 bout ss]]/intersection_ss_Lnight___surface[[#This Row],[Shape_Area]]</f>
        <v>0.2884736077817619</v>
      </c>
      <c r="AL230">
        <v>2718</v>
      </c>
      <c r="AM230">
        <f>intersection_ss_Lnight___surface[[#This Row],[Population totale 2024 ss]]*intersection_ss_Lnight___surface[[#This Row],[Part de la surface du qs dans le noise contour]]</f>
        <v>784.07126595082889</v>
      </c>
    </row>
    <row r="231" spans="1:39" x14ac:dyDescent="0.3">
      <c r="A231">
        <v>243</v>
      </c>
      <c r="B231" t="s">
        <v>662</v>
      </c>
      <c r="C231" t="s">
        <v>663</v>
      </c>
      <c r="D231" t="s">
        <v>664</v>
      </c>
      <c r="E231" t="s">
        <v>664</v>
      </c>
      <c r="F231" t="s">
        <v>661</v>
      </c>
      <c r="G231" t="s">
        <v>621</v>
      </c>
      <c r="H231" t="s">
        <v>622</v>
      </c>
      <c r="I231" t="s">
        <v>622</v>
      </c>
      <c r="J231" t="s">
        <v>36</v>
      </c>
      <c r="K231">
        <v>21006</v>
      </c>
      <c r="L231" t="s">
        <v>623</v>
      </c>
      <c r="M231" t="s">
        <v>623</v>
      </c>
      <c r="N231" t="s">
        <v>623</v>
      </c>
      <c r="O231">
        <v>21000</v>
      </c>
      <c r="P231" t="s">
        <v>46</v>
      </c>
      <c r="Q231" t="s">
        <v>47</v>
      </c>
      <c r="R231" t="s">
        <v>48</v>
      </c>
      <c r="T231" t="s">
        <v>36</v>
      </c>
      <c r="U231" t="s">
        <v>36</v>
      </c>
      <c r="V231" t="s">
        <v>36</v>
      </c>
      <c r="W231">
        <v>4000</v>
      </c>
      <c r="X231" t="s">
        <v>49</v>
      </c>
      <c r="Y231" t="s">
        <v>50</v>
      </c>
      <c r="Z231" t="s">
        <v>51</v>
      </c>
      <c r="AA231" t="s">
        <v>37</v>
      </c>
      <c r="AB231" t="s">
        <v>52</v>
      </c>
      <c r="AC231" t="s">
        <v>53</v>
      </c>
      <c r="AD231" t="s">
        <v>54</v>
      </c>
      <c r="AE231">
        <v>12.3911281667</v>
      </c>
      <c r="AF231">
        <v>1474</v>
      </c>
      <c r="AG231">
        <v>1474.49027649</v>
      </c>
      <c r="AH231">
        <v>123913.282964</v>
      </c>
      <c r="AI231">
        <v>42</v>
      </c>
      <c r="AJ231">
        <v>45222.787949933903</v>
      </c>
      <c r="AK231" s="1">
        <f>intersection_ss_Lnight___surface[[#This Row],[surf m2 bout ss]]/intersection_ss_Lnight___surface[[#This Row],[Shape_Area]]</f>
        <v>0.36495512723258483</v>
      </c>
      <c r="AL231">
        <v>1173</v>
      </c>
      <c r="AM231">
        <f>intersection_ss_Lnight___surface[[#This Row],[Population totale 2024 ss]]*intersection_ss_Lnight___surface[[#This Row],[Part de la surface du qs dans le noise contour]]</f>
        <v>428.09236424382203</v>
      </c>
    </row>
    <row r="232" spans="1:39" x14ac:dyDescent="0.3">
      <c r="A232">
        <v>244</v>
      </c>
      <c r="B232" t="s">
        <v>662</v>
      </c>
      <c r="C232" t="s">
        <v>663</v>
      </c>
      <c r="D232" t="s">
        <v>664</v>
      </c>
      <c r="E232" t="s">
        <v>664</v>
      </c>
      <c r="F232" t="s">
        <v>661</v>
      </c>
      <c r="G232" t="s">
        <v>621</v>
      </c>
      <c r="H232" t="s">
        <v>622</v>
      </c>
      <c r="I232" t="s">
        <v>622</v>
      </c>
      <c r="J232" t="s">
        <v>36</v>
      </c>
      <c r="K232">
        <v>21006</v>
      </c>
      <c r="L232" t="s">
        <v>623</v>
      </c>
      <c r="M232" t="s">
        <v>623</v>
      </c>
      <c r="N232" t="s">
        <v>623</v>
      </c>
      <c r="O232">
        <v>21000</v>
      </c>
      <c r="P232" t="s">
        <v>46</v>
      </c>
      <c r="Q232" t="s">
        <v>47</v>
      </c>
      <c r="R232" t="s">
        <v>48</v>
      </c>
      <c r="T232" t="s">
        <v>36</v>
      </c>
      <c r="U232" t="s">
        <v>36</v>
      </c>
      <c r="V232" t="s">
        <v>36</v>
      </c>
      <c r="W232">
        <v>4000</v>
      </c>
      <c r="X232" t="s">
        <v>49</v>
      </c>
      <c r="Y232" t="s">
        <v>50</v>
      </c>
      <c r="Z232" t="s">
        <v>51</v>
      </c>
      <c r="AA232" t="s">
        <v>37</v>
      </c>
      <c r="AB232" t="s">
        <v>52</v>
      </c>
      <c r="AC232" t="s">
        <v>53</v>
      </c>
      <c r="AD232" t="s">
        <v>54</v>
      </c>
      <c r="AE232">
        <v>12.3911281667</v>
      </c>
      <c r="AF232">
        <v>1474</v>
      </c>
      <c r="AG232">
        <v>1474.49027649</v>
      </c>
      <c r="AH232">
        <v>123913.282964</v>
      </c>
      <c r="AI232">
        <v>43</v>
      </c>
      <c r="AJ232">
        <v>78702.380775747704</v>
      </c>
      <c r="AK232" s="1">
        <f>intersection_ss_Lnight___surface[[#This Row],[surf m2 bout ss]]/intersection_ss_Lnight___surface[[#This Row],[Shape_Area]]</f>
        <v>0.63514079276402335</v>
      </c>
      <c r="AL232">
        <v>1173</v>
      </c>
      <c r="AM232">
        <f>intersection_ss_Lnight___surface[[#This Row],[Population totale 2024 ss]]*intersection_ss_Lnight___surface[[#This Row],[Part de la surface du qs dans le noise contour]]</f>
        <v>745.02014991219937</v>
      </c>
    </row>
    <row r="233" spans="1:39" x14ac:dyDescent="0.3">
      <c r="A233">
        <v>245</v>
      </c>
      <c r="B233" t="s">
        <v>665</v>
      </c>
      <c r="C233" t="s">
        <v>666</v>
      </c>
      <c r="D233" t="s">
        <v>666</v>
      </c>
      <c r="E233" t="s">
        <v>666</v>
      </c>
      <c r="F233" t="s">
        <v>661</v>
      </c>
      <c r="G233" t="s">
        <v>621</v>
      </c>
      <c r="H233" t="s">
        <v>622</v>
      </c>
      <c r="I233" t="s">
        <v>622</v>
      </c>
      <c r="J233" t="s">
        <v>36</v>
      </c>
      <c r="K233">
        <v>21006</v>
      </c>
      <c r="L233" t="s">
        <v>623</v>
      </c>
      <c r="M233" t="s">
        <v>623</v>
      </c>
      <c r="N233" t="s">
        <v>623</v>
      </c>
      <c r="O233">
        <v>21000</v>
      </c>
      <c r="P233" t="s">
        <v>46</v>
      </c>
      <c r="Q233" t="s">
        <v>47</v>
      </c>
      <c r="R233" t="s">
        <v>48</v>
      </c>
      <c r="T233" t="s">
        <v>36</v>
      </c>
      <c r="U233" t="s">
        <v>36</v>
      </c>
      <c r="V233" t="s">
        <v>36</v>
      </c>
      <c r="W233">
        <v>4000</v>
      </c>
      <c r="X233" t="s">
        <v>49</v>
      </c>
      <c r="Y233" t="s">
        <v>50</v>
      </c>
      <c r="Z233" t="s">
        <v>51</v>
      </c>
      <c r="AA233" t="s">
        <v>37</v>
      </c>
      <c r="AB233" t="s">
        <v>52</v>
      </c>
      <c r="AC233" t="s">
        <v>53</v>
      </c>
      <c r="AD233" t="s">
        <v>54</v>
      </c>
      <c r="AE233">
        <v>9.6662171585800003</v>
      </c>
      <c r="AF233">
        <v>1753</v>
      </c>
      <c r="AG233">
        <v>1753.12567758</v>
      </c>
      <c r="AH233">
        <v>96663.722672100004</v>
      </c>
      <c r="AI233">
        <v>42</v>
      </c>
      <c r="AJ233">
        <v>14280.9484913501</v>
      </c>
      <c r="AK233" s="1">
        <f>intersection_ss_Lnight___surface[[#This Row],[surf m2 bout ss]]/intersection_ss_Lnight___surface[[#This Row],[Shape_Area]]</f>
        <v>0.14773844930215999</v>
      </c>
      <c r="AL233">
        <v>2120</v>
      </c>
      <c r="AM233">
        <f>intersection_ss_Lnight___surface[[#This Row],[Population totale 2024 ss]]*intersection_ss_Lnight___surface[[#This Row],[Part de la surface du qs dans le noise contour]]</f>
        <v>313.20551252057919</v>
      </c>
    </row>
    <row r="234" spans="1:39" x14ac:dyDescent="0.3">
      <c r="A234">
        <v>246</v>
      </c>
      <c r="B234" t="s">
        <v>665</v>
      </c>
      <c r="C234" t="s">
        <v>666</v>
      </c>
      <c r="D234" t="s">
        <v>666</v>
      </c>
      <c r="E234" t="s">
        <v>666</v>
      </c>
      <c r="F234" t="s">
        <v>661</v>
      </c>
      <c r="G234" t="s">
        <v>621</v>
      </c>
      <c r="H234" t="s">
        <v>622</v>
      </c>
      <c r="I234" t="s">
        <v>622</v>
      </c>
      <c r="J234" t="s">
        <v>36</v>
      </c>
      <c r="K234">
        <v>21006</v>
      </c>
      <c r="L234" t="s">
        <v>623</v>
      </c>
      <c r="M234" t="s">
        <v>623</v>
      </c>
      <c r="N234" t="s">
        <v>623</v>
      </c>
      <c r="O234">
        <v>21000</v>
      </c>
      <c r="P234" t="s">
        <v>46</v>
      </c>
      <c r="Q234" t="s">
        <v>47</v>
      </c>
      <c r="R234" t="s">
        <v>48</v>
      </c>
      <c r="T234" t="s">
        <v>36</v>
      </c>
      <c r="U234" t="s">
        <v>36</v>
      </c>
      <c r="V234" t="s">
        <v>36</v>
      </c>
      <c r="W234">
        <v>4000</v>
      </c>
      <c r="X234" t="s">
        <v>49</v>
      </c>
      <c r="Y234" t="s">
        <v>50</v>
      </c>
      <c r="Z234" t="s">
        <v>51</v>
      </c>
      <c r="AA234" t="s">
        <v>37</v>
      </c>
      <c r="AB234" t="s">
        <v>52</v>
      </c>
      <c r="AC234" t="s">
        <v>53</v>
      </c>
      <c r="AD234" t="s">
        <v>54</v>
      </c>
      <c r="AE234">
        <v>9.6662171585800003</v>
      </c>
      <c r="AF234">
        <v>1753</v>
      </c>
      <c r="AG234">
        <v>1753.12567758</v>
      </c>
      <c r="AH234">
        <v>96663.722672100004</v>
      </c>
      <c r="AI234">
        <v>43</v>
      </c>
      <c r="AJ234">
        <v>51473.025193166002</v>
      </c>
      <c r="AK234" s="1">
        <f>intersection_ss_Lnight___surface[[#This Row],[surf m2 bout ss]]/intersection_ss_Lnight___surface[[#This Row],[Shape_Area]]</f>
        <v>0.53249578818489507</v>
      </c>
      <c r="AL234">
        <v>2120</v>
      </c>
      <c r="AM234">
        <f>intersection_ss_Lnight___surface[[#This Row],[Population totale 2024 ss]]*intersection_ss_Lnight___surface[[#This Row],[Part de la surface du qs dans le noise contour]]</f>
        <v>1128.8910709519776</v>
      </c>
    </row>
    <row r="235" spans="1:39" x14ac:dyDescent="0.3">
      <c r="A235">
        <v>247</v>
      </c>
      <c r="B235" t="s">
        <v>665</v>
      </c>
      <c r="C235" t="s">
        <v>666</v>
      </c>
      <c r="D235" t="s">
        <v>666</v>
      </c>
      <c r="E235" t="s">
        <v>666</v>
      </c>
      <c r="F235" t="s">
        <v>661</v>
      </c>
      <c r="G235" t="s">
        <v>621</v>
      </c>
      <c r="H235" t="s">
        <v>622</v>
      </c>
      <c r="I235" t="s">
        <v>622</v>
      </c>
      <c r="J235" t="s">
        <v>36</v>
      </c>
      <c r="K235">
        <v>21006</v>
      </c>
      <c r="L235" t="s">
        <v>623</v>
      </c>
      <c r="M235" t="s">
        <v>623</v>
      </c>
      <c r="N235" t="s">
        <v>623</v>
      </c>
      <c r="O235">
        <v>21000</v>
      </c>
      <c r="P235" t="s">
        <v>46</v>
      </c>
      <c r="Q235" t="s">
        <v>47</v>
      </c>
      <c r="R235" t="s">
        <v>48</v>
      </c>
      <c r="T235" t="s">
        <v>36</v>
      </c>
      <c r="U235" t="s">
        <v>36</v>
      </c>
      <c r="V235" t="s">
        <v>36</v>
      </c>
      <c r="W235">
        <v>4000</v>
      </c>
      <c r="X235" t="s">
        <v>49</v>
      </c>
      <c r="Y235" t="s">
        <v>50</v>
      </c>
      <c r="Z235" t="s">
        <v>51</v>
      </c>
      <c r="AA235" t="s">
        <v>37</v>
      </c>
      <c r="AB235" t="s">
        <v>52</v>
      </c>
      <c r="AC235" t="s">
        <v>53</v>
      </c>
      <c r="AD235" t="s">
        <v>54</v>
      </c>
      <c r="AE235">
        <v>9.6662171585800003</v>
      </c>
      <c r="AF235">
        <v>1753</v>
      </c>
      <c r="AG235">
        <v>1753.12567758</v>
      </c>
      <c r="AH235">
        <v>96663.722672100004</v>
      </c>
      <c r="AI235">
        <v>44</v>
      </c>
      <c r="AJ235">
        <v>30918.965644239001</v>
      </c>
      <c r="AK235" s="1">
        <f>intersection_ss_Lnight___surface[[#This Row],[surf m2 bout ss]]/intersection_ss_Lnight___surface[[#This Row],[Shape_Area]]</f>
        <v>0.31986111014078628</v>
      </c>
      <c r="AL235">
        <v>2120</v>
      </c>
      <c r="AM235">
        <f>intersection_ss_Lnight___surface[[#This Row],[Population totale 2024 ss]]*intersection_ss_Lnight___surface[[#This Row],[Part de la surface du qs dans le noise contour]]</f>
        <v>678.10555349846686</v>
      </c>
    </row>
    <row r="236" spans="1:39" x14ac:dyDescent="0.3">
      <c r="A236">
        <v>248</v>
      </c>
      <c r="B236" t="s">
        <v>667</v>
      </c>
      <c r="C236" t="s">
        <v>668</v>
      </c>
      <c r="D236" t="s">
        <v>669</v>
      </c>
      <c r="E236" t="s">
        <v>669</v>
      </c>
      <c r="F236" t="s">
        <v>661</v>
      </c>
      <c r="G236" t="s">
        <v>621</v>
      </c>
      <c r="H236" t="s">
        <v>622</v>
      </c>
      <c r="I236" t="s">
        <v>622</v>
      </c>
      <c r="J236" t="s">
        <v>36</v>
      </c>
      <c r="K236">
        <v>21006</v>
      </c>
      <c r="L236" t="s">
        <v>623</v>
      </c>
      <c r="M236" t="s">
        <v>623</v>
      </c>
      <c r="N236" t="s">
        <v>623</v>
      </c>
      <c r="O236">
        <v>21000</v>
      </c>
      <c r="P236" t="s">
        <v>46</v>
      </c>
      <c r="Q236" t="s">
        <v>47</v>
      </c>
      <c r="R236" t="s">
        <v>48</v>
      </c>
      <c r="T236" t="s">
        <v>36</v>
      </c>
      <c r="U236" t="s">
        <v>36</v>
      </c>
      <c r="V236" t="s">
        <v>36</v>
      </c>
      <c r="W236">
        <v>4000</v>
      </c>
      <c r="X236" t="s">
        <v>49</v>
      </c>
      <c r="Y236" t="s">
        <v>50</v>
      </c>
      <c r="Z236" t="s">
        <v>51</v>
      </c>
      <c r="AA236" t="s">
        <v>37</v>
      </c>
      <c r="AB236" t="s">
        <v>52</v>
      </c>
      <c r="AC236" t="s">
        <v>53</v>
      </c>
      <c r="AD236" t="s">
        <v>54</v>
      </c>
      <c r="AE236">
        <v>19.656825383099999</v>
      </c>
      <c r="AF236">
        <v>1724</v>
      </c>
      <c r="AG236">
        <v>1723.9119447099999</v>
      </c>
      <c r="AH236">
        <v>196571.42060499999</v>
      </c>
      <c r="AI236">
        <v>43</v>
      </c>
      <c r="AJ236">
        <v>74901.338655863001</v>
      </c>
      <c r="AK236" s="1">
        <f>intersection_ss_Lnight___surface[[#This Row],[surf m2 bout ss]]/intersection_ss_Lnight___surface[[#This Row],[Shape_Area]]</f>
        <v>0.38103880220906239</v>
      </c>
      <c r="AL236">
        <v>3247</v>
      </c>
      <c r="AM236">
        <f>intersection_ss_Lnight___surface[[#This Row],[Population totale 2024 ss]]*intersection_ss_Lnight___surface[[#This Row],[Part de la surface du qs dans le noise contour]]</f>
        <v>1237.2329907728256</v>
      </c>
    </row>
    <row r="237" spans="1:39" x14ac:dyDescent="0.3">
      <c r="A237">
        <v>249</v>
      </c>
      <c r="B237" t="s">
        <v>667</v>
      </c>
      <c r="C237" t="s">
        <v>668</v>
      </c>
      <c r="D237" t="s">
        <v>669</v>
      </c>
      <c r="E237" t="s">
        <v>669</v>
      </c>
      <c r="F237" t="s">
        <v>661</v>
      </c>
      <c r="G237" t="s">
        <v>621</v>
      </c>
      <c r="H237" t="s">
        <v>622</v>
      </c>
      <c r="I237" t="s">
        <v>622</v>
      </c>
      <c r="J237" t="s">
        <v>36</v>
      </c>
      <c r="K237">
        <v>21006</v>
      </c>
      <c r="L237" t="s">
        <v>623</v>
      </c>
      <c r="M237" t="s">
        <v>623</v>
      </c>
      <c r="N237" t="s">
        <v>623</v>
      </c>
      <c r="O237">
        <v>21000</v>
      </c>
      <c r="P237" t="s">
        <v>46</v>
      </c>
      <c r="Q237" t="s">
        <v>47</v>
      </c>
      <c r="R237" t="s">
        <v>48</v>
      </c>
      <c r="T237" t="s">
        <v>36</v>
      </c>
      <c r="U237" t="s">
        <v>36</v>
      </c>
      <c r="V237" t="s">
        <v>36</v>
      </c>
      <c r="W237">
        <v>4000</v>
      </c>
      <c r="X237" t="s">
        <v>49</v>
      </c>
      <c r="Y237" t="s">
        <v>50</v>
      </c>
      <c r="Z237" t="s">
        <v>51</v>
      </c>
      <c r="AA237" t="s">
        <v>37</v>
      </c>
      <c r="AB237" t="s">
        <v>52</v>
      </c>
      <c r="AC237" t="s">
        <v>53</v>
      </c>
      <c r="AD237" t="s">
        <v>54</v>
      </c>
      <c r="AE237">
        <v>19.656825383099999</v>
      </c>
      <c r="AF237">
        <v>1724</v>
      </c>
      <c r="AG237">
        <v>1723.9119447099999</v>
      </c>
      <c r="AH237">
        <v>196571.42060499999</v>
      </c>
      <c r="AI237">
        <v>44</v>
      </c>
      <c r="AJ237">
        <v>120758.971059085</v>
      </c>
      <c r="AK237" s="1">
        <f>intersection_ss_Lnight___surface[[#This Row],[surf m2 bout ss]]/intersection_ss_Lnight___surface[[#This Row],[Shape_Area]]</f>
        <v>0.61432618580777243</v>
      </c>
      <c r="AL237">
        <v>3247</v>
      </c>
      <c r="AM237">
        <f>intersection_ss_Lnight___surface[[#This Row],[Population totale 2024 ss]]*intersection_ss_Lnight___surface[[#This Row],[Part de la surface du qs dans le noise contour]]</f>
        <v>1994.7171253178371</v>
      </c>
    </row>
    <row r="238" spans="1:39" x14ac:dyDescent="0.3">
      <c r="A238">
        <v>250</v>
      </c>
      <c r="B238" t="s">
        <v>667</v>
      </c>
      <c r="C238" t="s">
        <v>668</v>
      </c>
      <c r="D238" t="s">
        <v>669</v>
      </c>
      <c r="E238" t="s">
        <v>669</v>
      </c>
      <c r="F238" t="s">
        <v>661</v>
      </c>
      <c r="G238" t="s">
        <v>621</v>
      </c>
      <c r="H238" t="s">
        <v>622</v>
      </c>
      <c r="I238" t="s">
        <v>622</v>
      </c>
      <c r="J238" t="s">
        <v>36</v>
      </c>
      <c r="K238">
        <v>21006</v>
      </c>
      <c r="L238" t="s">
        <v>623</v>
      </c>
      <c r="M238" t="s">
        <v>623</v>
      </c>
      <c r="N238" t="s">
        <v>623</v>
      </c>
      <c r="O238">
        <v>21000</v>
      </c>
      <c r="P238" t="s">
        <v>46</v>
      </c>
      <c r="Q238" t="s">
        <v>47</v>
      </c>
      <c r="R238" t="s">
        <v>48</v>
      </c>
      <c r="T238" t="s">
        <v>36</v>
      </c>
      <c r="U238" t="s">
        <v>36</v>
      </c>
      <c r="V238" t="s">
        <v>36</v>
      </c>
      <c r="W238">
        <v>4000</v>
      </c>
      <c r="X238" t="s">
        <v>49</v>
      </c>
      <c r="Y238" t="s">
        <v>50</v>
      </c>
      <c r="Z238" t="s">
        <v>51</v>
      </c>
      <c r="AA238" t="s">
        <v>37</v>
      </c>
      <c r="AB238" t="s">
        <v>52</v>
      </c>
      <c r="AC238" t="s">
        <v>53</v>
      </c>
      <c r="AD238" t="s">
        <v>54</v>
      </c>
      <c r="AE238">
        <v>19.656825383099999</v>
      </c>
      <c r="AF238">
        <v>1724</v>
      </c>
      <c r="AG238">
        <v>1723.9119447099999</v>
      </c>
      <c r="AH238">
        <v>196571.42060499999</v>
      </c>
      <c r="AI238">
        <v>45</v>
      </c>
      <c r="AJ238">
        <v>929.88818888016999</v>
      </c>
      <c r="AK238" s="1">
        <f>intersection_ss_Lnight___surface[[#This Row],[surf m2 bout ss]]/intersection_ss_Lnight___surface[[#This Row],[Shape_Area]]</f>
        <v>4.7305360363077992E-3</v>
      </c>
      <c r="AL238">
        <v>3247</v>
      </c>
      <c r="AM238">
        <f>intersection_ss_Lnight___surface[[#This Row],[Population totale 2024 ss]]*intersection_ss_Lnight___surface[[#This Row],[Part de la surface du qs dans le noise contour]]</f>
        <v>15.360050509891424</v>
      </c>
    </row>
    <row r="239" spans="1:39" x14ac:dyDescent="0.3">
      <c r="A239">
        <v>251</v>
      </c>
      <c r="B239" t="s">
        <v>670</v>
      </c>
      <c r="C239" t="s">
        <v>671</v>
      </c>
      <c r="D239" t="s">
        <v>671</v>
      </c>
      <c r="E239" t="s">
        <v>671</v>
      </c>
      <c r="F239" t="s">
        <v>661</v>
      </c>
      <c r="G239" t="s">
        <v>621</v>
      </c>
      <c r="H239" t="s">
        <v>622</v>
      </c>
      <c r="I239" t="s">
        <v>622</v>
      </c>
      <c r="J239" t="s">
        <v>36</v>
      </c>
      <c r="K239">
        <v>21006</v>
      </c>
      <c r="L239" t="s">
        <v>623</v>
      </c>
      <c r="M239" t="s">
        <v>623</v>
      </c>
      <c r="N239" t="s">
        <v>623</v>
      </c>
      <c r="O239">
        <v>21000</v>
      </c>
      <c r="P239" t="s">
        <v>46</v>
      </c>
      <c r="Q239" t="s">
        <v>47</v>
      </c>
      <c r="R239" t="s">
        <v>48</v>
      </c>
      <c r="T239" t="s">
        <v>36</v>
      </c>
      <c r="U239" t="s">
        <v>36</v>
      </c>
      <c r="V239" t="s">
        <v>36</v>
      </c>
      <c r="W239">
        <v>4000</v>
      </c>
      <c r="X239" t="s">
        <v>49</v>
      </c>
      <c r="Y239" t="s">
        <v>50</v>
      </c>
      <c r="Z239" t="s">
        <v>51</v>
      </c>
      <c r="AA239" t="s">
        <v>37</v>
      </c>
      <c r="AB239" t="s">
        <v>52</v>
      </c>
      <c r="AC239" t="s">
        <v>53</v>
      </c>
      <c r="AD239" t="s">
        <v>54</v>
      </c>
      <c r="AE239">
        <v>6.2134999534000004</v>
      </c>
      <c r="AF239">
        <v>1170</v>
      </c>
      <c r="AG239">
        <v>1169.8876371700001</v>
      </c>
      <c r="AH239">
        <v>62136.016579499999</v>
      </c>
      <c r="AI239">
        <v>44</v>
      </c>
      <c r="AJ239">
        <v>23.408140687271999</v>
      </c>
      <c r="AK239" s="1">
        <f>intersection_ss_Lnight___surface[[#This Row],[surf m2 bout ss]]/intersection_ss_Lnight___surface[[#This Row],[Shape_Area]]</f>
        <v>3.7672419276060971E-4</v>
      </c>
      <c r="AL239">
        <v>607</v>
      </c>
      <c r="AM239">
        <f>intersection_ss_Lnight___surface[[#This Row],[Population totale 2024 ss]]*intersection_ss_Lnight___surface[[#This Row],[Part de la surface du qs dans le noise contour]]</f>
        <v>0.2286715850056901</v>
      </c>
    </row>
    <row r="240" spans="1:39" x14ac:dyDescent="0.3">
      <c r="A240">
        <v>252</v>
      </c>
      <c r="B240" t="s">
        <v>670</v>
      </c>
      <c r="C240" t="s">
        <v>671</v>
      </c>
      <c r="D240" t="s">
        <v>671</v>
      </c>
      <c r="E240" t="s">
        <v>671</v>
      </c>
      <c r="F240" t="s">
        <v>661</v>
      </c>
      <c r="G240" t="s">
        <v>621</v>
      </c>
      <c r="H240" t="s">
        <v>622</v>
      </c>
      <c r="I240" t="s">
        <v>622</v>
      </c>
      <c r="J240" t="s">
        <v>36</v>
      </c>
      <c r="K240">
        <v>21006</v>
      </c>
      <c r="L240" t="s">
        <v>623</v>
      </c>
      <c r="M240" t="s">
        <v>623</v>
      </c>
      <c r="N240" t="s">
        <v>623</v>
      </c>
      <c r="O240">
        <v>21000</v>
      </c>
      <c r="P240" t="s">
        <v>46</v>
      </c>
      <c r="Q240" t="s">
        <v>47</v>
      </c>
      <c r="R240" t="s">
        <v>48</v>
      </c>
      <c r="T240" t="s">
        <v>36</v>
      </c>
      <c r="U240" t="s">
        <v>36</v>
      </c>
      <c r="V240" t="s">
        <v>36</v>
      </c>
      <c r="W240">
        <v>4000</v>
      </c>
      <c r="X240" t="s">
        <v>49</v>
      </c>
      <c r="Y240" t="s">
        <v>50</v>
      </c>
      <c r="Z240" t="s">
        <v>51</v>
      </c>
      <c r="AA240" t="s">
        <v>37</v>
      </c>
      <c r="AB240" t="s">
        <v>52</v>
      </c>
      <c r="AC240" t="s">
        <v>53</v>
      </c>
      <c r="AD240" t="s">
        <v>54</v>
      </c>
      <c r="AE240">
        <v>6.2134999534000004</v>
      </c>
      <c r="AF240">
        <v>1170</v>
      </c>
      <c r="AG240">
        <v>1169.8876371700001</v>
      </c>
      <c r="AH240">
        <v>62136.016579499999</v>
      </c>
      <c r="AI240">
        <v>45</v>
      </c>
      <c r="AJ240">
        <v>62118.512169949703</v>
      </c>
      <c r="AK240" s="1">
        <f>intersection_ss_Lnight___surface[[#This Row],[surf m2 bout ss]]/intersection_ss_Lnight___surface[[#This Row],[Shape_Area]]</f>
        <v>0.99971828883610681</v>
      </c>
      <c r="AL240">
        <v>607</v>
      </c>
      <c r="AM240">
        <f>intersection_ss_Lnight___surface[[#This Row],[Population totale 2024 ss]]*intersection_ss_Lnight___surface[[#This Row],[Part de la surface du qs dans le noise contour]]</f>
        <v>606.82900132351688</v>
      </c>
    </row>
    <row r="241" spans="1:39" x14ac:dyDescent="0.3">
      <c r="A241">
        <v>253</v>
      </c>
      <c r="B241" t="s">
        <v>672</v>
      </c>
      <c r="C241" t="s">
        <v>673</v>
      </c>
      <c r="D241" t="s">
        <v>673</v>
      </c>
      <c r="E241" t="s">
        <v>673</v>
      </c>
      <c r="F241" t="s">
        <v>661</v>
      </c>
      <c r="G241" t="s">
        <v>621</v>
      </c>
      <c r="H241" t="s">
        <v>622</v>
      </c>
      <c r="I241" t="s">
        <v>622</v>
      </c>
      <c r="J241" t="s">
        <v>36</v>
      </c>
      <c r="K241">
        <v>21006</v>
      </c>
      <c r="L241" t="s">
        <v>623</v>
      </c>
      <c r="M241" t="s">
        <v>623</v>
      </c>
      <c r="N241" t="s">
        <v>623</v>
      </c>
      <c r="O241">
        <v>21000</v>
      </c>
      <c r="P241" t="s">
        <v>46</v>
      </c>
      <c r="Q241" t="s">
        <v>47</v>
      </c>
      <c r="R241" t="s">
        <v>48</v>
      </c>
      <c r="T241" t="s">
        <v>36</v>
      </c>
      <c r="U241" t="s">
        <v>36</v>
      </c>
      <c r="V241" t="s">
        <v>36</v>
      </c>
      <c r="W241">
        <v>4000</v>
      </c>
      <c r="X241" t="s">
        <v>49</v>
      </c>
      <c r="Y241" t="s">
        <v>50</v>
      </c>
      <c r="Z241" t="s">
        <v>51</v>
      </c>
      <c r="AA241" t="s">
        <v>37</v>
      </c>
      <c r="AB241" t="s">
        <v>52</v>
      </c>
      <c r="AC241" t="s">
        <v>53</v>
      </c>
      <c r="AD241" t="s">
        <v>54</v>
      </c>
      <c r="AE241">
        <v>13.1656472418</v>
      </c>
      <c r="AF241">
        <v>1498</v>
      </c>
      <c r="AG241">
        <v>1498.08989615</v>
      </c>
      <c r="AH241">
        <v>131658.59563</v>
      </c>
      <c r="AI241">
        <v>44</v>
      </c>
      <c r="AJ241">
        <v>1706.5986521150901</v>
      </c>
      <c r="AK241" s="1">
        <f>intersection_ss_Lnight___surface[[#This Row],[surf m2 bout ss]]/intersection_ss_Lnight___surface[[#This Row],[Shape_Area]]</f>
        <v>1.2962303326636891E-2</v>
      </c>
      <c r="AL241">
        <v>1101</v>
      </c>
      <c r="AM241">
        <f>intersection_ss_Lnight___surface[[#This Row],[Population totale 2024 ss]]*intersection_ss_Lnight___surface[[#This Row],[Part de la surface du qs dans le noise contour]]</f>
        <v>14.271495962627217</v>
      </c>
    </row>
    <row r="242" spans="1:39" x14ac:dyDescent="0.3">
      <c r="A242">
        <v>254</v>
      </c>
      <c r="B242" t="s">
        <v>672</v>
      </c>
      <c r="C242" t="s">
        <v>673</v>
      </c>
      <c r="D242" t="s">
        <v>673</v>
      </c>
      <c r="E242" t="s">
        <v>673</v>
      </c>
      <c r="F242" t="s">
        <v>661</v>
      </c>
      <c r="G242" t="s">
        <v>621</v>
      </c>
      <c r="H242" t="s">
        <v>622</v>
      </c>
      <c r="I242" t="s">
        <v>622</v>
      </c>
      <c r="J242" t="s">
        <v>36</v>
      </c>
      <c r="K242">
        <v>21006</v>
      </c>
      <c r="L242" t="s">
        <v>623</v>
      </c>
      <c r="M242" t="s">
        <v>623</v>
      </c>
      <c r="N242" t="s">
        <v>623</v>
      </c>
      <c r="O242">
        <v>21000</v>
      </c>
      <c r="P242" t="s">
        <v>46</v>
      </c>
      <c r="Q242" t="s">
        <v>47</v>
      </c>
      <c r="R242" t="s">
        <v>48</v>
      </c>
      <c r="T242" t="s">
        <v>36</v>
      </c>
      <c r="U242" t="s">
        <v>36</v>
      </c>
      <c r="V242" t="s">
        <v>36</v>
      </c>
      <c r="W242">
        <v>4000</v>
      </c>
      <c r="X242" t="s">
        <v>49</v>
      </c>
      <c r="Y242" t="s">
        <v>50</v>
      </c>
      <c r="Z242" t="s">
        <v>51</v>
      </c>
      <c r="AA242" t="s">
        <v>37</v>
      </c>
      <c r="AB242" t="s">
        <v>52</v>
      </c>
      <c r="AC242" t="s">
        <v>53</v>
      </c>
      <c r="AD242" t="s">
        <v>54</v>
      </c>
      <c r="AE242">
        <v>13.1656472418</v>
      </c>
      <c r="AF242">
        <v>1498</v>
      </c>
      <c r="AG242">
        <v>1498.08989615</v>
      </c>
      <c r="AH242">
        <v>131658.59563</v>
      </c>
      <c r="AI242">
        <v>45</v>
      </c>
      <c r="AJ242">
        <v>127064.793472137</v>
      </c>
      <c r="AK242" s="1">
        <f>intersection_ss_Lnight___surface[[#This Row],[surf m2 bout ss]]/intersection_ss_Lnight___surface[[#This Row],[Shape_Area]]</f>
        <v>0.96510822452661615</v>
      </c>
      <c r="AL242">
        <v>1101</v>
      </c>
      <c r="AM242">
        <f>intersection_ss_Lnight___surface[[#This Row],[Population totale 2024 ss]]*intersection_ss_Lnight___surface[[#This Row],[Part de la surface du qs dans le noise contour]]</f>
        <v>1062.5841552038044</v>
      </c>
    </row>
    <row r="243" spans="1:39" x14ac:dyDescent="0.3">
      <c r="A243">
        <v>255</v>
      </c>
      <c r="B243" t="s">
        <v>672</v>
      </c>
      <c r="C243" t="s">
        <v>673</v>
      </c>
      <c r="D243" t="s">
        <v>673</v>
      </c>
      <c r="E243" t="s">
        <v>673</v>
      </c>
      <c r="F243" t="s">
        <v>661</v>
      </c>
      <c r="G243" t="s">
        <v>621</v>
      </c>
      <c r="H243" t="s">
        <v>622</v>
      </c>
      <c r="I243" t="s">
        <v>622</v>
      </c>
      <c r="J243" t="s">
        <v>36</v>
      </c>
      <c r="K243">
        <v>21006</v>
      </c>
      <c r="L243" t="s">
        <v>623</v>
      </c>
      <c r="M243" t="s">
        <v>623</v>
      </c>
      <c r="N243" t="s">
        <v>623</v>
      </c>
      <c r="O243">
        <v>21000</v>
      </c>
      <c r="P243" t="s">
        <v>46</v>
      </c>
      <c r="Q243" t="s">
        <v>47</v>
      </c>
      <c r="R243" t="s">
        <v>48</v>
      </c>
      <c r="T243" t="s">
        <v>36</v>
      </c>
      <c r="U243" t="s">
        <v>36</v>
      </c>
      <c r="V243" t="s">
        <v>36</v>
      </c>
      <c r="W243">
        <v>4000</v>
      </c>
      <c r="X243" t="s">
        <v>49</v>
      </c>
      <c r="Y243" t="s">
        <v>50</v>
      </c>
      <c r="Z243" t="s">
        <v>51</v>
      </c>
      <c r="AA243" t="s">
        <v>37</v>
      </c>
      <c r="AB243" t="s">
        <v>52</v>
      </c>
      <c r="AC243" t="s">
        <v>53</v>
      </c>
      <c r="AD243" t="s">
        <v>54</v>
      </c>
      <c r="AE243">
        <v>13.1656472418</v>
      </c>
      <c r="AF243">
        <v>1498</v>
      </c>
      <c r="AG243">
        <v>1498.08989615</v>
      </c>
      <c r="AH243">
        <v>131658.59563</v>
      </c>
      <c r="AI243">
        <v>46</v>
      </c>
      <c r="AJ243">
        <v>2899.7221718505002</v>
      </c>
      <c r="AK243" s="1">
        <f>intersection_ss_Lnight___surface[[#This Row],[surf m2 bout ss]]/intersection_ss_Lnight___surface[[#This Row],[Shape_Area]]</f>
        <v>2.2024556452049558E-2</v>
      </c>
      <c r="AL243">
        <v>1101</v>
      </c>
      <c r="AM243">
        <f>intersection_ss_Lnight___surface[[#This Row],[Population totale 2024 ss]]*intersection_ss_Lnight___surface[[#This Row],[Part de la surface du qs dans le noise contour]]</f>
        <v>24.249036653706565</v>
      </c>
    </row>
    <row r="244" spans="1:39" x14ac:dyDescent="0.3">
      <c r="A244">
        <v>256</v>
      </c>
      <c r="B244" t="s">
        <v>674</v>
      </c>
      <c r="C244" t="s">
        <v>675</v>
      </c>
      <c r="D244" t="s">
        <v>676</v>
      </c>
      <c r="E244" t="s">
        <v>676</v>
      </c>
      <c r="F244" t="s">
        <v>661</v>
      </c>
      <c r="G244" t="s">
        <v>621</v>
      </c>
      <c r="H244" t="s">
        <v>622</v>
      </c>
      <c r="I244" t="s">
        <v>622</v>
      </c>
      <c r="J244" t="s">
        <v>36</v>
      </c>
      <c r="K244">
        <v>21006</v>
      </c>
      <c r="L244" t="s">
        <v>623</v>
      </c>
      <c r="M244" t="s">
        <v>623</v>
      </c>
      <c r="N244" t="s">
        <v>623</v>
      </c>
      <c r="O244">
        <v>21000</v>
      </c>
      <c r="P244" t="s">
        <v>46</v>
      </c>
      <c r="Q244" t="s">
        <v>47</v>
      </c>
      <c r="R244" t="s">
        <v>48</v>
      </c>
      <c r="T244" t="s">
        <v>36</v>
      </c>
      <c r="U244" t="s">
        <v>36</v>
      </c>
      <c r="V244" t="s">
        <v>36</v>
      </c>
      <c r="W244">
        <v>4000</v>
      </c>
      <c r="X244" t="s">
        <v>49</v>
      </c>
      <c r="Y244" t="s">
        <v>50</v>
      </c>
      <c r="Z244" t="s">
        <v>51</v>
      </c>
      <c r="AA244" t="s">
        <v>37</v>
      </c>
      <c r="AB244" t="s">
        <v>52</v>
      </c>
      <c r="AC244" t="s">
        <v>53</v>
      </c>
      <c r="AD244" t="s">
        <v>54</v>
      </c>
      <c r="AE244">
        <v>17.969571850800001</v>
      </c>
      <c r="AF244">
        <v>3019</v>
      </c>
      <c r="AG244">
        <v>3018.9337329300001</v>
      </c>
      <c r="AH244">
        <v>179698.58984900001</v>
      </c>
      <c r="AI244">
        <v>41</v>
      </c>
      <c r="AJ244">
        <v>14098.333241492501</v>
      </c>
      <c r="AK244" s="1">
        <f>intersection_ss_Lnight___surface[[#This Row],[surf m2 bout ss]]/intersection_ss_Lnight___surface[[#This Row],[Shape_Area]]</f>
        <v>7.8455447276126494E-2</v>
      </c>
      <c r="AL244">
        <v>409</v>
      </c>
      <c r="AM244">
        <f>intersection_ss_Lnight___surface[[#This Row],[Population totale 2024 ss]]*intersection_ss_Lnight___surface[[#This Row],[Part de la surface du qs dans le noise contour]]</f>
        <v>32.088277935935736</v>
      </c>
    </row>
    <row r="245" spans="1:39" x14ac:dyDescent="0.3">
      <c r="A245">
        <v>257</v>
      </c>
      <c r="B245" t="s">
        <v>674</v>
      </c>
      <c r="C245" t="s">
        <v>675</v>
      </c>
      <c r="D245" t="s">
        <v>676</v>
      </c>
      <c r="E245" t="s">
        <v>676</v>
      </c>
      <c r="F245" t="s">
        <v>661</v>
      </c>
      <c r="G245" t="s">
        <v>621</v>
      </c>
      <c r="H245" t="s">
        <v>622</v>
      </c>
      <c r="I245" t="s">
        <v>622</v>
      </c>
      <c r="J245" t="s">
        <v>36</v>
      </c>
      <c r="K245">
        <v>21006</v>
      </c>
      <c r="L245" t="s">
        <v>623</v>
      </c>
      <c r="M245" t="s">
        <v>623</v>
      </c>
      <c r="N245" t="s">
        <v>623</v>
      </c>
      <c r="O245">
        <v>21000</v>
      </c>
      <c r="P245" t="s">
        <v>46</v>
      </c>
      <c r="Q245" t="s">
        <v>47</v>
      </c>
      <c r="R245" t="s">
        <v>48</v>
      </c>
      <c r="T245" t="s">
        <v>36</v>
      </c>
      <c r="U245" t="s">
        <v>36</v>
      </c>
      <c r="V245" t="s">
        <v>36</v>
      </c>
      <c r="W245">
        <v>4000</v>
      </c>
      <c r="X245" t="s">
        <v>49</v>
      </c>
      <c r="Y245" t="s">
        <v>50</v>
      </c>
      <c r="Z245" t="s">
        <v>51</v>
      </c>
      <c r="AA245" t="s">
        <v>37</v>
      </c>
      <c r="AB245" t="s">
        <v>52</v>
      </c>
      <c r="AC245" t="s">
        <v>53</v>
      </c>
      <c r="AD245" t="s">
        <v>54</v>
      </c>
      <c r="AE245">
        <v>17.969571850800001</v>
      </c>
      <c r="AF245">
        <v>3019</v>
      </c>
      <c r="AG245">
        <v>3018.9337329300001</v>
      </c>
      <c r="AH245">
        <v>179698.58984900001</v>
      </c>
      <c r="AI245">
        <v>42</v>
      </c>
      <c r="AJ245">
        <v>108946.731441243</v>
      </c>
      <c r="AK245" s="1">
        <f>intersection_ss_Lnight___surface[[#This Row],[surf m2 bout ss]]/intersection_ss_Lnight___surface[[#This Row],[Shape_Area]]</f>
        <v>0.60627482682413081</v>
      </c>
      <c r="AL245">
        <v>409</v>
      </c>
      <c r="AM245">
        <f>intersection_ss_Lnight___surface[[#This Row],[Population totale 2024 ss]]*intersection_ss_Lnight___surface[[#This Row],[Part de la surface du qs dans le noise contour]]</f>
        <v>247.96640417106951</v>
      </c>
    </row>
    <row r="246" spans="1:39" x14ac:dyDescent="0.3">
      <c r="A246">
        <v>258</v>
      </c>
      <c r="B246" t="s">
        <v>674</v>
      </c>
      <c r="C246" t="s">
        <v>675</v>
      </c>
      <c r="D246" t="s">
        <v>676</v>
      </c>
      <c r="E246" t="s">
        <v>676</v>
      </c>
      <c r="F246" t="s">
        <v>661</v>
      </c>
      <c r="G246" t="s">
        <v>621</v>
      </c>
      <c r="H246" t="s">
        <v>622</v>
      </c>
      <c r="I246" t="s">
        <v>622</v>
      </c>
      <c r="J246" t="s">
        <v>36</v>
      </c>
      <c r="K246">
        <v>21006</v>
      </c>
      <c r="L246" t="s">
        <v>623</v>
      </c>
      <c r="M246" t="s">
        <v>623</v>
      </c>
      <c r="N246" t="s">
        <v>623</v>
      </c>
      <c r="O246">
        <v>21000</v>
      </c>
      <c r="P246" t="s">
        <v>46</v>
      </c>
      <c r="Q246" t="s">
        <v>47</v>
      </c>
      <c r="R246" t="s">
        <v>48</v>
      </c>
      <c r="T246" t="s">
        <v>36</v>
      </c>
      <c r="U246" t="s">
        <v>36</v>
      </c>
      <c r="V246" t="s">
        <v>36</v>
      </c>
      <c r="W246">
        <v>4000</v>
      </c>
      <c r="X246" t="s">
        <v>49</v>
      </c>
      <c r="Y246" t="s">
        <v>50</v>
      </c>
      <c r="Z246" t="s">
        <v>51</v>
      </c>
      <c r="AA246" t="s">
        <v>37</v>
      </c>
      <c r="AB246" t="s">
        <v>52</v>
      </c>
      <c r="AC246" t="s">
        <v>53</v>
      </c>
      <c r="AD246" t="s">
        <v>54</v>
      </c>
      <c r="AE246">
        <v>17.969571850800001</v>
      </c>
      <c r="AF246">
        <v>3019</v>
      </c>
      <c r="AG246">
        <v>3018.9337329300001</v>
      </c>
      <c r="AH246">
        <v>179698.58984900001</v>
      </c>
      <c r="AI246">
        <v>43</v>
      </c>
      <c r="AJ246">
        <v>53018.6799938525</v>
      </c>
      <c r="AK246" s="1">
        <f>intersection_ss_Lnight___surface[[#This Row],[surf m2 bout ss]]/intersection_ss_Lnight___surface[[#This Row],[Shape_Area]]</f>
        <v>0.29504227071789424</v>
      </c>
      <c r="AL246">
        <v>409</v>
      </c>
      <c r="AM246">
        <f>intersection_ss_Lnight___surface[[#This Row],[Population totale 2024 ss]]*intersection_ss_Lnight___surface[[#This Row],[Part de la surface du qs dans le noise contour]]</f>
        <v>120.67228872361875</v>
      </c>
    </row>
    <row r="247" spans="1:39" x14ac:dyDescent="0.3">
      <c r="A247">
        <v>259</v>
      </c>
      <c r="B247" t="s">
        <v>674</v>
      </c>
      <c r="C247" t="s">
        <v>675</v>
      </c>
      <c r="D247" t="s">
        <v>676</v>
      </c>
      <c r="E247" t="s">
        <v>676</v>
      </c>
      <c r="F247" t="s">
        <v>661</v>
      </c>
      <c r="G247" t="s">
        <v>621</v>
      </c>
      <c r="H247" t="s">
        <v>622</v>
      </c>
      <c r="I247" t="s">
        <v>622</v>
      </c>
      <c r="J247" t="s">
        <v>36</v>
      </c>
      <c r="K247">
        <v>21006</v>
      </c>
      <c r="L247" t="s">
        <v>623</v>
      </c>
      <c r="M247" t="s">
        <v>623</v>
      </c>
      <c r="N247" t="s">
        <v>623</v>
      </c>
      <c r="O247">
        <v>21000</v>
      </c>
      <c r="P247" t="s">
        <v>46</v>
      </c>
      <c r="Q247" t="s">
        <v>47</v>
      </c>
      <c r="R247" t="s">
        <v>48</v>
      </c>
      <c r="T247" t="s">
        <v>36</v>
      </c>
      <c r="U247" t="s">
        <v>36</v>
      </c>
      <c r="V247" t="s">
        <v>36</v>
      </c>
      <c r="W247">
        <v>4000</v>
      </c>
      <c r="X247" t="s">
        <v>49</v>
      </c>
      <c r="Y247" t="s">
        <v>50</v>
      </c>
      <c r="Z247" t="s">
        <v>51</v>
      </c>
      <c r="AA247" t="s">
        <v>37</v>
      </c>
      <c r="AB247" t="s">
        <v>52</v>
      </c>
      <c r="AC247" t="s">
        <v>53</v>
      </c>
      <c r="AD247" t="s">
        <v>54</v>
      </c>
      <c r="AE247">
        <v>17.969571850800001</v>
      </c>
      <c r="AF247">
        <v>3019</v>
      </c>
      <c r="AG247">
        <v>3018.9337329300001</v>
      </c>
      <c r="AH247">
        <v>179698.58984900001</v>
      </c>
      <c r="AI247">
        <v>44</v>
      </c>
      <c r="AJ247">
        <v>3652.2343079545499</v>
      </c>
      <c r="AK247" s="1">
        <f>intersection_ss_Lnight___surface[[#This Row],[surf m2 bout ss]]/intersection_ss_Lnight___surface[[#This Row],[Shape_Area]]</f>
        <v>2.0324223529096738E-2</v>
      </c>
      <c r="AL247">
        <v>409</v>
      </c>
      <c r="AM247">
        <f>intersection_ss_Lnight___surface[[#This Row],[Population totale 2024 ss]]*intersection_ss_Lnight___surface[[#This Row],[Part de la surface du qs dans le noise contour]]</f>
        <v>8.312607423400566</v>
      </c>
    </row>
    <row r="248" spans="1:39" x14ac:dyDescent="0.3">
      <c r="A248">
        <v>260</v>
      </c>
      <c r="B248" t="s">
        <v>677</v>
      </c>
      <c r="C248" t="s">
        <v>678</v>
      </c>
      <c r="D248" t="s">
        <v>679</v>
      </c>
      <c r="E248" t="s">
        <v>679</v>
      </c>
      <c r="F248" t="s">
        <v>680</v>
      </c>
      <c r="G248" t="s">
        <v>621</v>
      </c>
      <c r="H248" t="s">
        <v>622</v>
      </c>
      <c r="I248" t="s">
        <v>622</v>
      </c>
      <c r="J248" t="s">
        <v>36</v>
      </c>
      <c r="K248">
        <v>21006</v>
      </c>
      <c r="L248" t="s">
        <v>623</v>
      </c>
      <c r="M248" t="s">
        <v>623</v>
      </c>
      <c r="N248" t="s">
        <v>623</v>
      </c>
      <c r="O248">
        <v>21000</v>
      </c>
      <c r="P248" t="s">
        <v>46</v>
      </c>
      <c r="Q248" t="s">
        <v>47</v>
      </c>
      <c r="R248" t="s">
        <v>48</v>
      </c>
      <c r="T248" t="s">
        <v>36</v>
      </c>
      <c r="U248" t="s">
        <v>36</v>
      </c>
      <c r="V248" t="s">
        <v>36</v>
      </c>
      <c r="W248">
        <v>4000</v>
      </c>
      <c r="X248" t="s">
        <v>49</v>
      </c>
      <c r="Y248" t="s">
        <v>50</v>
      </c>
      <c r="Z248" t="s">
        <v>51</v>
      </c>
      <c r="AA248" t="s">
        <v>37</v>
      </c>
      <c r="AB248" t="s">
        <v>52</v>
      </c>
      <c r="AC248" t="s">
        <v>53</v>
      </c>
      <c r="AD248" t="s">
        <v>54</v>
      </c>
      <c r="AE248">
        <v>10.2490648707</v>
      </c>
      <c r="AF248">
        <v>2873</v>
      </c>
      <c r="AG248">
        <v>2872.9712627099998</v>
      </c>
      <c r="AH248">
        <v>102492.28723099999</v>
      </c>
      <c r="AI248">
        <v>47</v>
      </c>
      <c r="AJ248">
        <v>46574.623075376301</v>
      </c>
      <c r="AK248" s="1">
        <f>intersection_ss_Lnight___surface[[#This Row],[surf m2 bout ss]]/intersection_ss_Lnight___surface[[#This Row],[Shape_Area]]</f>
        <v>0.45442076017295924</v>
      </c>
      <c r="AL248">
        <v>794</v>
      </c>
      <c r="AM248">
        <f>intersection_ss_Lnight___surface[[#This Row],[Population totale 2024 ss]]*intersection_ss_Lnight___surface[[#This Row],[Part de la surface du qs dans le noise contour]]</f>
        <v>360.81008357732964</v>
      </c>
    </row>
    <row r="249" spans="1:39" x14ac:dyDescent="0.3">
      <c r="A249">
        <v>261</v>
      </c>
      <c r="B249" t="s">
        <v>677</v>
      </c>
      <c r="C249" t="s">
        <v>678</v>
      </c>
      <c r="D249" t="s">
        <v>679</v>
      </c>
      <c r="E249" t="s">
        <v>679</v>
      </c>
      <c r="F249" t="s">
        <v>680</v>
      </c>
      <c r="G249" t="s">
        <v>621</v>
      </c>
      <c r="H249" t="s">
        <v>622</v>
      </c>
      <c r="I249" t="s">
        <v>622</v>
      </c>
      <c r="J249" t="s">
        <v>36</v>
      </c>
      <c r="K249">
        <v>21006</v>
      </c>
      <c r="L249" t="s">
        <v>623</v>
      </c>
      <c r="M249" t="s">
        <v>623</v>
      </c>
      <c r="N249" t="s">
        <v>623</v>
      </c>
      <c r="O249">
        <v>21000</v>
      </c>
      <c r="P249" t="s">
        <v>46</v>
      </c>
      <c r="Q249" t="s">
        <v>47</v>
      </c>
      <c r="R249" t="s">
        <v>48</v>
      </c>
      <c r="T249" t="s">
        <v>36</v>
      </c>
      <c r="U249" t="s">
        <v>36</v>
      </c>
      <c r="V249" t="s">
        <v>36</v>
      </c>
      <c r="W249">
        <v>4000</v>
      </c>
      <c r="X249" t="s">
        <v>49</v>
      </c>
      <c r="Y249" t="s">
        <v>50</v>
      </c>
      <c r="Z249" t="s">
        <v>51</v>
      </c>
      <c r="AA249" t="s">
        <v>37</v>
      </c>
      <c r="AB249" t="s">
        <v>52</v>
      </c>
      <c r="AC249" t="s">
        <v>53</v>
      </c>
      <c r="AD249" t="s">
        <v>54</v>
      </c>
      <c r="AE249">
        <v>10.2490648707</v>
      </c>
      <c r="AF249">
        <v>2873</v>
      </c>
      <c r="AG249">
        <v>2872.9712627099998</v>
      </c>
      <c r="AH249">
        <v>102492.28723099999</v>
      </c>
      <c r="AI249">
        <v>48</v>
      </c>
      <c r="AJ249">
        <v>55927.166584831197</v>
      </c>
      <c r="AK249" s="1">
        <f>intersection_ss_Lnight___surface[[#This Row],[surf m2 bout ss]]/intersection_ss_Lnight___surface[[#This Row],[Shape_Area]]</f>
        <v>0.54567195342983199</v>
      </c>
      <c r="AL249">
        <v>794</v>
      </c>
      <c r="AM249">
        <f>intersection_ss_Lnight___surface[[#This Row],[Population totale 2024 ss]]*intersection_ss_Lnight___surface[[#This Row],[Part de la surface du qs dans le noise contour]]</f>
        <v>433.26353102328659</v>
      </c>
    </row>
    <row r="250" spans="1:39" x14ac:dyDescent="0.3">
      <c r="A250">
        <v>262</v>
      </c>
      <c r="B250" t="s">
        <v>681</v>
      </c>
      <c r="C250" t="s">
        <v>682</v>
      </c>
      <c r="D250" t="s">
        <v>682</v>
      </c>
      <c r="E250" t="s">
        <v>682</v>
      </c>
      <c r="F250" t="s">
        <v>680</v>
      </c>
      <c r="G250" t="s">
        <v>621</v>
      </c>
      <c r="H250" t="s">
        <v>622</v>
      </c>
      <c r="I250" t="s">
        <v>622</v>
      </c>
      <c r="J250" t="s">
        <v>36</v>
      </c>
      <c r="K250">
        <v>21006</v>
      </c>
      <c r="L250" t="s">
        <v>623</v>
      </c>
      <c r="M250" t="s">
        <v>623</v>
      </c>
      <c r="N250" t="s">
        <v>623</v>
      </c>
      <c r="O250">
        <v>21000</v>
      </c>
      <c r="P250" t="s">
        <v>46</v>
      </c>
      <c r="Q250" t="s">
        <v>47</v>
      </c>
      <c r="R250" t="s">
        <v>48</v>
      </c>
      <c r="T250" t="s">
        <v>36</v>
      </c>
      <c r="U250" t="s">
        <v>36</v>
      </c>
      <c r="V250" t="s">
        <v>36</v>
      </c>
      <c r="W250">
        <v>4000</v>
      </c>
      <c r="X250" t="s">
        <v>49</v>
      </c>
      <c r="Y250" t="s">
        <v>50</v>
      </c>
      <c r="Z250" t="s">
        <v>51</v>
      </c>
      <c r="AA250" t="s">
        <v>37</v>
      </c>
      <c r="AB250" t="s">
        <v>52</v>
      </c>
      <c r="AC250" t="s">
        <v>53</v>
      </c>
      <c r="AD250" t="s">
        <v>54</v>
      </c>
      <c r="AE250">
        <v>8.6478549299999994</v>
      </c>
      <c r="AF250">
        <v>1535</v>
      </c>
      <c r="AG250">
        <v>1535.0935940899999</v>
      </c>
      <c r="AH250">
        <v>86479.945148700004</v>
      </c>
      <c r="AI250">
        <v>46</v>
      </c>
      <c r="AJ250">
        <v>67.098681569099398</v>
      </c>
      <c r="AK250" s="1">
        <f>intersection_ss_Lnight___surface[[#This Row],[surf m2 bout ss]]/intersection_ss_Lnight___surface[[#This Row],[Shape_Area]]</f>
        <v>7.7588718926364919E-4</v>
      </c>
      <c r="AL250">
        <v>983</v>
      </c>
      <c r="AM250">
        <f>intersection_ss_Lnight___surface[[#This Row],[Population totale 2024 ss]]*intersection_ss_Lnight___surface[[#This Row],[Part de la surface du qs dans le noise contour]]</f>
        <v>0.76269710704616711</v>
      </c>
    </row>
    <row r="251" spans="1:39" x14ac:dyDescent="0.3">
      <c r="A251">
        <v>263</v>
      </c>
      <c r="B251" t="s">
        <v>681</v>
      </c>
      <c r="C251" t="s">
        <v>682</v>
      </c>
      <c r="D251" t="s">
        <v>682</v>
      </c>
      <c r="E251" t="s">
        <v>682</v>
      </c>
      <c r="F251" t="s">
        <v>680</v>
      </c>
      <c r="G251" t="s">
        <v>621</v>
      </c>
      <c r="H251" t="s">
        <v>622</v>
      </c>
      <c r="I251" t="s">
        <v>622</v>
      </c>
      <c r="J251" t="s">
        <v>36</v>
      </c>
      <c r="K251">
        <v>21006</v>
      </c>
      <c r="L251" t="s">
        <v>623</v>
      </c>
      <c r="M251" t="s">
        <v>623</v>
      </c>
      <c r="N251" t="s">
        <v>623</v>
      </c>
      <c r="O251">
        <v>21000</v>
      </c>
      <c r="P251" t="s">
        <v>46</v>
      </c>
      <c r="Q251" t="s">
        <v>47</v>
      </c>
      <c r="R251" t="s">
        <v>48</v>
      </c>
      <c r="T251" t="s">
        <v>36</v>
      </c>
      <c r="U251" t="s">
        <v>36</v>
      </c>
      <c r="V251" t="s">
        <v>36</v>
      </c>
      <c r="W251">
        <v>4000</v>
      </c>
      <c r="X251" t="s">
        <v>49</v>
      </c>
      <c r="Y251" t="s">
        <v>50</v>
      </c>
      <c r="Z251" t="s">
        <v>51</v>
      </c>
      <c r="AA251" t="s">
        <v>37</v>
      </c>
      <c r="AB251" t="s">
        <v>52</v>
      </c>
      <c r="AC251" t="s">
        <v>53</v>
      </c>
      <c r="AD251" t="s">
        <v>54</v>
      </c>
      <c r="AE251">
        <v>8.6478549299999994</v>
      </c>
      <c r="AF251">
        <v>1535</v>
      </c>
      <c r="AG251">
        <v>1535.0935940899999</v>
      </c>
      <c r="AH251">
        <v>86479.945148700004</v>
      </c>
      <c r="AI251">
        <v>47</v>
      </c>
      <c r="AJ251">
        <v>44337.600438533402</v>
      </c>
      <c r="AK251" s="1">
        <f>intersection_ss_Lnight___surface[[#This Row],[surf m2 bout ss]]/intersection_ss_Lnight___surface[[#This Row],[Shape_Area]]</f>
        <v>0.51269228215045759</v>
      </c>
      <c r="AL251">
        <v>983</v>
      </c>
      <c r="AM251">
        <f>intersection_ss_Lnight___surface[[#This Row],[Population totale 2024 ss]]*intersection_ss_Lnight___surface[[#This Row],[Part de la surface du qs dans le noise contour]]</f>
        <v>503.9765133538998</v>
      </c>
    </row>
    <row r="252" spans="1:39" x14ac:dyDescent="0.3">
      <c r="A252">
        <v>264</v>
      </c>
      <c r="B252" t="s">
        <v>681</v>
      </c>
      <c r="C252" t="s">
        <v>682</v>
      </c>
      <c r="D252" t="s">
        <v>682</v>
      </c>
      <c r="E252" t="s">
        <v>682</v>
      </c>
      <c r="F252" t="s">
        <v>680</v>
      </c>
      <c r="G252" t="s">
        <v>621</v>
      </c>
      <c r="H252" t="s">
        <v>622</v>
      </c>
      <c r="I252" t="s">
        <v>622</v>
      </c>
      <c r="J252" t="s">
        <v>36</v>
      </c>
      <c r="K252">
        <v>21006</v>
      </c>
      <c r="L252" t="s">
        <v>623</v>
      </c>
      <c r="M252" t="s">
        <v>623</v>
      </c>
      <c r="N252" t="s">
        <v>623</v>
      </c>
      <c r="O252">
        <v>21000</v>
      </c>
      <c r="P252" t="s">
        <v>46</v>
      </c>
      <c r="Q252" t="s">
        <v>47</v>
      </c>
      <c r="R252" t="s">
        <v>48</v>
      </c>
      <c r="T252" t="s">
        <v>36</v>
      </c>
      <c r="U252" t="s">
        <v>36</v>
      </c>
      <c r="V252" t="s">
        <v>36</v>
      </c>
      <c r="W252">
        <v>4000</v>
      </c>
      <c r="X252" t="s">
        <v>49</v>
      </c>
      <c r="Y252" t="s">
        <v>50</v>
      </c>
      <c r="Z252" t="s">
        <v>51</v>
      </c>
      <c r="AA252" t="s">
        <v>37</v>
      </c>
      <c r="AB252" t="s">
        <v>52</v>
      </c>
      <c r="AC252" t="s">
        <v>53</v>
      </c>
      <c r="AD252" t="s">
        <v>54</v>
      </c>
      <c r="AE252">
        <v>8.6478549299999994</v>
      </c>
      <c r="AF252">
        <v>1535</v>
      </c>
      <c r="AG252">
        <v>1535.0935940899999</v>
      </c>
      <c r="AH252">
        <v>86479.945148700004</v>
      </c>
      <c r="AI252">
        <v>48</v>
      </c>
      <c r="AJ252">
        <v>42083.281968094198</v>
      </c>
      <c r="AK252" s="1">
        <f>intersection_ss_Lnight___surface[[#This Row],[surf m2 bout ss]]/intersection_ss_Lnight___surface[[#This Row],[Shape_Area]]</f>
        <v>0.48662475323883581</v>
      </c>
      <c r="AL252">
        <v>983</v>
      </c>
      <c r="AM252">
        <f>intersection_ss_Lnight___surface[[#This Row],[Population totale 2024 ss]]*intersection_ss_Lnight___surface[[#This Row],[Part de la surface du qs dans le noise contour]]</f>
        <v>478.35213243377558</v>
      </c>
    </row>
    <row r="253" spans="1:39" x14ac:dyDescent="0.3">
      <c r="A253">
        <v>265</v>
      </c>
      <c r="B253" t="s">
        <v>683</v>
      </c>
      <c r="C253" t="s">
        <v>684</v>
      </c>
      <c r="D253" t="s">
        <v>685</v>
      </c>
      <c r="E253" t="s">
        <v>685</v>
      </c>
      <c r="F253" t="s">
        <v>680</v>
      </c>
      <c r="G253" t="s">
        <v>621</v>
      </c>
      <c r="H253" t="s">
        <v>622</v>
      </c>
      <c r="I253" t="s">
        <v>622</v>
      </c>
      <c r="J253" t="s">
        <v>36</v>
      </c>
      <c r="K253">
        <v>21006</v>
      </c>
      <c r="L253" t="s">
        <v>623</v>
      </c>
      <c r="M253" t="s">
        <v>623</v>
      </c>
      <c r="N253" t="s">
        <v>623</v>
      </c>
      <c r="O253">
        <v>21000</v>
      </c>
      <c r="P253" t="s">
        <v>46</v>
      </c>
      <c r="Q253" t="s">
        <v>47</v>
      </c>
      <c r="R253" t="s">
        <v>48</v>
      </c>
      <c r="T253" t="s">
        <v>36</v>
      </c>
      <c r="U253" t="s">
        <v>36</v>
      </c>
      <c r="V253" t="s">
        <v>36</v>
      </c>
      <c r="W253">
        <v>4000</v>
      </c>
      <c r="X253" t="s">
        <v>49</v>
      </c>
      <c r="Y253" t="s">
        <v>50</v>
      </c>
      <c r="Z253" t="s">
        <v>51</v>
      </c>
      <c r="AA253" t="s">
        <v>37</v>
      </c>
      <c r="AB253" t="s">
        <v>52</v>
      </c>
      <c r="AC253" t="s">
        <v>53</v>
      </c>
      <c r="AD253" t="s">
        <v>54</v>
      </c>
      <c r="AE253">
        <v>33.561404000700001</v>
      </c>
      <c r="AF253">
        <v>2827</v>
      </c>
      <c r="AG253">
        <v>2827.11879813</v>
      </c>
      <c r="AH253">
        <v>335619.44981899997</v>
      </c>
      <c r="AI253">
        <v>47</v>
      </c>
      <c r="AJ253">
        <v>77735.886725477903</v>
      </c>
      <c r="AK253" s="1">
        <f>intersection_ss_Lnight___surface[[#This Row],[surf m2 bout ss]]/intersection_ss_Lnight___surface[[#This Row],[Shape_Area]]</f>
        <v>0.23161913520626107</v>
      </c>
      <c r="AL253">
        <v>178</v>
      </c>
      <c r="AM253">
        <f>intersection_ss_Lnight___surface[[#This Row],[Population totale 2024 ss]]*intersection_ss_Lnight___surface[[#This Row],[Part de la surface du qs dans le noise contour]]</f>
        <v>41.228206066714471</v>
      </c>
    </row>
    <row r="254" spans="1:39" x14ac:dyDescent="0.3">
      <c r="A254">
        <v>266</v>
      </c>
      <c r="B254" t="s">
        <v>683</v>
      </c>
      <c r="C254" t="s">
        <v>684</v>
      </c>
      <c r="D254" t="s">
        <v>685</v>
      </c>
      <c r="E254" t="s">
        <v>685</v>
      </c>
      <c r="F254" t="s">
        <v>680</v>
      </c>
      <c r="G254" t="s">
        <v>621</v>
      </c>
      <c r="H254" t="s">
        <v>622</v>
      </c>
      <c r="I254" t="s">
        <v>622</v>
      </c>
      <c r="J254" t="s">
        <v>36</v>
      </c>
      <c r="K254">
        <v>21006</v>
      </c>
      <c r="L254" t="s">
        <v>623</v>
      </c>
      <c r="M254" t="s">
        <v>623</v>
      </c>
      <c r="N254" t="s">
        <v>623</v>
      </c>
      <c r="O254">
        <v>21000</v>
      </c>
      <c r="P254" t="s">
        <v>46</v>
      </c>
      <c r="Q254" t="s">
        <v>47</v>
      </c>
      <c r="R254" t="s">
        <v>48</v>
      </c>
      <c r="T254" t="s">
        <v>36</v>
      </c>
      <c r="U254" t="s">
        <v>36</v>
      </c>
      <c r="V254" t="s">
        <v>36</v>
      </c>
      <c r="W254">
        <v>4000</v>
      </c>
      <c r="X254" t="s">
        <v>49</v>
      </c>
      <c r="Y254" t="s">
        <v>50</v>
      </c>
      <c r="Z254" t="s">
        <v>51</v>
      </c>
      <c r="AA254" t="s">
        <v>37</v>
      </c>
      <c r="AB254" t="s">
        <v>52</v>
      </c>
      <c r="AC254" t="s">
        <v>53</v>
      </c>
      <c r="AD254" t="s">
        <v>54</v>
      </c>
      <c r="AE254">
        <v>33.561404000700001</v>
      </c>
      <c r="AF254">
        <v>2827</v>
      </c>
      <c r="AG254">
        <v>2827.11879813</v>
      </c>
      <c r="AH254">
        <v>335619.44981899997</v>
      </c>
      <c r="AI254">
        <v>48</v>
      </c>
      <c r="AJ254">
        <v>246459.47121497299</v>
      </c>
      <c r="AK254" s="1">
        <f>intersection_ss_Lnight___surface[[#This Row],[surf m2 bout ss]]/intersection_ss_Lnight___surface[[#This Row],[Shape_Area]]</f>
        <v>0.73434203931830799</v>
      </c>
      <c r="AL254">
        <v>178</v>
      </c>
      <c r="AM254">
        <f>intersection_ss_Lnight___surface[[#This Row],[Population totale 2024 ss]]*intersection_ss_Lnight___surface[[#This Row],[Part de la surface du qs dans le noise contour]]</f>
        <v>130.71288299865881</v>
      </c>
    </row>
    <row r="255" spans="1:39" x14ac:dyDescent="0.3">
      <c r="A255">
        <v>267</v>
      </c>
      <c r="B255" t="s">
        <v>683</v>
      </c>
      <c r="C255" t="s">
        <v>684</v>
      </c>
      <c r="D255" t="s">
        <v>685</v>
      </c>
      <c r="E255" t="s">
        <v>685</v>
      </c>
      <c r="F255" t="s">
        <v>680</v>
      </c>
      <c r="G255" t="s">
        <v>621</v>
      </c>
      <c r="H255" t="s">
        <v>622</v>
      </c>
      <c r="I255" t="s">
        <v>622</v>
      </c>
      <c r="J255" t="s">
        <v>36</v>
      </c>
      <c r="K255">
        <v>21006</v>
      </c>
      <c r="L255" t="s">
        <v>623</v>
      </c>
      <c r="M255" t="s">
        <v>623</v>
      </c>
      <c r="N255" t="s">
        <v>623</v>
      </c>
      <c r="O255">
        <v>21000</v>
      </c>
      <c r="P255" t="s">
        <v>46</v>
      </c>
      <c r="Q255" t="s">
        <v>47</v>
      </c>
      <c r="R255" t="s">
        <v>48</v>
      </c>
      <c r="T255" t="s">
        <v>36</v>
      </c>
      <c r="U255" t="s">
        <v>36</v>
      </c>
      <c r="V255" t="s">
        <v>36</v>
      </c>
      <c r="W255">
        <v>4000</v>
      </c>
      <c r="X255" t="s">
        <v>49</v>
      </c>
      <c r="Y255" t="s">
        <v>50</v>
      </c>
      <c r="Z255" t="s">
        <v>51</v>
      </c>
      <c r="AA255" t="s">
        <v>37</v>
      </c>
      <c r="AB255" t="s">
        <v>52</v>
      </c>
      <c r="AC255" t="s">
        <v>53</v>
      </c>
      <c r="AD255" t="s">
        <v>54</v>
      </c>
      <c r="AE255">
        <v>33.561404000700001</v>
      </c>
      <c r="AF255">
        <v>2827</v>
      </c>
      <c r="AG255">
        <v>2827.11879813</v>
      </c>
      <c r="AH255">
        <v>335619.44981899997</v>
      </c>
      <c r="AI255">
        <v>49</v>
      </c>
      <c r="AJ255">
        <v>11455.1812510211</v>
      </c>
      <c r="AK255" s="1">
        <f>intersection_ss_Lnight___surface[[#This Row],[surf m2 bout ss]]/intersection_ss_Lnight___surface[[#This Row],[Shape_Area]]</f>
        <v>3.413145828467002E-2</v>
      </c>
      <c r="AL255">
        <v>178</v>
      </c>
      <c r="AM255">
        <f>intersection_ss_Lnight___surface[[#This Row],[Population totale 2024 ss]]*intersection_ss_Lnight___surface[[#This Row],[Part de la surface du qs dans le noise contour]]</f>
        <v>6.0753995746712635</v>
      </c>
    </row>
    <row r="256" spans="1:39" x14ac:dyDescent="0.3">
      <c r="A256">
        <v>268</v>
      </c>
      <c r="B256" t="s">
        <v>686</v>
      </c>
      <c r="C256" t="s">
        <v>687</v>
      </c>
      <c r="D256" t="s">
        <v>688</v>
      </c>
      <c r="E256" t="s">
        <v>688</v>
      </c>
      <c r="F256" t="s">
        <v>689</v>
      </c>
      <c r="G256" t="s">
        <v>621</v>
      </c>
      <c r="H256" t="s">
        <v>622</v>
      </c>
      <c r="I256" t="s">
        <v>622</v>
      </c>
      <c r="J256" t="s">
        <v>36</v>
      </c>
      <c r="K256">
        <v>21006</v>
      </c>
      <c r="L256" t="s">
        <v>623</v>
      </c>
      <c r="M256" t="s">
        <v>623</v>
      </c>
      <c r="N256" t="s">
        <v>623</v>
      </c>
      <c r="O256">
        <v>21000</v>
      </c>
      <c r="P256" t="s">
        <v>46</v>
      </c>
      <c r="Q256" t="s">
        <v>47</v>
      </c>
      <c r="R256" t="s">
        <v>48</v>
      </c>
      <c r="T256" t="s">
        <v>36</v>
      </c>
      <c r="U256" t="s">
        <v>36</v>
      </c>
      <c r="V256" t="s">
        <v>36</v>
      </c>
      <c r="W256">
        <v>4000</v>
      </c>
      <c r="X256" t="s">
        <v>49</v>
      </c>
      <c r="Y256" t="s">
        <v>50</v>
      </c>
      <c r="Z256" t="s">
        <v>51</v>
      </c>
      <c r="AA256" t="s">
        <v>37</v>
      </c>
      <c r="AB256" t="s">
        <v>52</v>
      </c>
      <c r="AC256" t="s">
        <v>53</v>
      </c>
      <c r="AD256" t="s">
        <v>54</v>
      </c>
      <c r="AE256">
        <v>9.4270228723800003</v>
      </c>
      <c r="AF256">
        <v>1932</v>
      </c>
      <c r="AG256">
        <v>1932.4788979499999</v>
      </c>
      <c r="AH256">
        <v>94271.740273599993</v>
      </c>
      <c r="AI256">
        <v>43</v>
      </c>
      <c r="AJ256">
        <v>738.345213592052</v>
      </c>
      <c r="AK256" s="1">
        <f>intersection_ss_Lnight___surface[[#This Row],[surf m2 bout ss]]/intersection_ss_Lnight___surface[[#This Row],[Shape_Area]]</f>
        <v>7.832094872219298E-3</v>
      </c>
      <c r="AL256">
        <v>1824</v>
      </c>
      <c r="AM256">
        <f>intersection_ss_Lnight___surface[[#This Row],[Population totale 2024 ss]]*intersection_ss_Lnight___surface[[#This Row],[Part de la surface du qs dans le noise contour]]</f>
        <v>14.285741046927999</v>
      </c>
    </row>
    <row r="257" spans="1:39" x14ac:dyDescent="0.3">
      <c r="A257">
        <v>269</v>
      </c>
      <c r="B257" t="s">
        <v>686</v>
      </c>
      <c r="C257" t="s">
        <v>687</v>
      </c>
      <c r="D257" t="s">
        <v>688</v>
      </c>
      <c r="E257" t="s">
        <v>688</v>
      </c>
      <c r="F257" t="s">
        <v>689</v>
      </c>
      <c r="G257" t="s">
        <v>621</v>
      </c>
      <c r="H257" t="s">
        <v>622</v>
      </c>
      <c r="I257" t="s">
        <v>622</v>
      </c>
      <c r="J257" t="s">
        <v>36</v>
      </c>
      <c r="K257">
        <v>21006</v>
      </c>
      <c r="L257" t="s">
        <v>623</v>
      </c>
      <c r="M257" t="s">
        <v>623</v>
      </c>
      <c r="N257" t="s">
        <v>623</v>
      </c>
      <c r="O257">
        <v>21000</v>
      </c>
      <c r="P257" t="s">
        <v>46</v>
      </c>
      <c r="Q257" t="s">
        <v>47</v>
      </c>
      <c r="R257" t="s">
        <v>48</v>
      </c>
      <c r="T257" t="s">
        <v>36</v>
      </c>
      <c r="U257" t="s">
        <v>36</v>
      </c>
      <c r="V257" t="s">
        <v>36</v>
      </c>
      <c r="W257">
        <v>4000</v>
      </c>
      <c r="X257" t="s">
        <v>49</v>
      </c>
      <c r="Y257" t="s">
        <v>50</v>
      </c>
      <c r="Z257" t="s">
        <v>51</v>
      </c>
      <c r="AA257" t="s">
        <v>37</v>
      </c>
      <c r="AB257" t="s">
        <v>52</v>
      </c>
      <c r="AC257" t="s">
        <v>53</v>
      </c>
      <c r="AD257" t="s">
        <v>54</v>
      </c>
      <c r="AE257">
        <v>9.4270228723800003</v>
      </c>
      <c r="AF257">
        <v>1932</v>
      </c>
      <c r="AG257">
        <v>1932.4788979499999</v>
      </c>
      <c r="AH257">
        <v>94271.740273599993</v>
      </c>
      <c r="AI257">
        <v>44</v>
      </c>
      <c r="AJ257">
        <v>45871.814725723598</v>
      </c>
      <c r="AK257" s="1">
        <f>intersection_ss_Lnight___surface[[#This Row],[surf m2 bout ss]]/intersection_ss_Lnight___surface[[#This Row],[Shape_Area]]</f>
        <v>0.486591364417292</v>
      </c>
      <c r="AL257">
        <v>1824</v>
      </c>
      <c r="AM257">
        <f>intersection_ss_Lnight___surface[[#This Row],[Population totale 2024 ss]]*intersection_ss_Lnight___surface[[#This Row],[Part de la surface du qs dans le noise contour]]</f>
        <v>887.54264869714063</v>
      </c>
    </row>
    <row r="258" spans="1:39" x14ac:dyDescent="0.3">
      <c r="A258">
        <v>270</v>
      </c>
      <c r="B258" t="s">
        <v>686</v>
      </c>
      <c r="C258" t="s">
        <v>687</v>
      </c>
      <c r="D258" t="s">
        <v>688</v>
      </c>
      <c r="E258" t="s">
        <v>688</v>
      </c>
      <c r="F258" t="s">
        <v>689</v>
      </c>
      <c r="G258" t="s">
        <v>621</v>
      </c>
      <c r="H258" t="s">
        <v>622</v>
      </c>
      <c r="I258" t="s">
        <v>622</v>
      </c>
      <c r="J258" t="s">
        <v>36</v>
      </c>
      <c r="K258">
        <v>21006</v>
      </c>
      <c r="L258" t="s">
        <v>623</v>
      </c>
      <c r="M258" t="s">
        <v>623</v>
      </c>
      <c r="N258" t="s">
        <v>623</v>
      </c>
      <c r="O258">
        <v>21000</v>
      </c>
      <c r="P258" t="s">
        <v>46</v>
      </c>
      <c r="Q258" t="s">
        <v>47</v>
      </c>
      <c r="R258" t="s">
        <v>48</v>
      </c>
      <c r="T258" t="s">
        <v>36</v>
      </c>
      <c r="U258" t="s">
        <v>36</v>
      </c>
      <c r="V258" t="s">
        <v>36</v>
      </c>
      <c r="W258">
        <v>4000</v>
      </c>
      <c r="X258" t="s">
        <v>49</v>
      </c>
      <c r="Y258" t="s">
        <v>50</v>
      </c>
      <c r="Z258" t="s">
        <v>51</v>
      </c>
      <c r="AA258" t="s">
        <v>37</v>
      </c>
      <c r="AB258" t="s">
        <v>52</v>
      </c>
      <c r="AC258" t="s">
        <v>53</v>
      </c>
      <c r="AD258" t="s">
        <v>54</v>
      </c>
      <c r="AE258">
        <v>9.4270228723800003</v>
      </c>
      <c r="AF258">
        <v>1932</v>
      </c>
      <c r="AG258">
        <v>1932.4788979499999</v>
      </c>
      <c r="AH258">
        <v>94271.740273599993</v>
      </c>
      <c r="AI258">
        <v>45</v>
      </c>
      <c r="AJ258">
        <v>47670.566824043199</v>
      </c>
      <c r="AK258" s="1">
        <f>intersection_ss_Lnight___surface[[#This Row],[surf m2 bout ss]]/intersection_ss_Lnight___surface[[#This Row],[Shape_Area]]</f>
        <v>0.50567186609360748</v>
      </c>
      <c r="AL258">
        <v>1824</v>
      </c>
      <c r="AM258">
        <f>intersection_ss_Lnight___surface[[#This Row],[Population totale 2024 ss]]*intersection_ss_Lnight___surface[[#This Row],[Part de la surface du qs dans le noise contour]]</f>
        <v>922.34548375474003</v>
      </c>
    </row>
    <row r="259" spans="1:39" x14ac:dyDescent="0.3">
      <c r="A259">
        <v>271</v>
      </c>
      <c r="B259" t="s">
        <v>690</v>
      </c>
      <c r="C259" t="s">
        <v>691</v>
      </c>
      <c r="D259" t="s">
        <v>692</v>
      </c>
      <c r="E259" t="s">
        <v>692</v>
      </c>
      <c r="F259" t="s">
        <v>689</v>
      </c>
      <c r="G259" t="s">
        <v>621</v>
      </c>
      <c r="H259" t="s">
        <v>622</v>
      </c>
      <c r="I259" t="s">
        <v>622</v>
      </c>
      <c r="J259" t="s">
        <v>36</v>
      </c>
      <c r="K259">
        <v>21006</v>
      </c>
      <c r="L259" t="s">
        <v>623</v>
      </c>
      <c r="M259" t="s">
        <v>623</v>
      </c>
      <c r="N259" t="s">
        <v>623</v>
      </c>
      <c r="O259">
        <v>21000</v>
      </c>
      <c r="P259" t="s">
        <v>46</v>
      </c>
      <c r="Q259" t="s">
        <v>47</v>
      </c>
      <c r="R259" t="s">
        <v>48</v>
      </c>
      <c r="T259" t="s">
        <v>36</v>
      </c>
      <c r="U259" t="s">
        <v>36</v>
      </c>
      <c r="V259" t="s">
        <v>36</v>
      </c>
      <c r="W259">
        <v>4000</v>
      </c>
      <c r="X259" t="s">
        <v>49</v>
      </c>
      <c r="Y259" t="s">
        <v>50</v>
      </c>
      <c r="Z259" t="s">
        <v>51</v>
      </c>
      <c r="AA259" t="s">
        <v>37</v>
      </c>
      <c r="AB259" t="s">
        <v>52</v>
      </c>
      <c r="AC259" t="s">
        <v>53</v>
      </c>
      <c r="AD259" t="s">
        <v>54</v>
      </c>
      <c r="AE259">
        <v>24.636288072900001</v>
      </c>
      <c r="AF259">
        <v>2954</v>
      </c>
      <c r="AG259">
        <v>2954.16791917</v>
      </c>
      <c r="AH259">
        <v>246366.84708199999</v>
      </c>
      <c r="AI259">
        <v>43</v>
      </c>
      <c r="AJ259">
        <v>54358.205160053898</v>
      </c>
      <c r="AK259" s="1">
        <f>intersection_ss_Lnight___surface[[#This Row],[surf m2 bout ss]]/intersection_ss_Lnight___surface[[#This Row],[Shape_Area]]</f>
        <v>0.22063928569886465</v>
      </c>
      <c r="AL259">
        <v>3459</v>
      </c>
      <c r="AM259">
        <f>intersection_ss_Lnight___surface[[#This Row],[Population totale 2024 ss]]*intersection_ss_Lnight___surface[[#This Row],[Part de la surface du qs dans le noise contour]]</f>
        <v>763.19128923237281</v>
      </c>
    </row>
    <row r="260" spans="1:39" x14ac:dyDescent="0.3">
      <c r="A260">
        <v>272</v>
      </c>
      <c r="B260" t="s">
        <v>690</v>
      </c>
      <c r="C260" t="s">
        <v>691</v>
      </c>
      <c r="D260" t="s">
        <v>692</v>
      </c>
      <c r="E260" t="s">
        <v>692</v>
      </c>
      <c r="F260" t="s">
        <v>689</v>
      </c>
      <c r="G260" t="s">
        <v>621</v>
      </c>
      <c r="H260" t="s">
        <v>622</v>
      </c>
      <c r="I260" t="s">
        <v>622</v>
      </c>
      <c r="J260" t="s">
        <v>36</v>
      </c>
      <c r="K260">
        <v>21006</v>
      </c>
      <c r="L260" t="s">
        <v>623</v>
      </c>
      <c r="M260" t="s">
        <v>623</v>
      </c>
      <c r="N260" t="s">
        <v>623</v>
      </c>
      <c r="O260">
        <v>21000</v>
      </c>
      <c r="P260" t="s">
        <v>46</v>
      </c>
      <c r="Q260" t="s">
        <v>47</v>
      </c>
      <c r="R260" t="s">
        <v>48</v>
      </c>
      <c r="T260" t="s">
        <v>36</v>
      </c>
      <c r="U260" t="s">
        <v>36</v>
      </c>
      <c r="V260" t="s">
        <v>36</v>
      </c>
      <c r="W260">
        <v>4000</v>
      </c>
      <c r="X260" t="s">
        <v>49</v>
      </c>
      <c r="Y260" t="s">
        <v>50</v>
      </c>
      <c r="Z260" t="s">
        <v>51</v>
      </c>
      <c r="AA260" t="s">
        <v>37</v>
      </c>
      <c r="AB260" t="s">
        <v>52</v>
      </c>
      <c r="AC260" t="s">
        <v>53</v>
      </c>
      <c r="AD260" t="s">
        <v>54</v>
      </c>
      <c r="AE260">
        <v>24.636288072900001</v>
      </c>
      <c r="AF260">
        <v>2954</v>
      </c>
      <c r="AG260">
        <v>2954.16791917</v>
      </c>
      <c r="AH260">
        <v>246366.84708199999</v>
      </c>
      <c r="AI260">
        <v>44</v>
      </c>
      <c r="AJ260">
        <v>154183.42806293699</v>
      </c>
      <c r="AK260" s="1">
        <f>intersection_ss_Lnight___surface[[#This Row],[surf m2 bout ss]]/intersection_ss_Lnight___surface[[#This Row],[Shape_Area]]</f>
        <v>0.62582863680363232</v>
      </c>
      <c r="AL260">
        <v>3459</v>
      </c>
      <c r="AM260">
        <f>intersection_ss_Lnight___surface[[#This Row],[Population totale 2024 ss]]*intersection_ss_Lnight___surface[[#This Row],[Part de la surface du qs dans le noise contour]]</f>
        <v>2164.7412547037643</v>
      </c>
    </row>
    <row r="261" spans="1:39" x14ac:dyDescent="0.3">
      <c r="A261">
        <v>273</v>
      </c>
      <c r="B261" t="s">
        <v>690</v>
      </c>
      <c r="C261" t="s">
        <v>691</v>
      </c>
      <c r="D261" t="s">
        <v>692</v>
      </c>
      <c r="E261" t="s">
        <v>692</v>
      </c>
      <c r="F261" t="s">
        <v>689</v>
      </c>
      <c r="G261" t="s">
        <v>621</v>
      </c>
      <c r="H261" t="s">
        <v>622</v>
      </c>
      <c r="I261" t="s">
        <v>622</v>
      </c>
      <c r="J261" t="s">
        <v>36</v>
      </c>
      <c r="K261">
        <v>21006</v>
      </c>
      <c r="L261" t="s">
        <v>623</v>
      </c>
      <c r="M261" t="s">
        <v>623</v>
      </c>
      <c r="N261" t="s">
        <v>623</v>
      </c>
      <c r="O261">
        <v>21000</v>
      </c>
      <c r="P261" t="s">
        <v>46</v>
      </c>
      <c r="Q261" t="s">
        <v>47</v>
      </c>
      <c r="R261" t="s">
        <v>48</v>
      </c>
      <c r="T261" t="s">
        <v>36</v>
      </c>
      <c r="U261" t="s">
        <v>36</v>
      </c>
      <c r="V261" t="s">
        <v>36</v>
      </c>
      <c r="W261">
        <v>4000</v>
      </c>
      <c r="X261" t="s">
        <v>49</v>
      </c>
      <c r="Y261" t="s">
        <v>50</v>
      </c>
      <c r="Z261" t="s">
        <v>51</v>
      </c>
      <c r="AA261" t="s">
        <v>37</v>
      </c>
      <c r="AB261" t="s">
        <v>52</v>
      </c>
      <c r="AC261" t="s">
        <v>53</v>
      </c>
      <c r="AD261" t="s">
        <v>54</v>
      </c>
      <c r="AE261">
        <v>24.636288072900001</v>
      </c>
      <c r="AF261">
        <v>2954</v>
      </c>
      <c r="AG261">
        <v>2954.16791917</v>
      </c>
      <c r="AH261">
        <v>246366.84708199999</v>
      </c>
      <c r="AI261">
        <v>45</v>
      </c>
      <c r="AJ261">
        <v>37848.569240165401</v>
      </c>
      <c r="AK261" s="1">
        <f>intersection_ss_Lnight___surface[[#This Row],[surf m2 bout ss]]/intersection_ss_Lnight___surface[[#This Row],[Shape_Area]]</f>
        <v>0.15362687670215627</v>
      </c>
      <c r="AL261">
        <v>3459</v>
      </c>
      <c r="AM261">
        <f>intersection_ss_Lnight___surface[[#This Row],[Population totale 2024 ss]]*intersection_ss_Lnight___surface[[#This Row],[Part de la surface du qs dans le noise contour]]</f>
        <v>531.39536651275853</v>
      </c>
    </row>
    <row r="262" spans="1:39" x14ac:dyDescent="0.3">
      <c r="A262">
        <v>274</v>
      </c>
      <c r="B262" t="s">
        <v>693</v>
      </c>
      <c r="C262" t="s">
        <v>694</v>
      </c>
      <c r="D262" t="s">
        <v>695</v>
      </c>
      <c r="E262" t="s">
        <v>695</v>
      </c>
      <c r="F262" t="s">
        <v>689</v>
      </c>
      <c r="G262" t="s">
        <v>621</v>
      </c>
      <c r="H262" t="s">
        <v>622</v>
      </c>
      <c r="I262" t="s">
        <v>622</v>
      </c>
      <c r="J262" t="s">
        <v>36</v>
      </c>
      <c r="K262">
        <v>21006</v>
      </c>
      <c r="L262" t="s">
        <v>623</v>
      </c>
      <c r="M262" t="s">
        <v>623</v>
      </c>
      <c r="N262" t="s">
        <v>623</v>
      </c>
      <c r="O262">
        <v>21000</v>
      </c>
      <c r="P262" t="s">
        <v>46</v>
      </c>
      <c r="Q262" t="s">
        <v>47</v>
      </c>
      <c r="R262" t="s">
        <v>48</v>
      </c>
      <c r="T262" t="s">
        <v>36</v>
      </c>
      <c r="U262" t="s">
        <v>36</v>
      </c>
      <c r="V262" t="s">
        <v>36</v>
      </c>
      <c r="W262">
        <v>4000</v>
      </c>
      <c r="X262" t="s">
        <v>49</v>
      </c>
      <c r="Y262" t="s">
        <v>50</v>
      </c>
      <c r="Z262" t="s">
        <v>51</v>
      </c>
      <c r="AA262" t="s">
        <v>37</v>
      </c>
      <c r="AB262" t="s">
        <v>52</v>
      </c>
      <c r="AC262" t="s">
        <v>53</v>
      </c>
      <c r="AD262" t="s">
        <v>54</v>
      </c>
      <c r="AE262">
        <v>15.7903915589</v>
      </c>
      <c r="AF262">
        <v>2071</v>
      </c>
      <c r="AG262">
        <v>2071.4740983299998</v>
      </c>
      <c r="AH262">
        <v>157906.45212900001</v>
      </c>
      <c r="AI262">
        <v>44</v>
      </c>
      <c r="AJ262">
        <v>131627.48500491399</v>
      </c>
      <c r="AK262" s="1">
        <f>intersection_ss_Lnight___surface[[#This Row],[surf m2 bout ss]]/intersection_ss_Lnight___surface[[#This Row],[Shape_Area]]</f>
        <v>0.83357888946413861</v>
      </c>
      <c r="AL262">
        <v>1533</v>
      </c>
      <c r="AM262">
        <f>intersection_ss_Lnight___surface[[#This Row],[Population totale 2024 ss]]*intersection_ss_Lnight___surface[[#This Row],[Part de la surface du qs dans le noise contour]]</f>
        <v>1277.8764375485246</v>
      </c>
    </row>
    <row r="263" spans="1:39" x14ac:dyDescent="0.3">
      <c r="A263">
        <v>275</v>
      </c>
      <c r="B263" t="s">
        <v>693</v>
      </c>
      <c r="C263" t="s">
        <v>694</v>
      </c>
      <c r="D263" t="s">
        <v>695</v>
      </c>
      <c r="E263" t="s">
        <v>695</v>
      </c>
      <c r="F263" t="s">
        <v>689</v>
      </c>
      <c r="G263" t="s">
        <v>621</v>
      </c>
      <c r="H263" t="s">
        <v>622</v>
      </c>
      <c r="I263" t="s">
        <v>622</v>
      </c>
      <c r="J263" t="s">
        <v>36</v>
      </c>
      <c r="K263">
        <v>21006</v>
      </c>
      <c r="L263" t="s">
        <v>623</v>
      </c>
      <c r="M263" t="s">
        <v>623</v>
      </c>
      <c r="N263" t="s">
        <v>623</v>
      </c>
      <c r="O263">
        <v>21000</v>
      </c>
      <c r="P263" t="s">
        <v>46</v>
      </c>
      <c r="Q263" t="s">
        <v>47</v>
      </c>
      <c r="R263" t="s">
        <v>48</v>
      </c>
      <c r="T263" t="s">
        <v>36</v>
      </c>
      <c r="U263" t="s">
        <v>36</v>
      </c>
      <c r="V263" t="s">
        <v>36</v>
      </c>
      <c r="W263">
        <v>4000</v>
      </c>
      <c r="X263" t="s">
        <v>49</v>
      </c>
      <c r="Y263" t="s">
        <v>50</v>
      </c>
      <c r="Z263" t="s">
        <v>51</v>
      </c>
      <c r="AA263" t="s">
        <v>37</v>
      </c>
      <c r="AB263" t="s">
        <v>52</v>
      </c>
      <c r="AC263" t="s">
        <v>53</v>
      </c>
      <c r="AD263" t="s">
        <v>54</v>
      </c>
      <c r="AE263">
        <v>15.7903915589</v>
      </c>
      <c r="AF263">
        <v>2071</v>
      </c>
      <c r="AG263">
        <v>2071.4740983299998</v>
      </c>
      <c r="AH263">
        <v>157906.45212900001</v>
      </c>
      <c r="AI263">
        <v>45</v>
      </c>
      <c r="AJ263">
        <v>26294.082990462</v>
      </c>
      <c r="AK263" s="1">
        <f>intersection_ss_Lnight___surface[[#This Row],[surf m2 bout ss]]/intersection_ss_Lnight___surface[[#This Row],[Shape_Area]]</f>
        <v>0.16651683725362487</v>
      </c>
      <c r="AL263">
        <v>1533</v>
      </c>
      <c r="AM263">
        <f>intersection_ss_Lnight___surface[[#This Row],[Population totale 2024 ss]]*intersection_ss_Lnight___surface[[#This Row],[Part de la surface du qs dans le noise contour]]</f>
        <v>255.27031150980693</v>
      </c>
    </row>
    <row r="264" spans="1:39" x14ac:dyDescent="0.3">
      <c r="A264">
        <v>276</v>
      </c>
      <c r="B264" t="s">
        <v>696</v>
      </c>
      <c r="C264" t="s">
        <v>697</v>
      </c>
      <c r="D264" t="s">
        <v>698</v>
      </c>
      <c r="E264" t="s">
        <v>698</v>
      </c>
      <c r="F264" t="s">
        <v>689</v>
      </c>
      <c r="G264" t="s">
        <v>621</v>
      </c>
      <c r="H264" t="s">
        <v>622</v>
      </c>
      <c r="I264" t="s">
        <v>622</v>
      </c>
      <c r="J264" t="s">
        <v>36</v>
      </c>
      <c r="K264">
        <v>21006</v>
      </c>
      <c r="L264" t="s">
        <v>623</v>
      </c>
      <c r="M264" t="s">
        <v>623</v>
      </c>
      <c r="N264" t="s">
        <v>623</v>
      </c>
      <c r="O264">
        <v>21000</v>
      </c>
      <c r="P264" t="s">
        <v>46</v>
      </c>
      <c r="Q264" t="s">
        <v>47</v>
      </c>
      <c r="R264" t="s">
        <v>48</v>
      </c>
      <c r="T264" t="s">
        <v>36</v>
      </c>
      <c r="U264" t="s">
        <v>36</v>
      </c>
      <c r="V264" t="s">
        <v>36</v>
      </c>
      <c r="W264">
        <v>4000</v>
      </c>
      <c r="X264" t="s">
        <v>49</v>
      </c>
      <c r="Y264" t="s">
        <v>50</v>
      </c>
      <c r="Z264" t="s">
        <v>51</v>
      </c>
      <c r="AA264" t="s">
        <v>37</v>
      </c>
      <c r="AB264" t="s">
        <v>52</v>
      </c>
      <c r="AC264" t="s">
        <v>53</v>
      </c>
      <c r="AD264" t="s">
        <v>54</v>
      </c>
      <c r="AE264">
        <v>49.062508416999997</v>
      </c>
      <c r="AF264">
        <v>3262</v>
      </c>
      <c r="AG264">
        <v>3261.5878196600002</v>
      </c>
      <c r="AH264">
        <v>490632.96187499998</v>
      </c>
      <c r="AI264">
        <v>45</v>
      </c>
      <c r="AJ264">
        <v>97228.398160561905</v>
      </c>
      <c r="AK264" s="1">
        <f>intersection_ss_Lnight___surface[[#This Row],[surf m2 bout ss]]/intersection_ss_Lnight___surface[[#This Row],[Shape_Area]]</f>
        <v>0.19816931538597496</v>
      </c>
      <c r="AL264">
        <v>22</v>
      </c>
      <c r="AM264">
        <f>intersection_ss_Lnight___surface[[#This Row],[Population totale 2024 ss]]*intersection_ss_Lnight___surface[[#This Row],[Part de la surface du qs dans le noise contour]]</f>
        <v>4.3597249384914489</v>
      </c>
    </row>
    <row r="265" spans="1:39" x14ac:dyDescent="0.3">
      <c r="A265">
        <v>277</v>
      </c>
      <c r="B265" t="s">
        <v>696</v>
      </c>
      <c r="C265" t="s">
        <v>697</v>
      </c>
      <c r="D265" t="s">
        <v>698</v>
      </c>
      <c r="E265" t="s">
        <v>698</v>
      </c>
      <c r="F265" t="s">
        <v>689</v>
      </c>
      <c r="G265" t="s">
        <v>621</v>
      </c>
      <c r="H265" t="s">
        <v>622</v>
      </c>
      <c r="I265" t="s">
        <v>622</v>
      </c>
      <c r="J265" t="s">
        <v>36</v>
      </c>
      <c r="K265">
        <v>21006</v>
      </c>
      <c r="L265" t="s">
        <v>623</v>
      </c>
      <c r="M265" t="s">
        <v>623</v>
      </c>
      <c r="N265" t="s">
        <v>623</v>
      </c>
      <c r="O265">
        <v>21000</v>
      </c>
      <c r="P265" t="s">
        <v>46</v>
      </c>
      <c r="Q265" t="s">
        <v>47</v>
      </c>
      <c r="R265" t="s">
        <v>48</v>
      </c>
      <c r="T265" t="s">
        <v>36</v>
      </c>
      <c r="U265" t="s">
        <v>36</v>
      </c>
      <c r="V265" t="s">
        <v>36</v>
      </c>
      <c r="W265">
        <v>4000</v>
      </c>
      <c r="X265" t="s">
        <v>49</v>
      </c>
      <c r="Y265" t="s">
        <v>50</v>
      </c>
      <c r="Z265" t="s">
        <v>51</v>
      </c>
      <c r="AA265" t="s">
        <v>37</v>
      </c>
      <c r="AB265" t="s">
        <v>52</v>
      </c>
      <c r="AC265" t="s">
        <v>53</v>
      </c>
      <c r="AD265" t="s">
        <v>54</v>
      </c>
      <c r="AE265">
        <v>49.062508416999997</v>
      </c>
      <c r="AF265">
        <v>3262</v>
      </c>
      <c r="AG265">
        <v>3261.5878196600002</v>
      </c>
      <c r="AH265">
        <v>490632.96187499998</v>
      </c>
      <c r="AI265">
        <v>46</v>
      </c>
      <c r="AJ265">
        <v>276518.44269130402</v>
      </c>
      <c r="AK265" s="1">
        <f>intersection_ss_Lnight___surface[[#This Row],[surf m2 bout ss]]/intersection_ss_Lnight___surface[[#This Row],[Shape_Area]]</f>
        <v>0.5635953231404649</v>
      </c>
      <c r="AL265">
        <v>22</v>
      </c>
      <c r="AM265">
        <f>intersection_ss_Lnight___surface[[#This Row],[Population totale 2024 ss]]*intersection_ss_Lnight___surface[[#This Row],[Part de la surface du qs dans le noise contour]]</f>
        <v>12.399097109090228</v>
      </c>
    </row>
    <row r="266" spans="1:39" x14ac:dyDescent="0.3">
      <c r="A266">
        <v>278</v>
      </c>
      <c r="B266" t="s">
        <v>696</v>
      </c>
      <c r="C266" t="s">
        <v>697</v>
      </c>
      <c r="D266" t="s">
        <v>698</v>
      </c>
      <c r="E266" t="s">
        <v>698</v>
      </c>
      <c r="F266" t="s">
        <v>689</v>
      </c>
      <c r="G266" t="s">
        <v>621</v>
      </c>
      <c r="H266" t="s">
        <v>622</v>
      </c>
      <c r="I266" t="s">
        <v>622</v>
      </c>
      <c r="J266" t="s">
        <v>36</v>
      </c>
      <c r="K266">
        <v>21006</v>
      </c>
      <c r="L266" t="s">
        <v>623</v>
      </c>
      <c r="M266" t="s">
        <v>623</v>
      </c>
      <c r="N266" t="s">
        <v>623</v>
      </c>
      <c r="O266">
        <v>21000</v>
      </c>
      <c r="P266" t="s">
        <v>46</v>
      </c>
      <c r="Q266" t="s">
        <v>47</v>
      </c>
      <c r="R266" t="s">
        <v>48</v>
      </c>
      <c r="T266" t="s">
        <v>36</v>
      </c>
      <c r="U266" t="s">
        <v>36</v>
      </c>
      <c r="V266" t="s">
        <v>36</v>
      </c>
      <c r="W266">
        <v>4000</v>
      </c>
      <c r="X266" t="s">
        <v>49</v>
      </c>
      <c r="Y266" t="s">
        <v>50</v>
      </c>
      <c r="Z266" t="s">
        <v>51</v>
      </c>
      <c r="AA266" t="s">
        <v>37</v>
      </c>
      <c r="AB266" t="s">
        <v>52</v>
      </c>
      <c r="AC266" t="s">
        <v>53</v>
      </c>
      <c r="AD266" t="s">
        <v>54</v>
      </c>
      <c r="AE266">
        <v>49.062508416999997</v>
      </c>
      <c r="AF266">
        <v>3262</v>
      </c>
      <c r="AG266">
        <v>3261.5878196600002</v>
      </c>
      <c r="AH266">
        <v>490632.96187499998</v>
      </c>
      <c r="AI266">
        <v>47</v>
      </c>
      <c r="AJ266">
        <v>116932.20722302</v>
      </c>
      <c r="AK266" s="1">
        <f>intersection_ss_Lnight___surface[[#This Row],[surf m2 bout ss]]/intersection_ss_Lnight___surface[[#This Row],[Shape_Area]]</f>
        <v>0.23832929360504557</v>
      </c>
      <c r="AL266">
        <v>22</v>
      </c>
      <c r="AM266">
        <f>intersection_ss_Lnight___surface[[#This Row],[Population totale 2024 ss]]*intersection_ss_Lnight___surface[[#This Row],[Part de la surface du qs dans le noise contour]]</f>
        <v>5.2432444593110024</v>
      </c>
    </row>
    <row r="267" spans="1:39" x14ac:dyDescent="0.3">
      <c r="A267">
        <v>279</v>
      </c>
      <c r="B267" t="s">
        <v>699</v>
      </c>
      <c r="C267" t="s">
        <v>700</v>
      </c>
      <c r="D267" t="s">
        <v>700</v>
      </c>
      <c r="E267" t="s">
        <v>700</v>
      </c>
      <c r="F267" t="s">
        <v>701</v>
      </c>
      <c r="G267" t="s">
        <v>621</v>
      </c>
      <c r="H267" t="s">
        <v>622</v>
      </c>
      <c r="I267" t="s">
        <v>622</v>
      </c>
      <c r="J267" t="s">
        <v>36</v>
      </c>
      <c r="K267">
        <v>21006</v>
      </c>
      <c r="L267" t="s">
        <v>623</v>
      </c>
      <c r="M267" t="s">
        <v>623</v>
      </c>
      <c r="N267" t="s">
        <v>623</v>
      </c>
      <c r="O267">
        <v>21000</v>
      </c>
      <c r="P267" t="s">
        <v>46</v>
      </c>
      <c r="Q267" t="s">
        <v>47</v>
      </c>
      <c r="R267" t="s">
        <v>48</v>
      </c>
      <c r="T267" t="s">
        <v>36</v>
      </c>
      <c r="U267" t="s">
        <v>36</v>
      </c>
      <c r="V267" t="s">
        <v>36</v>
      </c>
      <c r="W267">
        <v>4000</v>
      </c>
      <c r="X267" t="s">
        <v>49</v>
      </c>
      <c r="Y267" t="s">
        <v>50</v>
      </c>
      <c r="Z267" t="s">
        <v>51</v>
      </c>
      <c r="AA267" t="s">
        <v>37</v>
      </c>
      <c r="AB267" t="s">
        <v>52</v>
      </c>
      <c r="AC267" t="s">
        <v>53</v>
      </c>
      <c r="AD267" t="s">
        <v>54</v>
      </c>
      <c r="AE267">
        <v>13.041837878200001</v>
      </c>
      <c r="AF267">
        <v>1859</v>
      </c>
      <c r="AG267">
        <v>1859.23504144</v>
      </c>
      <c r="AH267">
        <v>130420.474696</v>
      </c>
      <c r="AI267">
        <v>44</v>
      </c>
      <c r="AJ267">
        <v>1.02996722515672</v>
      </c>
      <c r="AK267" s="1">
        <f>intersection_ss_Lnight___surface[[#This Row],[surf m2 bout ss]]/intersection_ss_Lnight___surface[[#This Row],[Shape_Area]]</f>
        <v>7.8972816772634324E-6</v>
      </c>
      <c r="AL267">
        <v>1048</v>
      </c>
      <c r="AM267">
        <f>intersection_ss_Lnight___surface[[#This Row],[Population totale 2024 ss]]*intersection_ss_Lnight___surface[[#This Row],[Part de la surface du qs dans le noise contour]]</f>
        <v>8.2763511977720777E-3</v>
      </c>
    </row>
    <row r="268" spans="1:39" x14ac:dyDescent="0.3">
      <c r="A268">
        <v>280</v>
      </c>
      <c r="B268" t="s">
        <v>699</v>
      </c>
      <c r="C268" t="s">
        <v>700</v>
      </c>
      <c r="D268" t="s">
        <v>700</v>
      </c>
      <c r="E268" t="s">
        <v>700</v>
      </c>
      <c r="F268" t="s">
        <v>701</v>
      </c>
      <c r="G268" t="s">
        <v>621</v>
      </c>
      <c r="H268" t="s">
        <v>622</v>
      </c>
      <c r="I268" t="s">
        <v>622</v>
      </c>
      <c r="J268" t="s">
        <v>36</v>
      </c>
      <c r="K268">
        <v>21006</v>
      </c>
      <c r="L268" t="s">
        <v>623</v>
      </c>
      <c r="M268" t="s">
        <v>623</v>
      </c>
      <c r="N268" t="s">
        <v>623</v>
      </c>
      <c r="O268">
        <v>21000</v>
      </c>
      <c r="P268" t="s">
        <v>46</v>
      </c>
      <c r="Q268" t="s">
        <v>47</v>
      </c>
      <c r="R268" t="s">
        <v>48</v>
      </c>
      <c r="T268" t="s">
        <v>36</v>
      </c>
      <c r="U268" t="s">
        <v>36</v>
      </c>
      <c r="V268" t="s">
        <v>36</v>
      </c>
      <c r="W268">
        <v>4000</v>
      </c>
      <c r="X268" t="s">
        <v>49</v>
      </c>
      <c r="Y268" t="s">
        <v>50</v>
      </c>
      <c r="Z268" t="s">
        <v>51</v>
      </c>
      <c r="AA268" t="s">
        <v>37</v>
      </c>
      <c r="AB268" t="s">
        <v>52</v>
      </c>
      <c r="AC268" t="s">
        <v>53</v>
      </c>
      <c r="AD268" t="s">
        <v>54</v>
      </c>
      <c r="AE268">
        <v>13.041837878200001</v>
      </c>
      <c r="AF268">
        <v>1859</v>
      </c>
      <c r="AG268">
        <v>1859.23504144</v>
      </c>
      <c r="AH268">
        <v>130420.474696</v>
      </c>
      <c r="AI268">
        <v>45</v>
      </c>
      <c r="AJ268">
        <v>127629.45203879901</v>
      </c>
      <c r="AK268" s="1">
        <f>intersection_ss_Lnight___surface[[#This Row],[surf m2 bout ss]]/intersection_ss_Lnight___surface[[#This Row],[Shape_Area]]</f>
        <v>0.97859981215597736</v>
      </c>
      <c r="AL268">
        <v>1048</v>
      </c>
      <c r="AM268">
        <f>intersection_ss_Lnight___surface[[#This Row],[Population totale 2024 ss]]*intersection_ss_Lnight___surface[[#This Row],[Part de la surface du qs dans le noise contour]]</f>
        <v>1025.5726031394643</v>
      </c>
    </row>
    <row r="269" spans="1:39" x14ac:dyDescent="0.3">
      <c r="A269">
        <v>281</v>
      </c>
      <c r="B269" t="s">
        <v>699</v>
      </c>
      <c r="C269" t="s">
        <v>700</v>
      </c>
      <c r="D269" t="s">
        <v>700</v>
      </c>
      <c r="E269" t="s">
        <v>700</v>
      </c>
      <c r="F269" t="s">
        <v>701</v>
      </c>
      <c r="G269" t="s">
        <v>621</v>
      </c>
      <c r="H269" t="s">
        <v>622</v>
      </c>
      <c r="I269" t="s">
        <v>622</v>
      </c>
      <c r="J269" t="s">
        <v>36</v>
      </c>
      <c r="K269">
        <v>21006</v>
      </c>
      <c r="L269" t="s">
        <v>623</v>
      </c>
      <c r="M269" t="s">
        <v>623</v>
      </c>
      <c r="N269" t="s">
        <v>623</v>
      </c>
      <c r="O269">
        <v>21000</v>
      </c>
      <c r="P269" t="s">
        <v>46</v>
      </c>
      <c r="Q269" t="s">
        <v>47</v>
      </c>
      <c r="R269" t="s">
        <v>48</v>
      </c>
      <c r="T269" t="s">
        <v>36</v>
      </c>
      <c r="U269" t="s">
        <v>36</v>
      </c>
      <c r="V269" t="s">
        <v>36</v>
      </c>
      <c r="W269">
        <v>4000</v>
      </c>
      <c r="X269" t="s">
        <v>49</v>
      </c>
      <c r="Y269" t="s">
        <v>50</v>
      </c>
      <c r="Z269" t="s">
        <v>51</v>
      </c>
      <c r="AA269" t="s">
        <v>37</v>
      </c>
      <c r="AB269" t="s">
        <v>52</v>
      </c>
      <c r="AC269" t="s">
        <v>53</v>
      </c>
      <c r="AD269" t="s">
        <v>54</v>
      </c>
      <c r="AE269">
        <v>13.041837878200001</v>
      </c>
      <c r="AF269">
        <v>1859</v>
      </c>
      <c r="AG269">
        <v>1859.23504144</v>
      </c>
      <c r="AH269">
        <v>130420.474696</v>
      </c>
      <c r="AI269">
        <v>46</v>
      </c>
      <c r="AJ269">
        <v>2801.92205604631</v>
      </c>
      <c r="AK269" s="1">
        <f>intersection_ss_Lnight___surface[[#This Row],[surf m2 bout ss]]/intersection_ss_Lnight___surface[[#This Row],[Shape_Area]]</f>
        <v>2.1483759069098413E-2</v>
      </c>
      <c r="AL269">
        <v>1048</v>
      </c>
      <c r="AM269">
        <f>intersection_ss_Lnight___surface[[#This Row],[Population totale 2024 ss]]*intersection_ss_Lnight___surface[[#This Row],[Part de la surface du qs dans le noise contour]]</f>
        <v>22.514979504415138</v>
      </c>
    </row>
    <row r="270" spans="1:39" x14ac:dyDescent="0.3">
      <c r="A270">
        <v>282</v>
      </c>
      <c r="B270" t="s">
        <v>768</v>
      </c>
      <c r="C270" t="s">
        <v>769</v>
      </c>
      <c r="D270" t="s">
        <v>770</v>
      </c>
      <c r="E270" t="s">
        <v>770</v>
      </c>
      <c r="F270" t="s">
        <v>755</v>
      </c>
      <c r="G270" t="s">
        <v>738</v>
      </c>
      <c r="H270" t="s">
        <v>739</v>
      </c>
      <c r="I270" t="s">
        <v>739</v>
      </c>
      <c r="J270" t="s">
        <v>36</v>
      </c>
      <c r="K270">
        <v>21008</v>
      </c>
      <c r="L270" t="s">
        <v>740</v>
      </c>
      <c r="M270" t="s">
        <v>740</v>
      </c>
      <c r="N270" t="s">
        <v>740</v>
      </c>
      <c r="O270">
        <v>21000</v>
      </c>
      <c r="P270" t="s">
        <v>46</v>
      </c>
      <c r="Q270" t="s">
        <v>47</v>
      </c>
      <c r="R270" t="s">
        <v>48</v>
      </c>
      <c r="T270" t="s">
        <v>36</v>
      </c>
      <c r="U270" t="s">
        <v>36</v>
      </c>
      <c r="V270" t="s">
        <v>36</v>
      </c>
      <c r="W270">
        <v>4000</v>
      </c>
      <c r="X270" t="s">
        <v>49</v>
      </c>
      <c r="Y270" t="s">
        <v>50</v>
      </c>
      <c r="Z270" t="s">
        <v>51</v>
      </c>
      <c r="AA270" t="s">
        <v>37</v>
      </c>
      <c r="AB270" t="s">
        <v>52</v>
      </c>
      <c r="AC270" t="s">
        <v>53</v>
      </c>
      <c r="AD270" t="s">
        <v>54</v>
      </c>
      <c r="AE270">
        <v>38.8619688008</v>
      </c>
      <c r="AF270">
        <v>3967</v>
      </c>
      <c r="AG270">
        <v>3967.1040902899999</v>
      </c>
      <c r="AH270">
        <v>388625.93974599999</v>
      </c>
      <c r="AI270">
        <v>40</v>
      </c>
      <c r="AJ270">
        <v>143646.289028506</v>
      </c>
      <c r="AK270" s="1">
        <f>intersection_ss_Lnight___surface[[#This Row],[surf m2 bout ss]]/intersection_ss_Lnight___surface[[#This Row],[Shape_Area]]</f>
        <v>0.36962609629812931</v>
      </c>
      <c r="AL270">
        <v>0</v>
      </c>
      <c r="AM270">
        <f>intersection_ss_Lnight___surface[[#This Row],[Population totale 2024 ss]]*intersection_ss_Lnight___surface[[#This Row],[Part de la surface du qs dans le noise contour]]</f>
        <v>0</v>
      </c>
    </row>
    <row r="271" spans="1:39" x14ac:dyDescent="0.3">
      <c r="A271">
        <v>283</v>
      </c>
      <c r="B271" t="s">
        <v>795</v>
      </c>
      <c r="C271" t="s">
        <v>796</v>
      </c>
      <c r="D271" t="s">
        <v>796</v>
      </c>
      <c r="E271" t="s">
        <v>796</v>
      </c>
      <c r="F271" t="s">
        <v>791</v>
      </c>
      <c r="G271" t="s">
        <v>792</v>
      </c>
      <c r="H271" t="s">
        <v>793</v>
      </c>
      <c r="I271" t="s">
        <v>793</v>
      </c>
      <c r="J271" t="s">
        <v>36</v>
      </c>
      <c r="K271">
        <v>21010</v>
      </c>
      <c r="L271" t="s">
        <v>794</v>
      </c>
      <c r="M271" t="s">
        <v>794</v>
      </c>
      <c r="N271" t="s">
        <v>794</v>
      </c>
      <c r="O271">
        <v>21000</v>
      </c>
      <c r="P271" t="s">
        <v>46</v>
      </c>
      <c r="Q271" t="s">
        <v>47</v>
      </c>
      <c r="R271" t="s">
        <v>48</v>
      </c>
      <c r="T271" t="s">
        <v>36</v>
      </c>
      <c r="U271" t="s">
        <v>36</v>
      </c>
      <c r="V271" t="s">
        <v>36</v>
      </c>
      <c r="W271">
        <v>4000</v>
      </c>
      <c r="X271" t="s">
        <v>49</v>
      </c>
      <c r="Y271" t="s">
        <v>50</v>
      </c>
      <c r="Z271" t="s">
        <v>51</v>
      </c>
      <c r="AA271" t="s">
        <v>37</v>
      </c>
      <c r="AB271" t="s">
        <v>52</v>
      </c>
      <c r="AC271" t="s">
        <v>53</v>
      </c>
      <c r="AD271" t="s">
        <v>54</v>
      </c>
      <c r="AE271">
        <v>25.307907688299998</v>
      </c>
      <c r="AF271">
        <v>2238</v>
      </c>
      <c r="AG271">
        <v>2238.1857626800002</v>
      </c>
      <c r="AH271">
        <v>253083.16353600001</v>
      </c>
      <c r="AI271">
        <v>40</v>
      </c>
      <c r="AJ271">
        <v>137634.38647599801</v>
      </c>
      <c r="AK271" s="1">
        <f>intersection_ss_Lnight___surface[[#This Row],[surf m2 bout ss]]/intersection_ss_Lnight___surface[[#This Row],[Shape_Area]]</f>
        <v>0.54383067033386479</v>
      </c>
      <c r="AL271">
        <v>5111</v>
      </c>
      <c r="AM271">
        <f>intersection_ss_Lnight___surface[[#This Row],[Population totale 2024 ss]]*intersection_ss_Lnight___surface[[#This Row],[Part de la surface du qs dans le noise contour]]</f>
        <v>2779.518556076383</v>
      </c>
    </row>
    <row r="272" spans="1:39" x14ac:dyDescent="0.3">
      <c r="A272">
        <v>284</v>
      </c>
      <c r="B272" t="s">
        <v>802</v>
      </c>
      <c r="C272" t="s">
        <v>803</v>
      </c>
      <c r="D272" t="s">
        <v>804</v>
      </c>
      <c r="E272" t="s">
        <v>804</v>
      </c>
      <c r="F272" t="s">
        <v>791</v>
      </c>
      <c r="G272" t="s">
        <v>792</v>
      </c>
      <c r="H272" t="s">
        <v>793</v>
      </c>
      <c r="I272" t="s">
        <v>793</v>
      </c>
      <c r="J272" t="s">
        <v>36</v>
      </c>
      <c r="K272">
        <v>21010</v>
      </c>
      <c r="L272" t="s">
        <v>794</v>
      </c>
      <c r="M272" t="s">
        <v>794</v>
      </c>
      <c r="N272" t="s">
        <v>794</v>
      </c>
      <c r="O272">
        <v>21000</v>
      </c>
      <c r="P272" t="s">
        <v>46</v>
      </c>
      <c r="Q272" t="s">
        <v>47</v>
      </c>
      <c r="R272" t="s">
        <v>48</v>
      </c>
      <c r="T272" t="s">
        <v>36</v>
      </c>
      <c r="U272" t="s">
        <v>36</v>
      </c>
      <c r="V272" t="s">
        <v>36</v>
      </c>
      <c r="W272">
        <v>4000</v>
      </c>
      <c r="X272" t="s">
        <v>49</v>
      </c>
      <c r="Y272" t="s">
        <v>50</v>
      </c>
      <c r="Z272" t="s">
        <v>51</v>
      </c>
      <c r="AA272" t="s">
        <v>37</v>
      </c>
      <c r="AB272" t="s">
        <v>52</v>
      </c>
      <c r="AC272" t="s">
        <v>53</v>
      </c>
      <c r="AD272" t="s">
        <v>54</v>
      </c>
      <c r="AE272">
        <v>28.420607086099999</v>
      </c>
      <c r="AF272">
        <v>2348</v>
      </c>
      <c r="AG272">
        <v>2348.1336705499998</v>
      </c>
      <c r="AH272">
        <v>284210.66958599997</v>
      </c>
      <c r="AI272">
        <v>40</v>
      </c>
      <c r="AJ272">
        <v>230885.474900617</v>
      </c>
      <c r="AK272" s="1">
        <f>intersection_ss_Lnight___surface[[#This Row],[surf m2 bout ss]]/intersection_ss_Lnight___surface[[#This Row],[Shape_Area]]</f>
        <v>0.81237440957772633</v>
      </c>
      <c r="AL272">
        <v>4689</v>
      </c>
      <c r="AM272">
        <f>intersection_ss_Lnight___surface[[#This Row],[Population totale 2024 ss]]*intersection_ss_Lnight___surface[[#This Row],[Part de la surface du qs dans le noise contour]]</f>
        <v>3809.2236065099587</v>
      </c>
    </row>
    <row r="273" spans="1:39" x14ac:dyDescent="0.3">
      <c r="A273">
        <v>285</v>
      </c>
      <c r="B273" t="s">
        <v>805</v>
      </c>
      <c r="C273" t="s">
        <v>806</v>
      </c>
      <c r="D273" t="s">
        <v>807</v>
      </c>
      <c r="E273" t="s">
        <v>807</v>
      </c>
      <c r="F273" t="s">
        <v>791</v>
      </c>
      <c r="G273" t="s">
        <v>792</v>
      </c>
      <c r="H273" t="s">
        <v>793</v>
      </c>
      <c r="I273" t="s">
        <v>793</v>
      </c>
      <c r="J273" t="s">
        <v>36</v>
      </c>
      <c r="K273">
        <v>21010</v>
      </c>
      <c r="L273" t="s">
        <v>794</v>
      </c>
      <c r="M273" t="s">
        <v>794</v>
      </c>
      <c r="N273" t="s">
        <v>794</v>
      </c>
      <c r="O273">
        <v>21000</v>
      </c>
      <c r="P273" t="s">
        <v>46</v>
      </c>
      <c r="Q273" t="s">
        <v>47</v>
      </c>
      <c r="R273" t="s">
        <v>48</v>
      </c>
      <c r="T273" t="s">
        <v>36</v>
      </c>
      <c r="U273" t="s">
        <v>36</v>
      </c>
      <c r="V273" t="s">
        <v>36</v>
      </c>
      <c r="W273">
        <v>4000</v>
      </c>
      <c r="X273" t="s">
        <v>49</v>
      </c>
      <c r="Y273" t="s">
        <v>50</v>
      </c>
      <c r="Z273" t="s">
        <v>51</v>
      </c>
      <c r="AA273" t="s">
        <v>37</v>
      </c>
      <c r="AB273" t="s">
        <v>52</v>
      </c>
      <c r="AC273" t="s">
        <v>53</v>
      </c>
      <c r="AD273" t="s">
        <v>54</v>
      </c>
      <c r="AE273">
        <v>29.0385946693</v>
      </c>
      <c r="AF273">
        <v>2317</v>
      </c>
      <c r="AG273">
        <v>2316.6688262100001</v>
      </c>
      <c r="AH273">
        <v>290390.62166900001</v>
      </c>
      <c r="AI273">
        <v>40</v>
      </c>
      <c r="AJ273">
        <v>94995.886194816805</v>
      </c>
      <c r="AK273" s="1">
        <f>intersection_ss_Lnight___surface[[#This Row],[surf m2 bout ss]]/intersection_ss_Lnight___surface[[#This Row],[Shape_Area]]</f>
        <v>0.32713138478382847</v>
      </c>
      <c r="AL273">
        <v>5843</v>
      </c>
      <c r="AM273">
        <f>intersection_ss_Lnight___surface[[#This Row],[Population totale 2024 ss]]*intersection_ss_Lnight___surface[[#This Row],[Part de la surface du qs dans le noise contour]]</f>
        <v>1911.4286812919097</v>
      </c>
    </row>
    <row r="274" spans="1:39" x14ac:dyDescent="0.3">
      <c r="A274">
        <v>286</v>
      </c>
      <c r="B274" t="s">
        <v>808</v>
      </c>
      <c r="C274" t="s">
        <v>809</v>
      </c>
      <c r="D274" t="s">
        <v>810</v>
      </c>
      <c r="E274" t="s">
        <v>810</v>
      </c>
      <c r="F274" t="s">
        <v>791</v>
      </c>
      <c r="G274" t="s">
        <v>792</v>
      </c>
      <c r="H274" t="s">
        <v>793</v>
      </c>
      <c r="I274" t="s">
        <v>793</v>
      </c>
      <c r="J274" t="s">
        <v>36</v>
      </c>
      <c r="K274">
        <v>21010</v>
      </c>
      <c r="L274" t="s">
        <v>794</v>
      </c>
      <c r="M274" t="s">
        <v>794</v>
      </c>
      <c r="N274" t="s">
        <v>794</v>
      </c>
      <c r="O274">
        <v>21000</v>
      </c>
      <c r="P274" t="s">
        <v>46</v>
      </c>
      <c r="Q274" t="s">
        <v>47</v>
      </c>
      <c r="R274" t="s">
        <v>48</v>
      </c>
      <c r="T274" t="s">
        <v>36</v>
      </c>
      <c r="U274" t="s">
        <v>36</v>
      </c>
      <c r="V274" t="s">
        <v>36</v>
      </c>
      <c r="W274">
        <v>4000</v>
      </c>
      <c r="X274" t="s">
        <v>49</v>
      </c>
      <c r="Y274" t="s">
        <v>50</v>
      </c>
      <c r="Z274" t="s">
        <v>51</v>
      </c>
      <c r="AA274" t="s">
        <v>37</v>
      </c>
      <c r="AB274" t="s">
        <v>52</v>
      </c>
      <c r="AC274" t="s">
        <v>53</v>
      </c>
      <c r="AD274" t="s">
        <v>54</v>
      </c>
      <c r="AE274">
        <v>10.8670119896</v>
      </c>
      <c r="AF274">
        <v>1293</v>
      </c>
      <c r="AG274">
        <v>1292.6120728000001</v>
      </c>
      <c r="AH274">
        <v>108671.860961</v>
      </c>
      <c r="AI274">
        <v>40</v>
      </c>
      <c r="AJ274">
        <v>30495.874626129</v>
      </c>
      <c r="AK274" s="1">
        <f>intersection_ss_Lnight___surface[[#This Row],[surf m2 bout ss]]/intersection_ss_Lnight___surface[[#This Row],[Shape_Area]]</f>
        <v>0.28062346918926251</v>
      </c>
      <c r="AL274">
        <v>0</v>
      </c>
      <c r="AM274">
        <f>intersection_ss_Lnight___surface[[#This Row],[Population totale 2024 ss]]*intersection_ss_Lnight___surface[[#This Row],[Part de la surface du qs dans le noise contour]]</f>
        <v>0</v>
      </c>
    </row>
    <row r="275" spans="1:39" x14ac:dyDescent="0.3">
      <c r="A275">
        <v>287</v>
      </c>
      <c r="B275" t="s">
        <v>811</v>
      </c>
      <c r="C275" t="s">
        <v>812</v>
      </c>
      <c r="D275" t="s">
        <v>813</v>
      </c>
      <c r="E275" t="s">
        <v>813</v>
      </c>
      <c r="F275" t="s">
        <v>814</v>
      </c>
      <c r="G275" t="s">
        <v>792</v>
      </c>
      <c r="H275" t="s">
        <v>793</v>
      </c>
      <c r="I275" t="s">
        <v>793</v>
      </c>
      <c r="J275" t="s">
        <v>36</v>
      </c>
      <c r="K275">
        <v>21010</v>
      </c>
      <c r="L275" t="s">
        <v>794</v>
      </c>
      <c r="M275" t="s">
        <v>794</v>
      </c>
      <c r="N275" t="s">
        <v>794</v>
      </c>
      <c r="O275">
        <v>21000</v>
      </c>
      <c r="P275" t="s">
        <v>46</v>
      </c>
      <c r="Q275" t="s">
        <v>47</v>
      </c>
      <c r="R275" t="s">
        <v>48</v>
      </c>
      <c r="T275" t="s">
        <v>36</v>
      </c>
      <c r="U275" t="s">
        <v>36</v>
      </c>
      <c r="V275" t="s">
        <v>36</v>
      </c>
      <c r="W275">
        <v>4000</v>
      </c>
      <c r="X275" t="s">
        <v>49</v>
      </c>
      <c r="Y275" t="s">
        <v>50</v>
      </c>
      <c r="Z275" t="s">
        <v>51</v>
      </c>
      <c r="AA275" t="s">
        <v>37</v>
      </c>
      <c r="AB275" t="s">
        <v>52</v>
      </c>
      <c r="AC275" t="s">
        <v>53</v>
      </c>
      <c r="AD275" t="s">
        <v>54</v>
      </c>
      <c r="AE275">
        <v>20.147582779699999</v>
      </c>
      <c r="AF275">
        <v>1963</v>
      </c>
      <c r="AG275">
        <v>1962.82992752</v>
      </c>
      <c r="AH275">
        <v>201479.08537399999</v>
      </c>
      <c r="AI275">
        <v>40</v>
      </c>
      <c r="AJ275">
        <v>183221.144433565</v>
      </c>
      <c r="AK275" s="1">
        <f>intersection_ss_Lnight___surface[[#This Row],[surf m2 bout ss]]/intersection_ss_Lnight___surface[[#This Row],[Shape_Area]]</f>
        <v>0.9093804654386668</v>
      </c>
      <c r="AL275">
        <v>2150</v>
      </c>
      <c r="AM275">
        <f>intersection_ss_Lnight___surface[[#This Row],[Population totale 2024 ss]]*intersection_ss_Lnight___surface[[#This Row],[Part de la surface du qs dans le noise contour]]</f>
        <v>1955.1680006931335</v>
      </c>
    </row>
    <row r="276" spans="1:39" x14ac:dyDescent="0.3">
      <c r="A276">
        <v>288</v>
      </c>
      <c r="B276" t="s">
        <v>815</v>
      </c>
      <c r="C276" t="s">
        <v>816</v>
      </c>
      <c r="D276" t="s">
        <v>816</v>
      </c>
      <c r="E276" t="s">
        <v>816</v>
      </c>
      <c r="F276" t="s">
        <v>814</v>
      </c>
      <c r="G276" t="s">
        <v>792</v>
      </c>
      <c r="H276" t="s">
        <v>793</v>
      </c>
      <c r="I276" t="s">
        <v>793</v>
      </c>
      <c r="J276" t="s">
        <v>36</v>
      </c>
      <c r="K276">
        <v>21010</v>
      </c>
      <c r="L276" t="s">
        <v>794</v>
      </c>
      <c r="M276" t="s">
        <v>794</v>
      </c>
      <c r="N276" t="s">
        <v>794</v>
      </c>
      <c r="O276">
        <v>21000</v>
      </c>
      <c r="P276" t="s">
        <v>46</v>
      </c>
      <c r="Q276" t="s">
        <v>47</v>
      </c>
      <c r="R276" t="s">
        <v>48</v>
      </c>
      <c r="T276" t="s">
        <v>36</v>
      </c>
      <c r="U276" t="s">
        <v>36</v>
      </c>
      <c r="V276" t="s">
        <v>36</v>
      </c>
      <c r="W276">
        <v>4000</v>
      </c>
      <c r="X276" t="s">
        <v>49</v>
      </c>
      <c r="Y276" t="s">
        <v>50</v>
      </c>
      <c r="Z276" t="s">
        <v>51</v>
      </c>
      <c r="AA276" t="s">
        <v>37</v>
      </c>
      <c r="AB276" t="s">
        <v>52</v>
      </c>
      <c r="AC276" t="s">
        <v>53</v>
      </c>
      <c r="AD276" t="s">
        <v>54</v>
      </c>
      <c r="AE276">
        <v>23.204779168999998</v>
      </c>
      <c r="AF276">
        <v>2199</v>
      </c>
      <c r="AG276">
        <v>2199.3149573699998</v>
      </c>
      <c r="AH276">
        <v>232051.52050799999</v>
      </c>
      <c r="AI276">
        <v>40</v>
      </c>
      <c r="AJ276">
        <v>35129.542282234899</v>
      </c>
      <c r="AK276" s="1">
        <f>intersection_ss_Lnight___surface[[#This Row],[surf m2 bout ss]]/intersection_ss_Lnight___surface[[#This Row],[Shape_Area]]</f>
        <v>0.15138682222521271</v>
      </c>
      <c r="AL276">
        <v>3204</v>
      </c>
      <c r="AM276">
        <f>intersection_ss_Lnight___surface[[#This Row],[Population totale 2024 ss]]*intersection_ss_Lnight___surface[[#This Row],[Part de la surface du qs dans le noise contour]]</f>
        <v>485.04337840958152</v>
      </c>
    </row>
    <row r="277" spans="1:39" x14ac:dyDescent="0.3">
      <c r="A277">
        <v>289</v>
      </c>
      <c r="B277" t="s">
        <v>815</v>
      </c>
      <c r="C277" t="s">
        <v>816</v>
      </c>
      <c r="D277" t="s">
        <v>816</v>
      </c>
      <c r="E277" t="s">
        <v>816</v>
      </c>
      <c r="F277" t="s">
        <v>814</v>
      </c>
      <c r="G277" t="s">
        <v>792</v>
      </c>
      <c r="H277" t="s">
        <v>793</v>
      </c>
      <c r="I277" t="s">
        <v>793</v>
      </c>
      <c r="J277" t="s">
        <v>36</v>
      </c>
      <c r="K277">
        <v>21010</v>
      </c>
      <c r="L277" t="s">
        <v>794</v>
      </c>
      <c r="M277" t="s">
        <v>794</v>
      </c>
      <c r="N277" t="s">
        <v>794</v>
      </c>
      <c r="O277">
        <v>21000</v>
      </c>
      <c r="P277" t="s">
        <v>46</v>
      </c>
      <c r="Q277" t="s">
        <v>47</v>
      </c>
      <c r="R277" t="s">
        <v>48</v>
      </c>
      <c r="T277" t="s">
        <v>36</v>
      </c>
      <c r="U277" t="s">
        <v>36</v>
      </c>
      <c r="V277" t="s">
        <v>36</v>
      </c>
      <c r="W277">
        <v>4000</v>
      </c>
      <c r="X277" t="s">
        <v>49</v>
      </c>
      <c r="Y277" t="s">
        <v>50</v>
      </c>
      <c r="Z277" t="s">
        <v>51</v>
      </c>
      <c r="AA277" t="s">
        <v>37</v>
      </c>
      <c r="AB277" t="s">
        <v>52</v>
      </c>
      <c r="AC277" t="s">
        <v>53</v>
      </c>
      <c r="AD277" t="s">
        <v>54</v>
      </c>
      <c r="AE277">
        <v>23.204779168999998</v>
      </c>
      <c r="AF277">
        <v>2199</v>
      </c>
      <c r="AG277">
        <v>2199.3149573699998</v>
      </c>
      <c r="AH277">
        <v>232051.52050799999</v>
      </c>
      <c r="AI277">
        <v>41</v>
      </c>
      <c r="AJ277">
        <v>196942.60331177601</v>
      </c>
      <c r="AK277" s="1">
        <f>intersection_ss_Lnight___surface[[#This Row],[surf m2 bout ss]]/intersection_ss_Lnight___surface[[#This Row],[Shape_Area]]</f>
        <v>0.84870205926957676</v>
      </c>
      <c r="AL277">
        <v>3204</v>
      </c>
      <c r="AM277">
        <f>intersection_ss_Lnight___surface[[#This Row],[Population totale 2024 ss]]*intersection_ss_Lnight___surface[[#This Row],[Part de la surface du qs dans le noise contour]]</f>
        <v>2719.2413978997238</v>
      </c>
    </row>
    <row r="278" spans="1:39" x14ac:dyDescent="0.3">
      <c r="A278">
        <v>290</v>
      </c>
      <c r="B278" t="s">
        <v>817</v>
      </c>
      <c r="C278" t="s">
        <v>818</v>
      </c>
      <c r="D278" t="s">
        <v>819</v>
      </c>
      <c r="E278" t="s">
        <v>819</v>
      </c>
      <c r="F278" t="s">
        <v>814</v>
      </c>
      <c r="G278" t="s">
        <v>792</v>
      </c>
      <c r="H278" t="s">
        <v>793</v>
      </c>
      <c r="I278" t="s">
        <v>793</v>
      </c>
      <c r="J278" t="s">
        <v>36</v>
      </c>
      <c r="K278">
        <v>21010</v>
      </c>
      <c r="L278" t="s">
        <v>794</v>
      </c>
      <c r="M278" t="s">
        <v>794</v>
      </c>
      <c r="N278" t="s">
        <v>794</v>
      </c>
      <c r="O278">
        <v>21000</v>
      </c>
      <c r="P278" t="s">
        <v>46</v>
      </c>
      <c r="Q278" t="s">
        <v>47</v>
      </c>
      <c r="R278" t="s">
        <v>48</v>
      </c>
      <c r="T278" t="s">
        <v>36</v>
      </c>
      <c r="U278" t="s">
        <v>36</v>
      </c>
      <c r="V278" t="s">
        <v>36</v>
      </c>
      <c r="W278">
        <v>4000</v>
      </c>
      <c r="X278" t="s">
        <v>49</v>
      </c>
      <c r="Y278" t="s">
        <v>50</v>
      </c>
      <c r="Z278" t="s">
        <v>51</v>
      </c>
      <c r="AA278" t="s">
        <v>37</v>
      </c>
      <c r="AB278" t="s">
        <v>52</v>
      </c>
      <c r="AC278" t="s">
        <v>53</v>
      </c>
      <c r="AD278" t="s">
        <v>54</v>
      </c>
      <c r="AE278">
        <v>8.6882466316099993</v>
      </c>
      <c r="AF278">
        <v>1449</v>
      </c>
      <c r="AG278">
        <v>1448.9074083600001</v>
      </c>
      <c r="AH278">
        <v>86883.863093499996</v>
      </c>
      <c r="AI278">
        <v>40</v>
      </c>
      <c r="AJ278">
        <v>69167.044960767002</v>
      </c>
      <c r="AK278" s="1">
        <f>intersection_ss_Lnight___surface[[#This Row],[surf m2 bout ss]]/intersection_ss_Lnight___surface[[#This Row],[Shape_Area]]</f>
        <v>0.79608620632272009</v>
      </c>
      <c r="AL278">
        <v>1349</v>
      </c>
      <c r="AM278">
        <f>intersection_ss_Lnight___surface[[#This Row],[Population totale 2024 ss]]*intersection_ss_Lnight___surface[[#This Row],[Part de la surface du qs dans le noise contour]]</f>
        <v>1073.9202923293494</v>
      </c>
    </row>
    <row r="279" spans="1:39" x14ac:dyDescent="0.3">
      <c r="A279">
        <v>291</v>
      </c>
      <c r="B279" t="s">
        <v>820</v>
      </c>
      <c r="C279" t="s">
        <v>821</v>
      </c>
      <c r="D279" t="s">
        <v>822</v>
      </c>
      <c r="E279" t="s">
        <v>822</v>
      </c>
      <c r="F279" t="s">
        <v>814</v>
      </c>
      <c r="G279" t="s">
        <v>792</v>
      </c>
      <c r="H279" t="s">
        <v>793</v>
      </c>
      <c r="I279" t="s">
        <v>793</v>
      </c>
      <c r="J279" t="s">
        <v>36</v>
      </c>
      <c r="K279">
        <v>21010</v>
      </c>
      <c r="L279" t="s">
        <v>794</v>
      </c>
      <c r="M279" t="s">
        <v>794</v>
      </c>
      <c r="N279" t="s">
        <v>794</v>
      </c>
      <c r="O279">
        <v>21000</v>
      </c>
      <c r="P279" t="s">
        <v>46</v>
      </c>
      <c r="Q279" t="s">
        <v>47</v>
      </c>
      <c r="R279" t="s">
        <v>48</v>
      </c>
      <c r="T279" t="s">
        <v>36</v>
      </c>
      <c r="U279" t="s">
        <v>36</v>
      </c>
      <c r="V279" t="s">
        <v>36</v>
      </c>
      <c r="W279">
        <v>4000</v>
      </c>
      <c r="X279" t="s">
        <v>49</v>
      </c>
      <c r="Y279" t="s">
        <v>50</v>
      </c>
      <c r="Z279" t="s">
        <v>51</v>
      </c>
      <c r="AA279" t="s">
        <v>37</v>
      </c>
      <c r="AB279" t="s">
        <v>52</v>
      </c>
      <c r="AC279" t="s">
        <v>53</v>
      </c>
      <c r="AD279" t="s">
        <v>54</v>
      </c>
      <c r="AE279">
        <v>27.370915006699999</v>
      </c>
      <c r="AF279">
        <v>2468</v>
      </c>
      <c r="AG279">
        <v>2467.5598466599999</v>
      </c>
      <c r="AH279">
        <v>273713.54257200001</v>
      </c>
      <c r="AI279">
        <v>40</v>
      </c>
      <c r="AJ279">
        <v>6675.2750347643196</v>
      </c>
      <c r="AK279" s="1">
        <f>intersection_ss_Lnight___surface[[#This Row],[surf m2 bout ss]]/intersection_ss_Lnight___surface[[#This Row],[Shape_Area]]</f>
        <v>2.4387814252955338E-2</v>
      </c>
      <c r="AL279">
        <v>4559</v>
      </c>
      <c r="AM279">
        <f>intersection_ss_Lnight___surface[[#This Row],[Population totale 2024 ss]]*intersection_ss_Lnight___surface[[#This Row],[Part de la surface du qs dans le noise contour]]</f>
        <v>111.18404517922339</v>
      </c>
    </row>
    <row r="280" spans="1:39" x14ac:dyDescent="0.3">
      <c r="A280">
        <v>292</v>
      </c>
      <c r="B280" t="s">
        <v>820</v>
      </c>
      <c r="C280" t="s">
        <v>821</v>
      </c>
      <c r="D280" t="s">
        <v>822</v>
      </c>
      <c r="E280" t="s">
        <v>822</v>
      </c>
      <c r="F280" t="s">
        <v>814</v>
      </c>
      <c r="G280" t="s">
        <v>792</v>
      </c>
      <c r="H280" t="s">
        <v>793</v>
      </c>
      <c r="I280" t="s">
        <v>793</v>
      </c>
      <c r="J280" t="s">
        <v>36</v>
      </c>
      <c r="K280">
        <v>21010</v>
      </c>
      <c r="L280" t="s">
        <v>794</v>
      </c>
      <c r="M280" t="s">
        <v>794</v>
      </c>
      <c r="N280" t="s">
        <v>794</v>
      </c>
      <c r="O280">
        <v>21000</v>
      </c>
      <c r="P280" t="s">
        <v>46</v>
      </c>
      <c r="Q280" t="s">
        <v>47</v>
      </c>
      <c r="R280" t="s">
        <v>48</v>
      </c>
      <c r="T280" t="s">
        <v>36</v>
      </c>
      <c r="U280" t="s">
        <v>36</v>
      </c>
      <c r="V280" t="s">
        <v>36</v>
      </c>
      <c r="W280">
        <v>4000</v>
      </c>
      <c r="X280" t="s">
        <v>49</v>
      </c>
      <c r="Y280" t="s">
        <v>50</v>
      </c>
      <c r="Z280" t="s">
        <v>51</v>
      </c>
      <c r="AA280" t="s">
        <v>37</v>
      </c>
      <c r="AB280" t="s">
        <v>52</v>
      </c>
      <c r="AC280" t="s">
        <v>53</v>
      </c>
      <c r="AD280" t="s">
        <v>54</v>
      </c>
      <c r="AE280">
        <v>27.370915006699999</v>
      </c>
      <c r="AF280">
        <v>2468</v>
      </c>
      <c r="AG280">
        <v>2467.5598466599999</v>
      </c>
      <c r="AH280">
        <v>273713.54257200001</v>
      </c>
      <c r="AI280">
        <v>41</v>
      </c>
      <c r="AJ280">
        <v>252831.39372225001</v>
      </c>
      <c r="AK280" s="1">
        <f>intersection_ss_Lnight___surface[[#This Row],[surf m2 bout ss]]/intersection_ss_Lnight___surface[[#This Row],[Shape_Area]]</f>
        <v>0.92370801731793384</v>
      </c>
      <c r="AL280">
        <v>4559</v>
      </c>
      <c r="AM280">
        <f>intersection_ss_Lnight___surface[[#This Row],[Population totale 2024 ss]]*intersection_ss_Lnight___surface[[#This Row],[Part de la surface du qs dans le noise contour]]</f>
        <v>4211.1848509524607</v>
      </c>
    </row>
    <row r="281" spans="1:39" x14ac:dyDescent="0.3">
      <c r="A281">
        <v>293</v>
      </c>
      <c r="B281" t="s">
        <v>820</v>
      </c>
      <c r="C281" t="s">
        <v>821</v>
      </c>
      <c r="D281" t="s">
        <v>822</v>
      </c>
      <c r="E281" t="s">
        <v>822</v>
      </c>
      <c r="F281" t="s">
        <v>814</v>
      </c>
      <c r="G281" t="s">
        <v>792</v>
      </c>
      <c r="H281" t="s">
        <v>793</v>
      </c>
      <c r="I281" t="s">
        <v>793</v>
      </c>
      <c r="J281" t="s">
        <v>36</v>
      </c>
      <c r="K281">
        <v>21010</v>
      </c>
      <c r="L281" t="s">
        <v>794</v>
      </c>
      <c r="M281" t="s">
        <v>794</v>
      </c>
      <c r="N281" t="s">
        <v>794</v>
      </c>
      <c r="O281">
        <v>21000</v>
      </c>
      <c r="P281" t="s">
        <v>46</v>
      </c>
      <c r="Q281" t="s">
        <v>47</v>
      </c>
      <c r="R281" t="s">
        <v>48</v>
      </c>
      <c r="T281" t="s">
        <v>36</v>
      </c>
      <c r="U281" t="s">
        <v>36</v>
      </c>
      <c r="V281" t="s">
        <v>36</v>
      </c>
      <c r="W281">
        <v>4000</v>
      </c>
      <c r="X281" t="s">
        <v>49</v>
      </c>
      <c r="Y281" t="s">
        <v>50</v>
      </c>
      <c r="Z281" t="s">
        <v>51</v>
      </c>
      <c r="AA281" t="s">
        <v>37</v>
      </c>
      <c r="AB281" t="s">
        <v>52</v>
      </c>
      <c r="AC281" t="s">
        <v>53</v>
      </c>
      <c r="AD281" t="s">
        <v>54</v>
      </c>
      <c r="AE281">
        <v>27.370915006699999</v>
      </c>
      <c r="AF281">
        <v>2468</v>
      </c>
      <c r="AG281">
        <v>2467.5598466599999</v>
      </c>
      <c r="AH281">
        <v>273713.54257200001</v>
      </c>
      <c r="AI281">
        <v>42</v>
      </c>
      <c r="AJ281">
        <v>14231.1065524239</v>
      </c>
      <c r="AK281" s="1">
        <f>intersection_ss_Lnight___surface[[#This Row],[surf m2 bout ss]]/intersection_ss_Lnight___surface[[#This Row],[Shape_Area]]</f>
        <v>5.1992701635069541E-2</v>
      </c>
      <c r="AL281">
        <v>4559</v>
      </c>
      <c r="AM281">
        <f>intersection_ss_Lnight___surface[[#This Row],[Population totale 2024 ss]]*intersection_ss_Lnight___surface[[#This Row],[Part de la surface du qs dans le noise contour]]</f>
        <v>237.03472675428205</v>
      </c>
    </row>
    <row r="282" spans="1:39" x14ac:dyDescent="0.3">
      <c r="A282">
        <v>294</v>
      </c>
      <c r="B282" t="s">
        <v>823</v>
      </c>
      <c r="C282" t="s">
        <v>824</v>
      </c>
      <c r="D282" t="s">
        <v>824</v>
      </c>
      <c r="E282" t="s">
        <v>824</v>
      </c>
      <c r="F282" t="s">
        <v>814</v>
      </c>
      <c r="G282" t="s">
        <v>792</v>
      </c>
      <c r="H282" t="s">
        <v>793</v>
      </c>
      <c r="I282" t="s">
        <v>793</v>
      </c>
      <c r="J282" t="s">
        <v>36</v>
      </c>
      <c r="K282">
        <v>21010</v>
      </c>
      <c r="L282" t="s">
        <v>794</v>
      </c>
      <c r="M282" t="s">
        <v>794</v>
      </c>
      <c r="N282" t="s">
        <v>794</v>
      </c>
      <c r="O282">
        <v>21000</v>
      </c>
      <c r="P282" t="s">
        <v>46</v>
      </c>
      <c r="Q282" t="s">
        <v>47</v>
      </c>
      <c r="R282" t="s">
        <v>48</v>
      </c>
      <c r="T282" t="s">
        <v>36</v>
      </c>
      <c r="U282" t="s">
        <v>36</v>
      </c>
      <c r="V282" t="s">
        <v>36</v>
      </c>
      <c r="W282">
        <v>4000</v>
      </c>
      <c r="X282" t="s">
        <v>49</v>
      </c>
      <c r="Y282" t="s">
        <v>50</v>
      </c>
      <c r="Z282" t="s">
        <v>51</v>
      </c>
      <c r="AA282" t="s">
        <v>37</v>
      </c>
      <c r="AB282" t="s">
        <v>52</v>
      </c>
      <c r="AC282" t="s">
        <v>53</v>
      </c>
      <c r="AD282" t="s">
        <v>54</v>
      </c>
      <c r="AE282">
        <v>22.337441055700001</v>
      </c>
      <c r="AF282">
        <v>2281</v>
      </c>
      <c r="AG282">
        <v>2280.8900388100001</v>
      </c>
      <c r="AH282">
        <v>223378.013228</v>
      </c>
      <c r="AI282">
        <v>40</v>
      </c>
      <c r="AJ282">
        <v>221636.606599989</v>
      </c>
      <c r="AK282" s="1">
        <f>intersection_ss_Lnight___surface[[#This Row],[surf m2 bout ss]]/intersection_ss_Lnight___surface[[#This Row],[Shape_Area]]</f>
        <v>0.99220421650794455</v>
      </c>
      <c r="AL282">
        <v>4377</v>
      </c>
      <c r="AM282">
        <f>intersection_ss_Lnight___surface[[#This Row],[Population totale 2024 ss]]*intersection_ss_Lnight___surface[[#This Row],[Part de la surface du qs dans le noise contour]]</f>
        <v>4342.8778556552734</v>
      </c>
    </row>
    <row r="283" spans="1:39" x14ac:dyDescent="0.3">
      <c r="A283">
        <v>295</v>
      </c>
      <c r="B283" t="s">
        <v>825</v>
      </c>
      <c r="C283" t="s">
        <v>826</v>
      </c>
      <c r="D283" t="s">
        <v>827</v>
      </c>
      <c r="E283" t="s">
        <v>827</v>
      </c>
      <c r="F283" t="s">
        <v>814</v>
      </c>
      <c r="G283" t="s">
        <v>792</v>
      </c>
      <c r="H283" t="s">
        <v>793</v>
      </c>
      <c r="I283" t="s">
        <v>793</v>
      </c>
      <c r="J283" t="s">
        <v>36</v>
      </c>
      <c r="K283">
        <v>21010</v>
      </c>
      <c r="L283" t="s">
        <v>794</v>
      </c>
      <c r="M283" t="s">
        <v>794</v>
      </c>
      <c r="N283" t="s">
        <v>794</v>
      </c>
      <c r="O283">
        <v>21000</v>
      </c>
      <c r="P283" t="s">
        <v>46</v>
      </c>
      <c r="Q283" t="s">
        <v>47</v>
      </c>
      <c r="R283" t="s">
        <v>48</v>
      </c>
      <c r="T283" t="s">
        <v>36</v>
      </c>
      <c r="U283" t="s">
        <v>36</v>
      </c>
      <c r="V283" t="s">
        <v>36</v>
      </c>
      <c r="W283">
        <v>4000</v>
      </c>
      <c r="X283" t="s">
        <v>49</v>
      </c>
      <c r="Y283" t="s">
        <v>50</v>
      </c>
      <c r="Z283" t="s">
        <v>51</v>
      </c>
      <c r="AA283" t="s">
        <v>37</v>
      </c>
      <c r="AB283" t="s">
        <v>52</v>
      </c>
      <c r="AC283" t="s">
        <v>53</v>
      </c>
      <c r="AD283" t="s">
        <v>54</v>
      </c>
      <c r="AE283">
        <v>20.1122919588</v>
      </c>
      <c r="AF283">
        <v>1994</v>
      </c>
      <c r="AG283">
        <v>1994.00909993</v>
      </c>
      <c r="AH283">
        <v>201126.14661200001</v>
      </c>
      <c r="AI283">
        <v>40</v>
      </c>
      <c r="AJ283">
        <v>196128.293007448</v>
      </c>
      <c r="AK283" s="1">
        <f>intersection_ss_Lnight___surface[[#This Row],[surf m2 bout ss]]/intersection_ss_Lnight___surface[[#This Row],[Shape_Area]]</f>
        <v>0.9751506520224168</v>
      </c>
      <c r="AL283">
        <v>2</v>
      </c>
      <c r="AM283">
        <f>intersection_ss_Lnight___surface[[#This Row],[Population totale 2024 ss]]*intersection_ss_Lnight___surface[[#This Row],[Part de la surface du qs dans le noise contour]]</f>
        <v>1.9503013040448336</v>
      </c>
    </row>
    <row r="284" spans="1:39" x14ac:dyDescent="0.3">
      <c r="A284">
        <v>296</v>
      </c>
      <c r="B284" t="s">
        <v>825</v>
      </c>
      <c r="C284" t="s">
        <v>826</v>
      </c>
      <c r="D284" t="s">
        <v>827</v>
      </c>
      <c r="E284" t="s">
        <v>827</v>
      </c>
      <c r="F284" t="s">
        <v>814</v>
      </c>
      <c r="G284" t="s">
        <v>792</v>
      </c>
      <c r="H284" t="s">
        <v>793</v>
      </c>
      <c r="I284" t="s">
        <v>793</v>
      </c>
      <c r="J284" t="s">
        <v>36</v>
      </c>
      <c r="K284">
        <v>21010</v>
      </c>
      <c r="L284" t="s">
        <v>794</v>
      </c>
      <c r="M284" t="s">
        <v>794</v>
      </c>
      <c r="N284" t="s">
        <v>794</v>
      </c>
      <c r="O284">
        <v>21000</v>
      </c>
      <c r="P284" t="s">
        <v>46</v>
      </c>
      <c r="Q284" t="s">
        <v>47</v>
      </c>
      <c r="R284" t="s">
        <v>48</v>
      </c>
      <c r="T284" t="s">
        <v>36</v>
      </c>
      <c r="U284" t="s">
        <v>36</v>
      </c>
      <c r="V284" t="s">
        <v>36</v>
      </c>
      <c r="W284">
        <v>4000</v>
      </c>
      <c r="X284" t="s">
        <v>49</v>
      </c>
      <c r="Y284" t="s">
        <v>50</v>
      </c>
      <c r="Z284" t="s">
        <v>51</v>
      </c>
      <c r="AA284" t="s">
        <v>37</v>
      </c>
      <c r="AB284" t="s">
        <v>52</v>
      </c>
      <c r="AC284" t="s">
        <v>53</v>
      </c>
      <c r="AD284" t="s">
        <v>54</v>
      </c>
      <c r="AE284">
        <v>20.1122919588</v>
      </c>
      <c r="AF284">
        <v>1994</v>
      </c>
      <c r="AG284">
        <v>1994.00909993</v>
      </c>
      <c r="AH284">
        <v>201126.14661200001</v>
      </c>
      <c r="AI284">
        <v>41</v>
      </c>
      <c r="AJ284">
        <v>5015.8679003827301</v>
      </c>
      <c r="AK284" s="1">
        <f>intersection_ss_Lnight___surface[[#This Row],[surf m2 bout ss]]/intersection_ss_Lnight___surface[[#This Row],[Shape_Area]]</f>
        <v>2.4938915128021762E-2</v>
      </c>
      <c r="AL284">
        <v>2</v>
      </c>
      <c r="AM284">
        <f>intersection_ss_Lnight___surface[[#This Row],[Population totale 2024 ss]]*intersection_ss_Lnight___surface[[#This Row],[Part de la surface du qs dans le noise contour]]</f>
        <v>4.9877830256043525E-2</v>
      </c>
    </row>
    <row r="285" spans="1:39" x14ac:dyDescent="0.3">
      <c r="A285">
        <v>297</v>
      </c>
      <c r="B285" t="s">
        <v>828</v>
      </c>
      <c r="C285" t="s">
        <v>829</v>
      </c>
      <c r="D285" t="s">
        <v>830</v>
      </c>
      <c r="E285" t="s">
        <v>830</v>
      </c>
      <c r="F285" t="s">
        <v>814</v>
      </c>
      <c r="G285" t="s">
        <v>792</v>
      </c>
      <c r="H285" t="s">
        <v>793</v>
      </c>
      <c r="I285" t="s">
        <v>793</v>
      </c>
      <c r="J285" t="s">
        <v>36</v>
      </c>
      <c r="K285">
        <v>21010</v>
      </c>
      <c r="L285" t="s">
        <v>794</v>
      </c>
      <c r="M285" t="s">
        <v>794</v>
      </c>
      <c r="N285" t="s">
        <v>794</v>
      </c>
      <c r="O285">
        <v>21000</v>
      </c>
      <c r="P285" t="s">
        <v>46</v>
      </c>
      <c r="Q285" t="s">
        <v>47</v>
      </c>
      <c r="R285" t="s">
        <v>48</v>
      </c>
      <c r="T285" t="s">
        <v>36</v>
      </c>
      <c r="U285" t="s">
        <v>36</v>
      </c>
      <c r="V285" t="s">
        <v>36</v>
      </c>
      <c r="W285">
        <v>4000</v>
      </c>
      <c r="X285" t="s">
        <v>49</v>
      </c>
      <c r="Y285" t="s">
        <v>50</v>
      </c>
      <c r="Z285" t="s">
        <v>51</v>
      </c>
      <c r="AA285" t="s">
        <v>37</v>
      </c>
      <c r="AB285" t="s">
        <v>52</v>
      </c>
      <c r="AC285" t="s">
        <v>53</v>
      </c>
      <c r="AD285" t="s">
        <v>54</v>
      </c>
      <c r="AE285">
        <v>47.961890463099998</v>
      </c>
      <c r="AF285">
        <v>3867</v>
      </c>
      <c r="AG285">
        <v>3866.8896239400001</v>
      </c>
      <c r="AH285">
        <v>479626.60216100002</v>
      </c>
      <c r="AI285">
        <v>40</v>
      </c>
      <c r="AJ285">
        <v>202330.98780798199</v>
      </c>
      <c r="AK285" s="1">
        <f>intersection_ss_Lnight___surface[[#This Row],[surf m2 bout ss]]/intersection_ss_Lnight___surface[[#This Row],[Shape_Area]]</f>
        <v>0.42185105433343739</v>
      </c>
      <c r="AL285">
        <v>3022</v>
      </c>
      <c r="AM285">
        <f>intersection_ss_Lnight___surface[[#This Row],[Population totale 2024 ss]]*intersection_ss_Lnight___surface[[#This Row],[Part de la surface du qs dans le noise contour]]</f>
        <v>1274.8338861956479</v>
      </c>
    </row>
    <row r="286" spans="1:39" x14ac:dyDescent="0.3">
      <c r="A286">
        <v>298</v>
      </c>
      <c r="B286" t="s">
        <v>828</v>
      </c>
      <c r="C286" t="s">
        <v>829</v>
      </c>
      <c r="D286" t="s">
        <v>830</v>
      </c>
      <c r="E286" t="s">
        <v>830</v>
      </c>
      <c r="F286" t="s">
        <v>814</v>
      </c>
      <c r="G286" t="s">
        <v>792</v>
      </c>
      <c r="H286" t="s">
        <v>793</v>
      </c>
      <c r="I286" t="s">
        <v>793</v>
      </c>
      <c r="J286" t="s">
        <v>36</v>
      </c>
      <c r="K286">
        <v>21010</v>
      </c>
      <c r="L286" t="s">
        <v>794</v>
      </c>
      <c r="M286" t="s">
        <v>794</v>
      </c>
      <c r="N286" t="s">
        <v>794</v>
      </c>
      <c r="O286">
        <v>21000</v>
      </c>
      <c r="P286" t="s">
        <v>46</v>
      </c>
      <c r="Q286" t="s">
        <v>47</v>
      </c>
      <c r="R286" t="s">
        <v>48</v>
      </c>
      <c r="T286" t="s">
        <v>36</v>
      </c>
      <c r="U286" t="s">
        <v>36</v>
      </c>
      <c r="V286" t="s">
        <v>36</v>
      </c>
      <c r="W286">
        <v>4000</v>
      </c>
      <c r="X286" t="s">
        <v>49</v>
      </c>
      <c r="Y286" t="s">
        <v>50</v>
      </c>
      <c r="Z286" t="s">
        <v>51</v>
      </c>
      <c r="AA286" t="s">
        <v>37</v>
      </c>
      <c r="AB286" t="s">
        <v>52</v>
      </c>
      <c r="AC286" t="s">
        <v>53</v>
      </c>
      <c r="AD286" t="s">
        <v>54</v>
      </c>
      <c r="AE286">
        <v>47.961890463099998</v>
      </c>
      <c r="AF286">
        <v>3867</v>
      </c>
      <c r="AG286">
        <v>3866.8896239400001</v>
      </c>
      <c r="AH286">
        <v>479626.60216100002</v>
      </c>
      <c r="AI286">
        <v>41</v>
      </c>
      <c r="AJ286">
        <v>227482.29880479499</v>
      </c>
      <c r="AK286" s="1">
        <f>intersection_ss_Lnight___surface[[#This Row],[surf m2 bout ss]]/intersection_ss_Lnight___surface[[#This Row],[Shape_Area]]</f>
        <v>0.47429041212445971</v>
      </c>
      <c r="AL286">
        <v>3022</v>
      </c>
      <c r="AM286">
        <f>intersection_ss_Lnight___surface[[#This Row],[Population totale 2024 ss]]*intersection_ss_Lnight___surface[[#This Row],[Part de la surface du qs dans le noise contour]]</f>
        <v>1433.3056254401172</v>
      </c>
    </row>
    <row r="287" spans="1:39" x14ac:dyDescent="0.3">
      <c r="A287">
        <v>299</v>
      </c>
      <c r="B287" t="s">
        <v>838</v>
      </c>
      <c r="C287" t="s">
        <v>839</v>
      </c>
      <c r="D287" t="s">
        <v>466</v>
      </c>
      <c r="E287" t="s">
        <v>466</v>
      </c>
      <c r="F287" t="s">
        <v>837</v>
      </c>
      <c r="G287" t="s">
        <v>792</v>
      </c>
      <c r="H287" t="s">
        <v>793</v>
      </c>
      <c r="I287" t="s">
        <v>793</v>
      </c>
      <c r="J287" t="s">
        <v>36</v>
      </c>
      <c r="K287">
        <v>21010</v>
      </c>
      <c r="L287" t="s">
        <v>794</v>
      </c>
      <c r="M287" t="s">
        <v>794</v>
      </c>
      <c r="N287" t="s">
        <v>794</v>
      </c>
      <c r="O287">
        <v>21000</v>
      </c>
      <c r="P287" t="s">
        <v>46</v>
      </c>
      <c r="Q287" t="s">
        <v>47</v>
      </c>
      <c r="R287" t="s">
        <v>48</v>
      </c>
      <c r="T287" t="s">
        <v>36</v>
      </c>
      <c r="U287" t="s">
        <v>36</v>
      </c>
      <c r="V287" t="s">
        <v>36</v>
      </c>
      <c r="W287">
        <v>4000</v>
      </c>
      <c r="X287" t="s">
        <v>49</v>
      </c>
      <c r="Y287" t="s">
        <v>50</v>
      </c>
      <c r="Z287" t="s">
        <v>51</v>
      </c>
      <c r="AA287" t="s">
        <v>37</v>
      </c>
      <c r="AB287" t="s">
        <v>52</v>
      </c>
      <c r="AC287" t="s">
        <v>53</v>
      </c>
      <c r="AD287" t="s">
        <v>54</v>
      </c>
      <c r="AE287">
        <v>16.442175370000001</v>
      </c>
      <c r="AF287">
        <v>1645</v>
      </c>
      <c r="AG287">
        <v>1645.2853914899999</v>
      </c>
      <c r="AH287">
        <v>164424.40259799999</v>
      </c>
      <c r="AI287">
        <v>40</v>
      </c>
      <c r="AJ287">
        <v>83391.955620314504</v>
      </c>
      <c r="AK287" s="1">
        <f>intersection_ss_Lnight___surface[[#This Row],[surf m2 bout ss]]/intersection_ss_Lnight___surface[[#This Row],[Shape_Area]]</f>
        <v>0.50717505615148184</v>
      </c>
      <c r="AL287">
        <v>94</v>
      </c>
      <c r="AM287">
        <f>intersection_ss_Lnight___surface[[#This Row],[Population totale 2024 ss]]*intersection_ss_Lnight___surface[[#This Row],[Part de la surface du qs dans le noise contour]]</f>
        <v>47.674455278239293</v>
      </c>
    </row>
    <row r="288" spans="1:39" x14ac:dyDescent="0.3">
      <c r="A288">
        <v>300</v>
      </c>
      <c r="B288" t="s">
        <v>840</v>
      </c>
      <c r="C288" t="s">
        <v>841</v>
      </c>
      <c r="D288" t="s">
        <v>842</v>
      </c>
      <c r="E288" t="s">
        <v>842</v>
      </c>
      <c r="F288" t="s">
        <v>843</v>
      </c>
      <c r="G288" t="s">
        <v>792</v>
      </c>
      <c r="H288" t="s">
        <v>793</v>
      </c>
      <c r="I288" t="s">
        <v>793</v>
      </c>
      <c r="J288" t="s">
        <v>36</v>
      </c>
      <c r="K288">
        <v>21010</v>
      </c>
      <c r="L288" t="s">
        <v>794</v>
      </c>
      <c r="M288" t="s">
        <v>794</v>
      </c>
      <c r="N288" t="s">
        <v>794</v>
      </c>
      <c r="O288">
        <v>21000</v>
      </c>
      <c r="P288" t="s">
        <v>46</v>
      </c>
      <c r="Q288" t="s">
        <v>47</v>
      </c>
      <c r="R288" t="s">
        <v>48</v>
      </c>
      <c r="T288" t="s">
        <v>36</v>
      </c>
      <c r="U288" t="s">
        <v>36</v>
      </c>
      <c r="V288" t="s">
        <v>36</v>
      </c>
      <c r="W288">
        <v>4000</v>
      </c>
      <c r="X288" t="s">
        <v>49</v>
      </c>
      <c r="Y288" t="s">
        <v>50</v>
      </c>
      <c r="Z288" t="s">
        <v>51</v>
      </c>
      <c r="AA288" t="s">
        <v>37</v>
      </c>
      <c r="AB288" t="s">
        <v>52</v>
      </c>
      <c r="AC288" t="s">
        <v>53</v>
      </c>
      <c r="AD288" t="s">
        <v>54</v>
      </c>
      <c r="AE288">
        <v>76.372985494399998</v>
      </c>
      <c r="AF288">
        <v>5160</v>
      </c>
      <c r="AG288">
        <v>5160.4852211500001</v>
      </c>
      <c r="AH288">
        <v>763742.12937800004</v>
      </c>
      <c r="AI288">
        <v>40</v>
      </c>
      <c r="AJ288">
        <v>542898.85288599494</v>
      </c>
      <c r="AK288" s="1">
        <f>intersection_ss_Lnight___surface[[#This Row],[surf m2 bout ss]]/intersection_ss_Lnight___surface[[#This Row],[Shape_Area]]</f>
        <v>0.71084052064554526</v>
      </c>
      <c r="AL288">
        <v>22</v>
      </c>
      <c r="AM288">
        <f>intersection_ss_Lnight___surface[[#This Row],[Population totale 2024 ss]]*intersection_ss_Lnight___surface[[#This Row],[Part de la surface du qs dans le noise contour]]</f>
        <v>15.638491454201995</v>
      </c>
    </row>
    <row r="289" spans="1:39" x14ac:dyDescent="0.3">
      <c r="A289">
        <v>301</v>
      </c>
      <c r="B289" t="s">
        <v>840</v>
      </c>
      <c r="C289" t="s">
        <v>841</v>
      </c>
      <c r="D289" t="s">
        <v>842</v>
      </c>
      <c r="E289" t="s">
        <v>842</v>
      </c>
      <c r="F289" t="s">
        <v>843</v>
      </c>
      <c r="G289" t="s">
        <v>792</v>
      </c>
      <c r="H289" t="s">
        <v>793</v>
      </c>
      <c r="I289" t="s">
        <v>793</v>
      </c>
      <c r="J289" t="s">
        <v>36</v>
      </c>
      <c r="K289">
        <v>21010</v>
      </c>
      <c r="L289" t="s">
        <v>794</v>
      </c>
      <c r="M289" t="s">
        <v>794</v>
      </c>
      <c r="N289" t="s">
        <v>794</v>
      </c>
      <c r="O289">
        <v>21000</v>
      </c>
      <c r="P289" t="s">
        <v>46</v>
      </c>
      <c r="Q289" t="s">
        <v>47</v>
      </c>
      <c r="R289" t="s">
        <v>48</v>
      </c>
      <c r="T289" t="s">
        <v>36</v>
      </c>
      <c r="U289" t="s">
        <v>36</v>
      </c>
      <c r="V289" t="s">
        <v>36</v>
      </c>
      <c r="W289">
        <v>4000</v>
      </c>
      <c r="X289" t="s">
        <v>49</v>
      </c>
      <c r="Y289" t="s">
        <v>50</v>
      </c>
      <c r="Z289" t="s">
        <v>51</v>
      </c>
      <c r="AA289" t="s">
        <v>37</v>
      </c>
      <c r="AB289" t="s">
        <v>52</v>
      </c>
      <c r="AC289" t="s">
        <v>53</v>
      </c>
      <c r="AD289" t="s">
        <v>54</v>
      </c>
      <c r="AE289">
        <v>76.372985494399998</v>
      </c>
      <c r="AF289">
        <v>5160</v>
      </c>
      <c r="AG289">
        <v>5160.4852211500001</v>
      </c>
      <c r="AH289">
        <v>763742.12937800004</v>
      </c>
      <c r="AI289">
        <v>41</v>
      </c>
      <c r="AJ289">
        <v>198306.004944952</v>
      </c>
      <c r="AK289" s="1">
        <f>intersection_ss_Lnight___surface[[#This Row],[surf m2 bout ss]]/intersection_ss_Lnight___surface[[#This Row],[Shape_Area]]</f>
        <v>0.25965047274065473</v>
      </c>
      <c r="AL289">
        <v>22</v>
      </c>
      <c r="AM289">
        <f>intersection_ss_Lnight___surface[[#This Row],[Population totale 2024 ss]]*intersection_ss_Lnight___surface[[#This Row],[Part de la surface du qs dans le noise contour]]</f>
        <v>5.7123104002944043</v>
      </c>
    </row>
    <row r="290" spans="1:39" x14ac:dyDescent="0.3">
      <c r="A290">
        <v>302</v>
      </c>
      <c r="B290" t="s">
        <v>844</v>
      </c>
      <c r="C290" t="s">
        <v>845</v>
      </c>
      <c r="D290" t="s">
        <v>845</v>
      </c>
      <c r="E290" t="s">
        <v>845</v>
      </c>
      <c r="F290" t="s">
        <v>843</v>
      </c>
      <c r="G290" t="s">
        <v>792</v>
      </c>
      <c r="H290" t="s">
        <v>793</v>
      </c>
      <c r="I290" t="s">
        <v>793</v>
      </c>
      <c r="J290" t="s">
        <v>36</v>
      </c>
      <c r="K290">
        <v>21010</v>
      </c>
      <c r="L290" t="s">
        <v>794</v>
      </c>
      <c r="M290" t="s">
        <v>794</v>
      </c>
      <c r="N290" t="s">
        <v>794</v>
      </c>
      <c r="O290">
        <v>21000</v>
      </c>
      <c r="P290" t="s">
        <v>46</v>
      </c>
      <c r="Q290" t="s">
        <v>47</v>
      </c>
      <c r="R290" t="s">
        <v>48</v>
      </c>
      <c r="T290" t="s">
        <v>36</v>
      </c>
      <c r="U290" t="s">
        <v>36</v>
      </c>
      <c r="V290" t="s">
        <v>36</v>
      </c>
      <c r="W290">
        <v>4000</v>
      </c>
      <c r="X290" t="s">
        <v>49</v>
      </c>
      <c r="Y290" t="s">
        <v>50</v>
      </c>
      <c r="Z290" t="s">
        <v>51</v>
      </c>
      <c r="AA290" t="s">
        <v>37</v>
      </c>
      <c r="AB290" t="s">
        <v>52</v>
      </c>
      <c r="AC290" t="s">
        <v>53</v>
      </c>
      <c r="AD290" t="s">
        <v>54</v>
      </c>
      <c r="AE290">
        <v>37.343894274999997</v>
      </c>
      <c r="AF290">
        <v>2826</v>
      </c>
      <c r="AG290">
        <v>2825.68044525</v>
      </c>
      <c r="AH290">
        <v>373444.94113200001</v>
      </c>
      <c r="AI290">
        <v>40</v>
      </c>
      <c r="AJ290">
        <v>176471.219787218</v>
      </c>
      <c r="AK290" s="1">
        <f>intersection_ss_Lnight___surface[[#This Row],[surf m2 bout ss]]/intersection_ss_Lnight___surface[[#This Row],[Shape_Area]]</f>
        <v>0.47254949886934328</v>
      </c>
      <c r="AL290">
        <v>20</v>
      </c>
      <c r="AM290">
        <f>intersection_ss_Lnight___surface[[#This Row],[Population totale 2024 ss]]*intersection_ss_Lnight___surface[[#This Row],[Part de la surface du qs dans le noise contour]]</f>
        <v>9.4509899773868646</v>
      </c>
    </row>
    <row r="291" spans="1:39" x14ac:dyDescent="0.3">
      <c r="A291">
        <v>303</v>
      </c>
      <c r="B291" t="s">
        <v>844</v>
      </c>
      <c r="C291" t="s">
        <v>845</v>
      </c>
      <c r="D291" t="s">
        <v>845</v>
      </c>
      <c r="E291" t="s">
        <v>845</v>
      </c>
      <c r="F291" t="s">
        <v>843</v>
      </c>
      <c r="G291" t="s">
        <v>792</v>
      </c>
      <c r="H291" t="s">
        <v>793</v>
      </c>
      <c r="I291" t="s">
        <v>793</v>
      </c>
      <c r="J291" t="s">
        <v>36</v>
      </c>
      <c r="K291">
        <v>21010</v>
      </c>
      <c r="L291" t="s">
        <v>794</v>
      </c>
      <c r="M291" t="s">
        <v>794</v>
      </c>
      <c r="N291" t="s">
        <v>794</v>
      </c>
      <c r="O291">
        <v>21000</v>
      </c>
      <c r="P291" t="s">
        <v>46</v>
      </c>
      <c r="Q291" t="s">
        <v>47</v>
      </c>
      <c r="R291" t="s">
        <v>48</v>
      </c>
      <c r="T291" t="s">
        <v>36</v>
      </c>
      <c r="U291" t="s">
        <v>36</v>
      </c>
      <c r="V291" t="s">
        <v>36</v>
      </c>
      <c r="W291">
        <v>4000</v>
      </c>
      <c r="X291" t="s">
        <v>49</v>
      </c>
      <c r="Y291" t="s">
        <v>50</v>
      </c>
      <c r="Z291" t="s">
        <v>51</v>
      </c>
      <c r="AA291" t="s">
        <v>37</v>
      </c>
      <c r="AB291" t="s">
        <v>52</v>
      </c>
      <c r="AC291" t="s">
        <v>53</v>
      </c>
      <c r="AD291" t="s">
        <v>54</v>
      </c>
      <c r="AE291">
        <v>37.343894274999997</v>
      </c>
      <c r="AF291">
        <v>2826</v>
      </c>
      <c r="AG291">
        <v>2825.68044525</v>
      </c>
      <c r="AH291">
        <v>373444.94113200001</v>
      </c>
      <c r="AI291">
        <v>41</v>
      </c>
      <c r="AJ291">
        <v>197007.161774929</v>
      </c>
      <c r="AK291" s="1">
        <f>intersection_ss_Lnight___surface[[#This Row],[surf m2 bout ss]]/intersection_ss_Lnight___surface[[#This Row],[Shape_Area]]</f>
        <v>0.52754004694173573</v>
      </c>
      <c r="AL291">
        <v>20</v>
      </c>
      <c r="AM291">
        <f>intersection_ss_Lnight___surface[[#This Row],[Population totale 2024 ss]]*intersection_ss_Lnight___surface[[#This Row],[Part de la surface du qs dans le noise contour]]</f>
        <v>10.550800938834715</v>
      </c>
    </row>
    <row r="292" spans="1:39" x14ac:dyDescent="0.3">
      <c r="A292">
        <v>304</v>
      </c>
      <c r="B292" t="s">
        <v>846</v>
      </c>
      <c r="C292" t="s">
        <v>847</v>
      </c>
      <c r="D292" t="s">
        <v>847</v>
      </c>
      <c r="E292" t="s">
        <v>847</v>
      </c>
      <c r="F292" t="s">
        <v>848</v>
      </c>
      <c r="G292" t="s">
        <v>849</v>
      </c>
      <c r="H292" t="s">
        <v>850</v>
      </c>
      <c r="I292" t="s">
        <v>850</v>
      </c>
      <c r="J292" t="s">
        <v>36</v>
      </c>
      <c r="K292">
        <v>21011</v>
      </c>
      <c r="L292" t="s">
        <v>851</v>
      </c>
      <c r="M292" t="s">
        <v>851</v>
      </c>
      <c r="N292" t="s">
        <v>851</v>
      </c>
      <c r="O292">
        <v>21000</v>
      </c>
      <c r="P292" t="s">
        <v>46</v>
      </c>
      <c r="Q292" t="s">
        <v>47</v>
      </c>
      <c r="R292" t="s">
        <v>48</v>
      </c>
      <c r="T292" t="s">
        <v>36</v>
      </c>
      <c r="U292" t="s">
        <v>36</v>
      </c>
      <c r="V292" t="s">
        <v>36</v>
      </c>
      <c r="W292">
        <v>4000</v>
      </c>
      <c r="X292" t="s">
        <v>49</v>
      </c>
      <c r="Y292" t="s">
        <v>50</v>
      </c>
      <c r="Z292" t="s">
        <v>51</v>
      </c>
      <c r="AA292" t="s">
        <v>37</v>
      </c>
      <c r="AB292" t="s">
        <v>52</v>
      </c>
      <c r="AC292" t="s">
        <v>53</v>
      </c>
      <c r="AD292" t="s">
        <v>54</v>
      </c>
      <c r="AE292">
        <v>12.000166206499999</v>
      </c>
      <c r="AF292">
        <v>1610</v>
      </c>
      <c r="AG292">
        <v>1609.67742499</v>
      </c>
      <c r="AH292">
        <v>120003.590507</v>
      </c>
      <c r="AI292">
        <v>40</v>
      </c>
      <c r="AJ292">
        <v>119189.94918818701</v>
      </c>
      <c r="AK292" s="1">
        <f>intersection_ss_Lnight___surface[[#This Row],[surf m2 bout ss]]/intersection_ss_Lnight___surface[[#This Row],[Shape_Area]]</f>
        <v>0.9932198585444364</v>
      </c>
      <c r="AL292">
        <v>2174</v>
      </c>
      <c r="AM292">
        <f>intersection_ss_Lnight___surface[[#This Row],[Population totale 2024 ss]]*intersection_ss_Lnight___surface[[#This Row],[Part de la surface du qs dans le noise contour]]</f>
        <v>2159.2599724756046</v>
      </c>
    </row>
    <row r="293" spans="1:39" x14ac:dyDescent="0.3">
      <c r="A293">
        <v>305</v>
      </c>
      <c r="B293" t="s">
        <v>846</v>
      </c>
      <c r="C293" t="s">
        <v>847</v>
      </c>
      <c r="D293" t="s">
        <v>847</v>
      </c>
      <c r="E293" t="s">
        <v>847</v>
      </c>
      <c r="F293" t="s">
        <v>848</v>
      </c>
      <c r="G293" t="s">
        <v>849</v>
      </c>
      <c r="H293" t="s">
        <v>850</v>
      </c>
      <c r="I293" t="s">
        <v>850</v>
      </c>
      <c r="J293" t="s">
        <v>36</v>
      </c>
      <c r="K293">
        <v>21011</v>
      </c>
      <c r="L293" t="s">
        <v>851</v>
      </c>
      <c r="M293" t="s">
        <v>851</v>
      </c>
      <c r="N293" t="s">
        <v>851</v>
      </c>
      <c r="O293">
        <v>21000</v>
      </c>
      <c r="P293" t="s">
        <v>46</v>
      </c>
      <c r="Q293" t="s">
        <v>47</v>
      </c>
      <c r="R293" t="s">
        <v>48</v>
      </c>
      <c r="T293" t="s">
        <v>36</v>
      </c>
      <c r="U293" t="s">
        <v>36</v>
      </c>
      <c r="V293" t="s">
        <v>36</v>
      </c>
      <c r="W293">
        <v>4000</v>
      </c>
      <c r="X293" t="s">
        <v>49</v>
      </c>
      <c r="Y293" t="s">
        <v>50</v>
      </c>
      <c r="Z293" t="s">
        <v>51</v>
      </c>
      <c r="AA293" t="s">
        <v>37</v>
      </c>
      <c r="AB293" t="s">
        <v>52</v>
      </c>
      <c r="AC293" t="s">
        <v>53</v>
      </c>
      <c r="AD293" t="s">
        <v>54</v>
      </c>
      <c r="AE293">
        <v>12.000166206499999</v>
      </c>
      <c r="AF293">
        <v>1610</v>
      </c>
      <c r="AG293">
        <v>1609.67742499</v>
      </c>
      <c r="AH293">
        <v>120003.590507</v>
      </c>
      <c r="AI293">
        <v>41</v>
      </c>
      <c r="AJ293">
        <v>825.11360505223297</v>
      </c>
      <c r="AK293" s="1">
        <f>intersection_ss_Lnight___surface[[#This Row],[surf m2 bout ss]]/intersection_ss_Lnight___surface[[#This Row],[Shape_Area]]</f>
        <v>6.8757409804676038E-3</v>
      </c>
      <c r="AL293">
        <v>2174</v>
      </c>
      <c r="AM293">
        <f>intersection_ss_Lnight___surface[[#This Row],[Population totale 2024 ss]]*intersection_ss_Lnight___surface[[#This Row],[Part de la surface du qs dans le noise contour]]</f>
        <v>14.947860891536571</v>
      </c>
    </row>
    <row r="294" spans="1:39" x14ac:dyDescent="0.3">
      <c r="A294">
        <v>306</v>
      </c>
      <c r="B294" t="s">
        <v>852</v>
      </c>
      <c r="C294" t="s">
        <v>206</v>
      </c>
      <c r="D294" t="s">
        <v>207</v>
      </c>
      <c r="E294" t="s">
        <v>207</v>
      </c>
      <c r="F294" t="s">
        <v>848</v>
      </c>
      <c r="G294" t="s">
        <v>849</v>
      </c>
      <c r="H294" t="s">
        <v>850</v>
      </c>
      <c r="I294" t="s">
        <v>850</v>
      </c>
      <c r="J294" t="s">
        <v>36</v>
      </c>
      <c r="K294">
        <v>21011</v>
      </c>
      <c r="L294" t="s">
        <v>851</v>
      </c>
      <c r="M294" t="s">
        <v>851</v>
      </c>
      <c r="N294" t="s">
        <v>851</v>
      </c>
      <c r="O294">
        <v>21000</v>
      </c>
      <c r="P294" t="s">
        <v>46</v>
      </c>
      <c r="Q294" t="s">
        <v>47</v>
      </c>
      <c r="R294" t="s">
        <v>48</v>
      </c>
      <c r="T294" t="s">
        <v>36</v>
      </c>
      <c r="U294" t="s">
        <v>36</v>
      </c>
      <c r="V294" t="s">
        <v>36</v>
      </c>
      <c r="W294">
        <v>4000</v>
      </c>
      <c r="X294" t="s">
        <v>49</v>
      </c>
      <c r="Y294" t="s">
        <v>50</v>
      </c>
      <c r="Z294" t="s">
        <v>51</v>
      </c>
      <c r="AA294" t="s">
        <v>37</v>
      </c>
      <c r="AB294" t="s">
        <v>52</v>
      </c>
      <c r="AC294" t="s">
        <v>53</v>
      </c>
      <c r="AD294" t="s">
        <v>54</v>
      </c>
      <c r="AE294">
        <v>14.404248060900001</v>
      </c>
      <c r="AF294">
        <v>1661</v>
      </c>
      <c r="AG294">
        <v>1661.26203104</v>
      </c>
      <c r="AH294">
        <v>144044.80049200001</v>
      </c>
      <c r="AI294">
        <v>40</v>
      </c>
      <c r="AJ294">
        <v>4820.7480205872598</v>
      </c>
      <c r="AK294" s="1">
        <f>intersection_ss_Lnight___surface[[#This Row],[surf m2 bout ss]]/intersection_ss_Lnight___surface[[#This Row],[Shape_Area]]</f>
        <v>3.346700473825847E-2</v>
      </c>
      <c r="AL294">
        <v>4346</v>
      </c>
      <c r="AM294">
        <f>intersection_ss_Lnight___surface[[#This Row],[Population totale 2024 ss]]*intersection_ss_Lnight___surface[[#This Row],[Part de la surface du qs dans le noise contour]]</f>
        <v>145.4476025924713</v>
      </c>
    </row>
    <row r="295" spans="1:39" x14ac:dyDescent="0.3">
      <c r="A295">
        <v>307</v>
      </c>
      <c r="B295" t="s">
        <v>852</v>
      </c>
      <c r="C295" t="s">
        <v>206</v>
      </c>
      <c r="D295" t="s">
        <v>207</v>
      </c>
      <c r="E295" t="s">
        <v>207</v>
      </c>
      <c r="F295" t="s">
        <v>848</v>
      </c>
      <c r="G295" t="s">
        <v>849</v>
      </c>
      <c r="H295" t="s">
        <v>850</v>
      </c>
      <c r="I295" t="s">
        <v>850</v>
      </c>
      <c r="J295" t="s">
        <v>36</v>
      </c>
      <c r="K295">
        <v>21011</v>
      </c>
      <c r="L295" t="s">
        <v>851</v>
      </c>
      <c r="M295" t="s">
        <v>851</v>
      </c>
      <c r="N295" t="s">
        <v>851</v>
      </c>
      <c r="O295">
        <v>21000</v>
      </c>
      <c r="P295" t="s">
        <v>46</v>
      </c>
      <c r="Q295" t="s">
        <v>47</v>
      </c>
      <c r="R295" t="s">
        <v>48</v>
      </c>
      <c r="T295" t="s">
        <v>36</v>
      </c>
      <c r="U295" t="s">
        <v>36</v>
      </c>
      <c r="V295" t="s">
        <v>36</v>
      </c>
      <c r="W295">
        <v>4000</v>
      </c>
      <c r="X295" t="s">
        <v>49</v>
      </c>
      <c r="Y295" t="s">
        <v>50</v>
      </c>
      <c r="Z295" t="s">
        <v>51</v>
      </c>
      <c r="AA295" t="s">
        <v>37</v>
      </c>
      <c r="AB295" t="s">
        <v>52</v>
      </c>
      <c r="AC295" t="s">
        <v>53</v>
      </c>
      <c r="AD295" t="s">
        <v>54</v>
      </c>
      <c r="AE295">
        <v>14.404248060900001</v>
      </c>
      <c r="AF295">
        <v>1661</v>
      </c>
      <c r="AG295">
        <v>1661.26203104</v>
      </c>
      <c r="AH295">
        <v>144044.80049200001</v>
      </c>
      <c r="AI295">
        <v>41</v>
      </c>
      <c r="AJ295">
        <v>139237.86223442599</v>
      </c>
      <c r="AK295" s="1">
        <f>intersection_ss_Lnight___surface[[#This Row],[surf m2 bout ss]]/intersection_ss_Lnight___surface[[#This Row],[Shape_Area]]</f>
        <v>0.96662886656682212</v>
      </c>
      <c r="AL295">
        <v>4346</v>
      </c>
      <c r="AM295">
        <f>intersection_ss_Lnight___surface[[#This Row],[Population totale 2024 ss]]*intersection_ss_Lnight___surface[[#This Row],[Part de la surface du qs dans le noise contour]]</f>
        <v>4200.9690540994088</v>
      </c>
    </row>
    <row r="296" spans="1:39" x14ac:dyDescent="0.3">
      <c r="A296">
        <v>308</v>
      </c>
      <c r="B296" t="s">
        <v>853</v>
      </c>
      <c r="C296" t="s">
        <v>854</v>
      </c>
      <c r="D296" t="s">
        <v>855</v>
      </c>
      <c r="E296" t="s">
        <v>855</v>
      </c>
      <c r="F296" t="s">
        <v>848</v>
      </c>
      <c r="G296" t="s">
        <v>849</v>
      </c>
      <c r="H296" t="s">
        <v>850</v>
      </c>
      <c r="I296" t="s">
        <v>850</v>
      </c>
      <c r="J296" t="s">
        <v>36</v>
      </c>
      <c r="K296">
        <v>21011</v>
      </c>
      <c r="L296" t="s">
        <v>851</v>
      </c>
      <c r="M296" t="s">
        <v>851</v>
      </c>
      <c r="N296" t="s">
        <v>851</v>
      </c>
      <c r="O296">
        <v>21000</v>
      </c>
      <c r="P296" t="s">
        <v>46</v>
      </c>
      <c r="Q296" t="s">
        <v>47</v>
      </c>
      <c r="R296" t="s">
        <v>48</v>
      </c>
      <c r="T296" t="s">
        <v>36</v>
      </c>
      <c r="U296" t="s">
        <v>36</v>
      </c>
      <c r="V296" t="s">
        <v>36</v>
      </c>
      <c r="W296">
        <v>4000</v>
      </c>
      <c r="X296" t="s">
        <v>49</v>
      </c>
      <c r="Y296" t="s">
        <v>50</v>
      </c>
      <c r="Z296" t="s">
        <v>51</v>
      </c>
      <c r="AA296" t="s">
        <v>37</v>
      </c>
      <c r="AB296" t="s">
        <v>52</v>
      </c>
      <c r="AC296" t="s">
        <v>53</v>
      </c>
      <c r="AD296" t="s">
        <v>54</v>
      </c>
      <c r="AE296">
        <v>8.7519285639</v>
      </c>
      <c r="AF296">
        <v>1362</v>
      </c>
      <c r="AG296">
        <v>1361.83469416</v>
      </c>
      <c r="AH296">
        <v>87520.700640299998</v>
      </c>
      <c r="AI296">
        <v>40</v>
      </c>
      <c r="AJ296">
        <v>49459.589040047998</v>
      </c>
      <c r="AK296" s="1">
        <f>intersection_ss_Lnight___surface[[#This Row],[surf m2 bout ss]]/intersection_ss_Lnight___surface[[#This Row],[Shape_Area]]</f>
        <v>0.56511875108634257</v>
      </c>
      <c r="AL296">
        <v>2130</v>
      </c>
      <c r="AM296">
        <f>intersection_ss_Lnight___surface[[#This Row],[Population totale 2024 ss]]*intersection_ss_Lnight___surface[[#This Row],[Part de la surface du qs dans le noise contour]]</f>
        <v>1203.7029398139098</v>
      </c>
    </row>
    <row r="297" spans="1:39" x14ac:dyDescent="0.3">
      <c r="A297">
        <v>309</v>
      </c>
      <c r="B297" t="s">
        <v>853</v>
      </c>
      <c r="C297" t="s">
        <v>854</v>
      </c>
      <c r="D297" t="s">
        <v>855</v>
      </c>
      <c r="E297" t="s">
        <v>855</v>
      </c>
      <c r="F297" t="s">
        <v>848</v>
      </c>
      <c r="G297" t="s">
        <v>849</v>
      </c>
      <c r="H297" t="s">
        <v>850</v>
      </c>
      <c r="I297" t="s">
        <v>850</v>
      </c>
      <c r="J297" t="s">
        <v>36</v>
      </c>
      <c r="K297">
        <v>21011</v>
      </c>
      <c r="L297" t="s">
        <v>851</v>
      </c>
      <c r="M297" t="s">
        <v>851</v>
      </c>
      <c r="N297" t="s">
        <v>851</v>
      </c>
      <c r="O297">
        <v>21000</v>
      </c>
      <c r="P297" t="s">
        <v>46</v>
      </c>
      <c r="Q297" t="s">
        <v>47</v>
      </c>
      <c r="R297" t="s">
        <v>48</v>
      </c>
      <c r="T297" t="s">
        <v>36</v>
      </c>
      <c r="U297" t="s">
        <v>36</v>
      </c>
      <c r="V297" t="s">
        <v>36</v>
      </c>
      <c r="W297">
        <v>4000</v>
      </c>
      <c r="X297" t="s">
        <v>49</v>
      </c>
      <c r="Y297" t="s">
        <v>50</v>
      </c>
      <c r="Z297" t="s">
        <v>51</v>
      </c>
      <c r="AA297" t="s">
        <v>37</v>
      </c>
      <c r="AB297" t="s">
        <v>52</v>
      </c>
      <c r="AC297" t="s">
        <v>53</v>
      </c>
      <c r="AD297" t="s">
        <v>54</v>
      </c>
      <c r="AE297">
        <v>8.7519285639</v>
      </c>
      <c r="AF297">
        <v>1362</v>
      </c>
      <c r="AG297">
        <v>1361.83469416</v>
      </c>
      <c r="AH297">
        <v>87520.700640299998</v>
      </c>
      <c r="AI297">
        <v>41</v>
      </c>
      <c r="AJ297">
        <v>38069.537080659502</v>
      </c>
      <c r="AK297" s="1">
        <f>intersection_ss_Lnight___surface[[#This Row],[surf m2 bout ss]]/intersection_ss_Lnight___surface[[#This Row],[Shape_Area]]</f>
        <v>0.43497751734325019</v>
      </c>
      <c r="AL297">
        <v>2130</v>
      </c>
      <c r="AM297">
        <f>intersection_ss_Lnight___surface[[#This Row],[Population totale 2024 ss]]*intersection_ss_Lnight___surface[[#This Row],[Part de la surface du qs dans le noise contour]]</f>
        <v>926.50211194112285</v>
      </c>
    </row>
    <row r="298" spans="1:39" x14ac:dyDescent="0.3">
      <c r="A298">
        <v>310</v>
      </c>
      <c r="B298" t="s">
        <v>863</v>
      </c>
      <c r="C298" t="s">
        <v>747</v>
      </c>
      <c r="D298" t="s">
        <v>747</v>
      </c>
      <c r="E298" t="s">
        <v>747</v>
      </c>
      <c r="F298" t="s">
        <v>864</v>
      </c>
      <c r="G298" t="s">
        <v>849</v>
      </c>
      <c r="H298" t="s">
        <v>850</v>
      </c>
      <c r="I298" t="s">
        <v>850</v>
      </c>
      <c r="J298" t="s">
        <v>36</v>
      </c>
      <c r="K298">
        <v>21011</v>
      </c>
      <c r="L298" t="s">
        <v>851</v>
      </c>
      <c r="M298" t="s">
        <v>851</v>
      </c>
      <c r="N298" t="s">
        <v>851</v>
      </c>
      <c r="O298">
        <v>21000</v>
      </c>
      <c r="P298" t="s">
        <v>46</v>
      </c>
      <c r="Q298" t="s">
        <v>47</v>
      </c>
      <c r="R298" t="s">
        <v>48</v>
      </c>
      <c r="T298" t="s">
        <v>36</v>
      </c>
      <c r="U298" t="s">
        <v>36</v>
      </c>
      <c r="V298" t="s">
        <v>36</v>
      </c>
      <c r="W298">
        <v>4000</v>
      </c>
      <c r="X298" t="s">
        <v>49</v>
      </c>
      <c r="Y298" t="s">
        <v>50</v>
      </c>
      <c r="Z298" t="s">
        <v>51</v>
      </c>
      <c r="AA298" t="s">
        <v>37</v>
      </c>
      <c r="AB298" t="s">
        <v>52</v>
      </c>
      <c r="AC298" t="s">
        <v>53</v>
      </c>
      <c r="AD298" t="s">
        <v>54</v>
      </c>
      <c r="AE298">
        <v>22.9235273478</v>
      </c>
      <c r="AF298">
        <v>2738</v>
      </c>
      <c r="AG298">
        <v>2738.1087187799999</v>
      </c>
      <c r="AH298">
        <v>229238.945053</v>
      </c>
      <c r="AI298">
        <v>40</v>
      </c>
      <c r="AJ298">
        <v>43937.7532552388</v>
      </c>
      <c r="AK298" s="1">
        <f>intersection_ss_Lnight___surface[[#This Row],[surf m2 bout ss]]/intersection_ss_Lnight___surface[[#This Row],[Shape_Area]]</f>
        <v>0.19166792642969283</v>
      </c>
      <c r="AL298">
        <v>4273</v>
      </c>
      <c r="AM298">
        <f>intersection_ss_Lnight___surface[[#This Row],[Population totale 2024 ss]]*intersection_ss_Lnight___surface[[#This Row],[Part de la surface du qs dans le noise contour]]</f>
        <v>818.99704963407748</v>
      </c>
    </row>
    <row r="299" spans="1:39" x14ac:dyDescent="0.3">
      <c r="A299">
        <v>311</v>
      </c>
      <c r="B299" t="s">
        <v>865</v>
      </c>
      <c r="C299" t="s">
        <v>866</v>
      </c>
      <c r="D299" t="s">
        <v>867</v>
      </c>
      <c r="E299" t="s">
        <v>867</v>
      </c>
      <c r="F299" t="s">
        <v>864</v>
      </c>
      <c r="G299" t="s">
        <v>849</v>
      </c>
      <c r="H299" t="s">
        <v>850</v>
      </c>
      <c r="I299" t="s">
        <v>850</v>
      </c>
      <c r="J299" t="s">
        <v>36</v>
      </c>
      <c r="K299">
        <v>21011</v>
      </c>
      <c r="L299" t="s">
        <v>851</v>
      </c>
      <c r="M299" t="s">
        <v>851</v>
      </c>
      <c r="N299" t="s">
        <v>851</v>
      </c>
      <c r="O299">
        <v>21000</v>
      </c>
      <c r="P299" t="s">
        <v>46</v>
      </c>
      <c r="Q299" t="s">
        <v>47</v>
      </c>
      <c r="R299" t="s">
        <v>48</v>
      </c>
      <c r="T299" t="s">
        <v>36</v>
      </c>
      <c r="U299" t="s">
        <v>36</v>
      </c>
      <c r="V299" t="s">
        <v>36</v>
      </c>
      <c r="W299">
        <v>4000</v>
      </c>
      <c r="X299" t="s">
        <v>49</v>
      </c>
      <c r="Y299" t="s">
        <v>50</v>
      </c>
      <c r="Z299" t="s">
        <v>51</v>
      </c>
      <c r="AA299" t="s">
        <v>37</v>
      </c>
      <c r="AB299" t="s">
        <v>52</v>
      </c>
      <c r="AC299" t="s">
        <v>53</v>
      </c>
      <c r="AD299" t="s">
        <v>54</v>
      </c>
      <c r="AE299">
        <v>18.3251518175</v>
      </c>
      <c r="AF299">
        <v>2452</v>
      </c>
      <c r="AG299">
        <v>2452.2555219000001</v>
      </c>
      <c r="AH299">
        <v>183254.44854400001</v>
      </c>
      <c r="AI299">
        <v>40</v>
      </c>
      <c r="AJ299">
        <v>787.86222898960102</v>
      </c>
      <c r="AK299" s="1">
        <f>intersection_ss_Lnight___surface[[#This Row],[surf m2 bout ss]]/intersection_ss_Lnight___surface[[#This Row],[Shape_Area]]</f>
        <v>4.2992802371203155E-3</v>
      </c>
      <c r="AL299">
        <v>0</v>
      </c>
      <c r="AM299">
        <f>intersection_ss_Lnight___surface[[#This Row],[Population totale 2024 ss]]*intersection_ss_Lnight___surface[[#This Row],[Part de la surface du qs dans le noise contour]]</f>
        <v>0</v>
      </c>
    </row>
    <row r="300" spans="1:39" x14ac:dyDescent="0.3">
      <c r="A300">
        <v>312</v>
      </c>
      <c r="B300" t="s">
        <v>868</v>
      </c>
      <c r="C300" t="s">
        <v>869</v>
      </c>
      <c r="D300" t="s">
        <v>870</v>
      </c>
      <c r="E300" t="s">
        <v>870</v>
      </c>
      <c r="F300" t="s">
        <v>871</v>
      </c>
      <c r="G300" t="s">
        <v>849</v>
      </c>
      <c r="H300" t="s">
        <v>850</v>
      </c>
      <c r="I300" t="s">
        <v>850</v>
      </c>
      <c r="J300" t="s">
        <v>36</v>
      </c>
      <c r="K300">
        <v>21011</v>
      </c>
      <c r="L300" t="s">
        <v>851</v>
      </c>
      <c r="M300" t="s">
        <v>851</v>
      </c>
      <c r="N300" t="s">
        <v>851</v>
      </c>
      <c r="O300">
        <v>21000</v>
      </c>
      <c r="P300" t="s">
        <v>46</v>
      </c>
      <c r="Q300" t="s">
        <v>47</v>
      </c>
      <c r="R300" t="s">
        <v>48</v>
      </c>
      <c r="T300" t="s">
        <v>36</v>
      </c>
      <c r="U300" t="s">
        <v>36</v>
      </c>
      <c r="V300" t="s">
        <v>36</v>
      </c>
      <c r="W300">
        <v>4000</v>
      </c>
      <c r="X300" t="s">
        <v>49</v>
      </c>
      <c r="Y300" t="s">
        <v>50</v>
      </c>
      <c r="Z300" t="s">
        <v>51</v>
      </c>
      <c r="AA300" t="s">
        <v>37</v>
      </c>
      <c r="AB300" t="s">
        <v>52</v>
      </c>
      <c r="AC300" t="s">
        <v>53</v>
      </c>
      <c r="AD300" t="s">
        <v>54</v>
      </c>
      <c r="AE300">
        <v>14.697327425299999</v>
      </c>
      <c r="AF300">
        <v>1921</v>
      </c>
      <c r="AG300">
        <v>1921.12554338</v>
      </c>
      <c r="AH300">
        <v>146975.64507</v>
      </c>
      <c r="AI300">
        <v>40</v>
      </c>
      <c r="AJ300">
        <v>57932.4008500376</v>
      </c>
      <c r="AK300" s="1">
        <f>intersection_ss_Lnight___surface[[#This Row],[surf m2 bout ss]]/intersection_ss_Lnight___surface[[#This Row],[Shape_Area]]</f>
        <v>0.39416326985635047</v>
      </c>
      <c r="AL300">
        <v>2574</v>
      </c>
      <c r="AM300">
        <f>intersection_ss_Lnight___surface[[#This Row],[Population totale 2024 ss]]*intersection_ss_Lnight___surface[[#This Row],[Part de la surface du qs dans le noise contour]]</f>
        <v>1014.5762566102461</v>
      </c>
    </row>
    <row r="301" spans="1:39" x14ac:dyDescent="0.3">
      <c r="A301">
        <v>313</v>
      </c>
      <c r="B301" t="s">
        <v>872</v>
      </c>
      <c r="C301" t="s">
        <v>246</v>
      </c>
      <c r="D301" t="s">
        <v>247</v>
      </c>
      <c r="E301" t="s">
        <v>247</v>
      </c>
      <c r="F301" t="s">
        <v>873</v>
      </c>
      <c r="G301" t="s">
        <v>874</v>
      </c>
      <c r="H301" t="s">
        <v>875</v>
      </c>
      <c r="I301" t="s">
        <v>876</v>
      </c>
      <c r="J301" t="s">
        <v>36</v>
      </c>
      <c r="K301">
        <v>21012</v>
      </c>
      <c r="L301" t="s">
        <v>877</v>
      </c>
      <c r="M301" t="s">
        <v>878</v>
      </c>
      <c r="N301" t="s">
        <v>878</v>
      </c>
      <c r="O301">
        <v>21000</v>
      </c>
      <c r="P301" t="s">
        <v>46</v>
      </c>
      <c r="Q301" t="s">
        <v>47</v>
      </c>
      <c r="R301" t="s">
        <v>48</v>
      </c>
      <c r="T301" t="s">
        <v>36</v>
      </c>
      <c r="U301" t="s">
        <v>36</v>
      </c>
      <c r="V301" t="s">
        <v>36</v>
      </c>
      <c r="W301">
        <v>4000</v>
      </c>
      <c r="X301" t="s">
        <v>49</v>
      </c>
      <c r="Y301" t="s">
        <v>50</v>
      </c>
      <c r="Z301" t="s">
        <v>51</v>
      </c>
      <c r="AA301" t="s">
        <v>37</v>
      </c>
      <c r="AB301" t="s">
        <v>52</v>
      </c>
      <c r="AC301" t="s">
        <v>53</v>
      </c>
      <c r="AD301" t="s">
        <v>54</v>
      </c>
      <c r="AE301">
        <v>9.5868848716200006</v>
      </c>
      <c r="AF301">
        <v>1745</v>
      </c>
      <c r="AG301">
        <v>1744.8969647500001</v>
      </c>
      <c r="AH301">
        <v>95870.397726800002</v>
      </c>
      <c r="AI301">
        <v>41</v>
      </c>
      <c r="AJ301">
        <v>95879.691930548302</v>
      </c>
      <c r="AK301" s="1">
        <f>intersection_ss_Lnight___surface[[#This Row],[surf m2 bout ss]]/intersection_ss_Lnight___surface[[#This Row],[Shape_Area]]</f>
        <v>1.0000969455011002</v>
      </c>
      <c r="AL301">
        <v>2382</v>
      </c>
      <c r="AM301">
        <f>intersection_ss_Lnight___surface[[#This Row],[Population totale 2024 ss]]*intersection_ss_Lnight___surface[[#This Row],[Part de la surface du qs dans le noise contour]]</f>
        <v>2382.2309241836206</v>
      </c>
    </row>
    <row r="302" spans="1:39" x14ac:dyDescent="0.3">
      <c r="A302">
        <v>314</v>
      </c>
      <c r="B302" t="s">
        <v>879</v>
      </c>
      <c r="C302" t="s">
        <v>880</v>
      </c>
      <c r="D302" t="s">
        <v>881</v>
      </c>
      <c r="E302" t="s">
        <v>881</v>
      </c>
      <c r="F302" t="s">
        <v>873</v>
      </c>
      <c r="G302" t="s">
        <v>874</v>
      </c>
      <c r="H302" t="s">
        <v>875</v>
      </c>
      <c r="I302" t="s">
        <v>876</v>
      </c>
      <c r="J302" t="s">
        <v>36</v>
      </c>
      <c r="K302">
        <v>21012</v>
      </c>
      <c r="L302" t="s">
        <v>877</v>
      </c>
      <c r="M302" t="s">
        <v>878</v>
      </c>
      <c r="N302" t="s">
        <v>878</v>
      </c>
      <c r="O302">
        <v>21000</v>
      </c>
      <c r="P302" t="s">
        <v>46</v>
      </c>
      <c r="Q302" t="s">
        <v>47</v>
      </c>
      <c r="R302" t="s">
        <v>48</v>
      </c>
      <c r="T302" t="s">
        <v>36</v>
      </c>
      <c r="U302" t="s">
        <v>36</v>
      </c>
      <c r="V302" t="s">
        <v>36</v>
      </c>
      <c r="W302">
        <v>4000</v>
      </c>
      <c r="X302" t="s">
        <v>49</v>
      </c>
      <c r="Y302" t="s">
        <v>50</v>
      </c>
      <c r="Z302" t="s">
        <v>51</v>
      </c>
      <c r="AA302" t="s">
        <v>37</v>
      </c>
      <c r="AB302" t="s">
        <v>52</v>
      </c>
      <c r="AC302" t="s">
        <v>53</v>
      </c>
      <c r="AD302" t="s">
        <v>54</v>
      </c>
      <c r="AE302">
        <v>5.5170709387799999</v>
      </c>
      <c r="AF302">
        <v>1049</v>
      </c>
      <c r="AG302">
        <v>1049.4247990399999</v>
      </c>
      <c r="AH302">
        <v>55171.596626600003</v>
      </c>
      <c r="AI302">
        <v>41</v>
      </c>
      <c r="AJ302">
        <v>55176.9458452744</v>
      </c>
      <c r="AK302" s="1">
        <f>intersection_ss_Lnight___surface[[#This Row],[surf m2 bout ss]]/intersection_ss_Lnight___surface[[#This Row],[Shape_Area]]</f>
        <v>1.000096956024503</v>
      </c>
      <c r="AL302">
        <v>1140</v>
      </c>
      <c r="AM302">
        <f>intersection_ss_Lnight___surface[[#This Row],[Population totale 2024 ss]]*intersection_ss_Lnight___surface[[#This Row],[Part de la surface du qs dans le noise contour]]</f>
        <v>1140.1105298679333</v>
      </c>
    </row>
    <row r="303" spans="1:39" x14ac:dyDescent="0.3">
      <c r="A303">
        <v>315</v>
      </c>
      <c r="B303" t="s">
        <v>882</v>
      </c>
      <c r="C303" t="s">
        <v>883</v>
      </c>
      <c r="D303" t="s">
        <v>884</v>
      </c>
      <c r="E303" t="s">
        <v>884</v>
      </c>
      <c r="F303" t="s">
        <v>873</v>
      </c>
      <c r="G303" t="s">
        <v>874</v>
      </c>
      <c r="H303" t="s">
        <v>875</v>
      </c>
      <c r="I303" t="s">
        <v>876</v>
      </c>
      <c r="J303" t="s">
        <v>36</v>
      </c>
      <c r="K303">
        <v>21012</v>
      </c>
      <c r="L303" t="s">
        <v>877</v>
      </c>
      <c r="M303" t="s">
        <v>878</v>
      </c>
      <c r="N303" t="s">
        <v>878</v>
      </c>
      <c r="O303">
        <v>21000</v>
      </c>
      <c r="P303" t="s">
        <v>46</v>
      </c>
      <c r="Q303" t="s">
        <v>47</v>
      </c>
      <c r="R303" t="s">
        <v>48</v>
      </c>
      <c r="T303" t="s">
        <v>36</v>
      </c>
      <c r="U303" t="s">
        <v>36</v>
      </c>
      <c r="V303" t="s">
        <v>36</v>
      </c>
      <c r="W303">
        <v>4000</v>
      </c>
      <c r="X303" t="s">
        <v>49</v>
      </c>
      <c r="Y303" t="s">
        <v>50</v>
      </c>
      <c r="Z303" t="s">
        <v>51</v>
      </c>
      <c r="AA303" t="s">
        <v>37</v>
      </c>
      <c r="AB303" t="s">
        <v>52</v>
      </c>
      <c r="AC303" t="s">
        <v>53</v>
      </c>
      <c r="AD303" t="s">
        <v>54</v>
      </c>
      <c r="AE303">
        <v>5.5119264120000002</v>
      </c>
      <c r="AF303">
        <v>1388</v>
      </c>
      <c r="AG303">
        <v>1387.9607712300001</v>
      </c>
      <c r="AH303">
        <v>55120.148724999999</v>
      </c>
      <c r="AI303">
        <v>40</v>
      </c>
      <c r="AJ303">
        <v>24551.674272351</v>
      </c>
      <c r="AK303" s="1">
        <f>intersection_ss_Lnight___surface[[#This Row],[surf m2 bout ss]]/intersection_ss_Lnight___surface[[#This Row],[Shape_Area]]</f>
        <v>0.44542104548450673</v>
      </c>
      <c r="AL303">
        <v>834</v>
      </c>
      <c r="AM303">
        <f>intersection_ss_Lnight___surface[[#This Row],[Population totale 2024 ss]]*intersection_ss_Lnight___surface[[#This Row],[Part de la surface du qs dans le noise contour]]</f>
        <v>371.48115193407864</v>
      </c>
    </row>
    <row r="304" spans="1:39" x14ac:dyDescent="0.3">
      <c r="A304">
        <v>316</v>
      </c>
      <c r="B304" t="s">
        <v>882</v>
      </c>
      <c r="C304" t="s">
        <v>883</v>
      </c>
      <c r="D304" t="s">
        <v>884</v>
      </c>
      <c r="E304" t="s">
        <v>884</v>
      </c>
      <c r="F304" t="s">
        <v>873</v>
      </c>
      <c r="G304" t="s">
        <v>874</v>
      </c>
      <c r="H304" t="s">
        <v>875</v>
      </c>
      <c r="I304" t="s">
        <v>876</v>
      </c>
      <c r="J304" t="s">
        <v>36</v>
      </c>
      <c r="K304">
        <v>21012</v>
      </c>
      <c r="L304" t="s">
        <v>877</v>
      </c>
      <c r="M304" t="s">
        <v>878</v>
      </c>
      <c r="N304" t="s">
        <v>878</v>
      </c>
      <c r="O304">
        <v>21000</v>
      </c>
      <c r="P304" t="s">
        <v>46</v>
      </c>
      <c r="Q304" t="s">
        <v>47</v>
      </c>
      <c r="R304" t="s">
        <v>48</v>
      </c>
      <c r="T304" t="s">
        <v>36</v>
      </c>
      <c r="U304" t="s">
        <v>36</v>
      </c>
      <c r="V304" t="s">
        <v>36</v>
      </c>
      <c r="W304">
        <v>4000</v>
      </c>
      <c r="X304" t="s">
        <v>49</v>
      </c>
      <c r="Y304" t="s">
        <v>50</v>
      </c>
      <c r="Z304" t="s">
        <v>51</v>
      </c>
      <c r="AA304" t="s">
        <v>37</v>
      </c>
      <c r="AB304" t="s">
        <v>52</v>
      </c>
      <c r="AC304" t="s">
        <v>53</v>
      </c>
      <c r="AD304" t="s">
        <v>54</v>
      </c>
      <c r="AE304">
        <v>5.5119264120000002</v>
      </c>
      <c r="AF304">
        <v>1388</v>
      </c>
      <c r="AG304">
        <v>1387.9607712300001</v>
      </c>
      <c r="AH304">
        <v>55120.148724999999</v>
      </c>
      <c r="AI304">
        <v>41</v>
      </c>
      <c r="AJ304">
        <v>30573.852227984898</v>
      </c>
      <c r="AK304" s="1">
        <f>intersection_ss_Lnight___surface[[#This Row],[surf m2 bout ss]]/intersection_ss_Lnight___surface[[#This Row],[Shape_Area]]</f>
        <v>0.55467651911682858</v>
      </c>
      <c r="AL304">
        <v>834</v>
      </c>
      <c r="AM304">
        <f>intersection_ss_Lnight___surface[[#This Row],[Population totale 2024 ss]]*intersection_ss_Lnight___surface[[#This Row],[Part de la surface du qs dans le noise contour]]</f>
        <v>462.60021694343504</v>
      </c>
    </row>
    <row r="305" spans="1:39" x14ac:dyDescent="0.3">
      <c r="A305">
        <v>317</v>
      </c>
      <c r="B305" t="s">
        <v>885</v>
      </c>
      <c r="C305" t="s">
        <v>886</v>
      </c>
      <c r="D305" t="s">
        <v>886</v>
      </c>
      <c r="E305" t="s">
        <v>886</v>
      </c>
      <c r="F305" t="s">
        <v>873</v>
      </c>
      <c r="G305" t="s">
        <v>874</v>
      </c>
      <c r="H305" t="s">
        <v>875</v>
      </c>
      <c r="I305" t="s">
        <v>876</v>
      </c>
      <c r="J305" t="s">
        <v>36</v>
      </c>
      <c r="K305">
        <v>21012</v>
      </c>
      <c r="L305" t="s">
        <v>877</v>
      </c>
      <c r="M305" t="s">
        <v>878</v>
      </c>
      <c r="N305" t="s">
        <v>878</v>
      </c>
      <c r="O305">
        <v>21000</v>
      </c>
      <c r="P305" t="s">
        <v>46</v>
      </c>
      <c r="Q305" t="s">
        <v>47</v>
      </c>
      <c r="R305" t="s">
        <v>48</v>
      </c>
      <c r="T305" t="s">
        <v>36</v>
      </c>
      <c r="U305" t="s">
        <v>36</v>
      </c>
      <c r="V305" t="s">
        <v>36</v>
      </c>
      <c r="W305">
        <v>4000</v>
      </c>
      <c r="X305" t="s">
        <v>49</v>
      </c>
      <c r="Y305" t="s">
        <v>50</v>
      </c>
      <c r="Z305" t="s">
        <v>51</v>
      </c>
      <c r="AA305" t="s">
        <v>37</v>
      </c>
      <c r="AB305" t="s">
        <v>52</v>
      </c>
      <c r="AC305" t="s">
        <v>53</v>
      </c>
      <c r="AD305" t="s">
        <v>54</v>
      </c>
      <c r="AE305">
        <v>7.8849221491800003</v>
      </c>
      <c r="AF305">
        <v>1360</v>
      </c>
      <c r="AG305">
        <v>1359.8333567</v>
      </c>
      <c r="AH305">
        <v>78850.491394600002</v>
      </c>
      <c r="AI305">
        <v>40</v>
      </c>
      <c r="AJ305">
        <v>24283.8341671659</v>
      </c>
      <c r="AK305" s="1">
        <f>intersection_ss_Lnight___surface[[#This Row],[surf m2 bout ss]]/intersection_ss_Lnight___surface[[#This Row],[Shape_Area]]</f>
        <v>0.30797314940803217</v>
      </c>
      <c r="AL305">
        <v>2003</v>
      </c>
      <c r="AM305">
        <f>intersection_ss_Lnight___surface[[#This Row],[Population totale 2024 ss]]*intersection_ss_Lnight___surface[[#This Row],[Part de la surface du qs dans le noise contour]]</f>
        <v>616.87021826428838</v>
      </c>
    </row>
    <row r="306" spans="1:39" x14ac:dyDescent="0.3">
      <c r="A306">
        <v>318</v>
      </c>
      <c r="B306" t="s">
        <v>885</v>
      </c>
      <c r="C306" t="s">
        <v>886</v>
      </c>
      <c r="D306" t="s">
        <v>886</v>
      </c>
      <c r="E306" t="s">
        <v>886</v>
      </c>
      <c r="F306" t="s">
        <v>873</v>
      </c>
      <c r="G306" t="s">
        <v>874</v>
      </c>
      <c r="H306" t="s">
        <v>875</v>
      </c>
      <c r="I306" t="s">
        <v>876</v>
      </c>
      <c r="J306" t="s">
        <v>36</v>
      </c>
      <c r="K306">
        <v>21012</v>
      </c>
      <c r="L306" t="s">
        <v>877</v>
      </c>
      <c r="M306" t="s">
        <v>878</v>
      </c>
      <c r="N306" t="s">
        <v>878</v>
      </c>
      <c r="O306">
        <v>21000</v>
      </c>
      <c r="P306" t="s">
        <v>46</v>
      </c>
      <c r="Q306" t="s">
        <v>47</v>
      </c>
      <c r="R306" t="s">
        <v>48</v>
      </c>
      <c r="T306" t="s">
        <v>36</v>
      </c>
      <c r="U306" t="s">
        <v>36</v>
      </c>
      <c r="V306" t="s">
        <v>36</v>
      </c>
      <c r="W306">
        <v>4000</v>
      </c>
      <c r="X306" t="s">
        <v>49</v>
      </c>
      <c r="Y306" t="s">
        <v>50</v>
      </c>
      <c r="Z306" t="s">
        <v>51</v>
      </c>
      <c r="AA306" t="s">
        <v>37</v>
      </c>
      <c r="AB306" t="s">
        <v>52</v>
      </c>
      <c r="AC306" t="s">
        <v>53</v>
      </c>
      <c r="AD306" t="s">
        <v>54</v>
      </c>
      <c r="AE306">
        <v>7.8849221491800003</v>
      </c>
      <c r="AF306">
        <v>1360</v>
      </c>
      <c r="AG306">
        <v>1359.8333567</v>
      </c>
      <c r="AH306">
        <v>78850.491394600002</v>
      </c>
      <c r="AI306">
        <v>41</v>
      </c>
      <c r="AJ306">
        <v>54574.348172949401</v>
      </c>
      <c r="AK306" s="1">
        <f>intersection_ss_Lnight___surface[[#This Row],[surf m2 bout ss]]/intersection_ss_Lnight___surface[[#This Row],[Shape_Area]]</f>
        <v>0.69212438892532857</v>
      </c>
      <c r="AL306">
        <v>2003</v>
      </c>
      <c r="AM306">
        <f>intersection_ss_Lnight___surface[[#This Row],[Population totale 2024 ss]]*intersection_ss_Lnight___surface[[#This Row],[Part de la surface du qs dans le noise contour]]</f>
        <v>1386.3251510174332</v>
      </c>
    </row>
    <row r="307" spans="1:39" x14ac:dyDescent="0.3">
      <c r="A307">
        <v>319</v>
      </c>
      <c r="B307" t="s">
        <v>887</v>
      </c>
      <c r="C307" t="s">
        <v>888</v>
      </c>
      <c r="D307" t="s">
        <v>889</v>
      </c>
      <c r="E307" t="s">
        <v>889</v>
      </c>
      <c r="F307" t="s">
        <v>873</v>
      </c>
      <c r="G307" t="s">
        <v>874</v>
      </c>
      <c r="H307" t="s">
        <v>875</v>
      </c>
      <c r="I307" t="s">
        <v>876</v>
      </c>
      <c r="J307" t="s">
        <v>36</v>
      </c>
      <c r="K307">
        <v>21012</v>
      </c>
      <c r="L307" t="s">
        <v>877</v>
      </c>
      <c r="M307" t="s">
        <v>878</v>
      </c>
      <c r="N307" t="s">
        <v>878</v>
      </c>
      <c r="O307">
        <v>21000</v>
      </c>
      <c r="P307" t="s">
        <v>46</v>
      </c>
      <c r="Q307" t="s">
        <v>47</v>
      </c>
      <c r="R307" t="s">
        <v>48</v>
      </c>
      <c r="T307" t="s">
        <v>36</v>
      </c>
      <c r="U307" t="s">
        <v>36</v>
      </c>
      <c r="V307" t="s">
        <v>36</v>
      </c>
      <c r="W307">
        <v>4000</v>
      </c>
      <c r="X307" t="s">
        <v>49</v>
      </c>
      <c r="Y307" t="s">
        <v>50</v>
      </c>
      <c r="Z307" t="s">
        <v>51</v>
      </c>
      <c r="AA307" t="s">
        <v>37</v>
      </c>
      <c r="AB307" t="s">
        <v>52</v>
      </c>
      <c r="AC307" t="s">
        <v>53</v>
      </c>
      <c r="AD307" t="s">
        <v>54</v>
      </c>
      <c r="AE307">
        <v>7.2204658449799997</v>
      </c>
      <c r="AF307">
        <v>1311</v>
      </c>
      <c r="AG307">
        <v>1310.8120410199999</v>
      </c>
      <c r="AH307">
        <v>72205.821548399996</v>
      </c>
      <c r="AI307">
        <v>40</v>
      </c>
      <c r="AJ307">
        <v>28.001533500850201</v>
      </c>
      <c r="AK307" s="1">
        <f>intersection_ss_Lnight___surface[[#This Row],[surf m2 bout ss]]/intersection_ss_Lnight___surface[[#This Row],[Shape_Area]]</f>
        <v>3.8780160519440393E-4</v>
      </c>
      <c r="AL307">
        <v>1952</v>
      </c>
      <c r="AM307">
        <f>intersection_ss_Lnight___surface[[#This Row],[Population totale 2024 ss]]*intersection_ss_Lnight___surface[[#This Row],[Part de la surface du qs dans le noise contour]]</f>
        <v>0.75698873333947647</v>
      </c>
    </row>
    <row r="308" spans="1:39" x14ac:dyDescent="0.3">
      <c r="A308">
        <v>320</v>
      </c>
      <c r="B308" t="s">
        <v>887</v>
      </c>
      <c r="C308" t="s">
        <v>888</v>
      </c>
      <c r="D308" t="s">
        <v>889</v>
      </c>
      <c r="E308" t="s">
        <v>889</v>
      </c>
      <c r="F308" t="s">
        <v>873</v>
      </c>
      <c r="G308" t="s">
        <v>874</v>
      </c>
      <c r="H308" t="s">
        <v>875</v>
      </c>
      <c r="I308" t="s">
        <v>876</v>
      </c>
      <c r="J308" t="s">
        <v>36</v>
      </c>
      <c r="K308">
        <v>21012</v>
      </c>
      <c r="L308" t="s">
        <v>877</v>
      </c>
      <c r="M308" t="s">
        <v>878</v>
      </c>
      <c r="N308" t="s">
        <v>878</v>
      </c>
      <c r="O308">
        <v>21000</v>
      </c>
      <c r="P308" t="s">
        <v>46</v>
      </c>
      <c r="Q308" t="s">
        <v>47</v>
      </c>
      <c r="R308" t="s">
        <v>48</v>
      </c>
      <c r="T308" t="s">
        <v>36</v>
      </c>
      <c r="U308" t="s">
        <v>36</v>
      </c>
      <c r="V308" t="s">
        <v>36</v>
      </c>
      <c r="W308">
        <v>4000</v>
      </c>
      <c r="X308" t="s">
        <v>49</v>
      </c>
      <c r="Y308" t="s">
        <v>50</v>
      </c>
      <c r="Z308" t="s">
        <v>51</v>
      </c>
      <c r="AA308" t="s">
        <v>37</v>
      </c>
      <c r="AB308" t="s">
        <v>52</v>
      </c>
      <c r="AC308" t="s">
        <v>53</v>
      </c>
      <c r="AD308" t="s">
        <v>54</v>
      </c>
      <c r="AE308">
        <v>7.2204658449799997</v>
      </c>
      <c r="AF308">
        <v>1311</v>
      </c>
      <c r="AG308">
        <v>1310.8120410199999</v>
      </c>
      <c r="AH308">
        <v>72205.821548399996</v>
      </c>
      <c r="AI308">
        <v>41</v>
      </c>
      <c r="AJ308">
        <v>72184.838146762893</v>
      </c>
      <c r="AK308" s="1">
        <f>intersection_ss_Lnight___surface[[#This Row],[surf m2 bout ss]]/intersection_ss_Lnight___surface[[#This Row],[Shape_Area]]</f>
        <v>0.99970939460022568</v>
      </c>
      <c r="AL308">
        <v>1952</v>
      </c>
      <c r="AM308">
        <f>intersection_ss_Lnight___surface[[#This Row],[Population totale 2024 ss]]*intersection_ss_Lnight___surface[[#This Row],[Part de la surface du qs dans le noise contour]]</f>
        <v>1951.4327382596405</v>
      </c>
    </row>
    <row r="309" spans="1:39" x14ac:dyDescent="0.3">
      <c r="A309">
        <v>321</v>
      </c>
      <c r="B309" t="s">
        <v>890</v>
      </c>
      <c r="C309" t="s">
        <v>891</v>
      </c>
      <c r="D309" t="s">
        <v>892</v>
      </c>
      <c r="E309" t="s">
        <v>892</v>
      </c>
      <c r="F309" t="s">
        <v>873</v>
      </c>
      <c r="G309" t="s">
        <v>874</v>
      </c>
      <c r="H309" t="s">
        <v>875</v>
      </c>
      <c r="I309" t="s">
        <v>876</v>
      </c>
      <c r="J309" t="s">
        <v>36</v>
      </c>
      <c r="K309">
        <v>21012</v>
      </c>
      <c r="L309" t="s">
        <v>877</v>
      </c>
      <c r="M309" t="s">
        <v>878</v>
      </c>
      <c r="N309" t="s">
        <v>878</v>
      </c>
      <c r="O309">
        <v>21000</v>
      </c>
      <c r="P309" t="s">
        <v>46</v>
      </c>
      <c r="Q309" t="s">
        <v>47</v>
      </c>
      <c r="R309" t="s">
        <v>48</v>
      </c>
      <c r="T309" t="s">
        <v>36</v>
      </c>
      <c r="U309" t="s">
        <v>36</v>
      </c>
      <c r="V309" t="s">
        <v>36</v>
      </c>
      <c r="W309">
        <v>4000</v>
      </c>
      <c r="X309" t="s">
        <v>49</v>
      </c>
      <c r="Y309" t="s">
        <v>50</v>
      </c>
      <c r="Z309" t="s">
        <v>51</v>
      </c>
      <c r="AA309" t="s">
        <v>37</v>
      </c>
      <c r="AB309" t="s">
        <v>52</v>
      </c>
      <c r="AC309" t="s">
        <v>53</v>
      </c>
      <c r="AD309" t="s">
        <v>54</v>
      </c>
      <c r="AE309">
        <v>3.61176925442</v>
      </c>
      <c r="AF309">
        <v>820</v>
      </c>
      <c r="AG309">
        <v>820.27785006199997</v>
      </c>
      <c r="AH309">
        <v>36118.267563100002</v>
      </c>
      <c r="AI309">
        <v>41</v>
      </c>
      <c r="AJ309">
        <v>36121.757380369098</v>
      </c>
      <c r="AK309" s="1">
        <f>intersection_ss_Lnight___surface[[#This Row],[surf m2 bout ss]]/intersection_ss_Lnight___surface[[#This Row],[Shape_Area]]</f>
        <v>1.000096621945197</v>
      </c>
      <c r="AL309">
        <v>1083</v>
      </c>
      <c r="AM309">
        <f>intersection_ss_Lnight___surface[[#This Row],[Population totale 2024 ss]]*intersection_ss_Lnight___surface[[#This Row],[Part de la surface du qs dans le noise contour]]</f>
        <v>1083.1046415666483</v>
      </c>
    </row>
    <row r="310" spans="1:39" x14ac:dyDescent="0.3">
      <c r="A310">
        <v>322</v>
      </c>
      <c r="B310" t="s">
        <v>893</v>
      </c>
      <c r="C310" t="s">
        <v>894</v>
      </c>
      <c r="D310" t="s">
        <v>895</v>
      </c>
      <c r="E310" t="s">
        <v>895</v>
      </c>
      <c r="F310" t="s">
        <v>896</v>
      </c>
      <c r="G310" t="s">
        <v>874</v>
      </c>
      <c r="H310" t="s">
        <v>875</v>
      </c>
      <c r="I310" t="s">
        <v>876</v>
      </c>
      <c r="J310" t="s">
        <v>36</v>
      </c>
      <c r="K310">
        <v>21012</v>
      </c>
      <c r="L310" t="s">
        <v>877</v>
      </c>
      <c r="M310" t="s">
        <v>878</v>
      </c>
      <c r="N310" t="s">
        <v>878</v>
      </c>
      <c r="O310">
        <v>21000</v>
      </c>
      <c r="P310" t="s">
        <v>46</v>
      </c>
      <c r="Q310" t="s">
        <v>47</v>
      </c>
      <c r="R310" t="s">
        <v>48</v>
      </c>
      <c r="T310" t="s">
        <v>36</v>
      </c>
      <c r="U310" t="s">
        <v>36</v>
      </c>
      <c r="V310" t="s">
        <v>36</v>
      </c>
      <c r="W310">
        <v>4000</v>
      </c>
      <c r="X310" t="s">
        <v>49</v>
      </c>
      <c r="Y310" t="s">
        <v>50</v>
      </c>
      <c r="Z310" t="s">
        <v>51</v>
      </c>
      <c r="AA310" t="s">
        <v>37</v>
      </c>
      <c r="AB310" t="s">
        <v>52</v>
      </c>
      <c r="AC310" t="s">
        <v>53</v>
      </c>
      <c r="AD310" t="s">
        <v>54</v>
      </c>
      <c r="AE310">
        <v>12.3108468014</v>
      </c>
      <c r="AF310">
        <v>1715</v>
      </c>
      <c r="AG310">
        <v>1715.2343474700001</v>
      </c>
      <c r="AH310">
        <v>123110.456164</v>
      </c>
      <c r="AI310">
        <v>40</v>
      </c>
      <c r="AJ310">
        <v>111982.311260406</v>
      </c>
      <c r="AK310" s="1">
        <f>intersection_ss_Lnight___surface[[#This Row],[surf m2 bout ss]]/intersection_ss_Lnight___surface[[#This Row],[Shape_Area]]</f>
        <v>0.90960845040838945</v>
      </c>
      <c r="AL310">
        <v>2458</v>
      </c>
      <c r="AM310">
        <f>intersection_ss_Lnight___surface[[#This Row],[Population totale 2024 ss]]*intersection_ss_Lnight___surface[[#This Row],[Part de la surface du qs dans le noise contour]]</f>
        <v>2235.8175711038211</v>
      </c>
    </row>
    <row r="311" spans="1:39" x14ac:dyDescent="0.3">
      <c r="A311">
        <v>323</v>
      </c>
      <c r="B311" t="s">
        <v>893</v>
      </c>
      <c r="C311" t="s">
        <v>894</v>
      </c>
      <c r="D311" t="s">
        <v>895</v>
      </c>
      <c r="E311" t="s">
        <v>895</v>
      </c>
      <c r="F311" t="s">
        <v>896</v>
      </c>
      <c r="G311" t="s">
        <v>874</v>
      </c>
      <c r="H311" t="s">
        <v>875</v>
      </c>
      <c r="I311" t="s">
        <v>876</v>
      </c>
      <c r="J311" t="s">
        <v>36</v>
      </c>
      <c r="K311">
        <v>21012</v>
      </c>
      <c r="L311" t="s">
        <v>877</v>
      </c>
      <c r="M311" t="s">
        <v>878</v>
      </c>
      <c r="N311" t="s">
        <v>878</v>
      </c>
      <c r="O311">
        <v>21000</v>
      </c>
      <c r="P311" t="s">
        <v>46</v>
      </c>
      <c r="Q311" t="s">
        <v>47</v>
      </c>
      <c r="R311" t="s">
        <v>48</v>
      </c>
      <c r="T311" t="s">
        <v>36</v>
      </c>
      <c r="U311" t="s">
        <v>36</v>
      </c>
      <c r="V311" t="s">
        <v>36</v>
      </c>
      <c r="W311">
        <v>4000</v>
      </c>
      <c r="X311" t="s">
        <v>49</v>
      </c>
      <c r="Y311" t="s">
        <v>50</v>
      </c>
      <c r="Z311" t="s">
        <v>51</v>
      </c>
      <c r="AA311" t="s">
        <v>37</v>
      </c>
      <c r="AB311" t="s">
        <v>52</v>
      </c>
      <c r="AC311" t="s">
        <v>53</v>
      </c>
      <c r="AD311" t="s">
        <v>54</v>
      </c>
      <c r="AE311">
        <v>12.3108468014</v>
      </c>
      <c r="AF311">
        <v>1715</v>
      </c>
      <c r="AG311">
        <v>1715.2343474700001</v>
      </c>
      <c r="AH311">
        <v>123110.456164</v>
      </c>
      <c r="AI311">
        <v>41</v>
      </c>
      <c r="AJ311">
        <v>11140.185075138699</v>
      </c>
      <c r="AK311" s="1">
        <f>intersection_ss_Lnight___surface[[#This Row],[surf m2 bout ss]]/intersection_ss_Lnight___surface[[#This Row],[Shape_Area]]</f>
        <v>9.0489349339250652E-2</v>
      </c>
      <c r="AL311">
        <v>2458</v>
      </c>
      <c r="AM311">
        <f>intersection_ss_Lnight___surface[[#This Row],[Population totale 2024 ss]]*intersection_ss_Lnight___surface[[#This Row],[Part de la surface du qs dans le noise contour]]</f>
        <v>222.42282067587811</v>
      </c>
    </row>
    <row r="312" spans="1:39" x14ac:dyDescent="0.3">
      <c r="A312">
        <v>324</v>
      </c>
      <c r="B312" t="s">
        <v>897</v>
      </c>
      <c r="C312" t="s">
        <v>898</v>
      </c>
      <c r="D312" t="s">
        <v>898</v>
      </c>
      <c r="E312" t="s">
        <v>898</v>
      </c>
      <c r="F312" t="s">
        <v>896</v>
      </c>
      <c r="G312" t="s">
        <v>874</v>
      </c>
      <c r="H312" t="s">
        <v>875</v>
      </c>
      <c r="I312" t="s">
        <v>876</v>
      </c>
      <c r="J312" t="s">
        <v>36</v>
      </c>
      <c r="K312">
        <v>21012</v>
      </c>
      <c r="L312" t="s">
        <v>877</v>
      </c>
      <c r="M312" t="s">
        <v>878</v>
      </c>
      <c r="N312" t="s">
        <v>878</v>
      </c>
      <c r="O312">
        <v>21000</v>
      </c>
      <c r="P312" t="s">
        <v>46</v>
      </c>
      <c r="Q312" t="s">
        <v>47</v>
      </c>
      <c r="R312" t="s">
        <v>48</v>
      </c>
      <c r="T312" t="s">
        <v>36</v>
      </c>
      <c r="U312" t="s">
        <v>36</v>
      </c>
      <c r="V312" t="s">
        <v>36</v>
      </c>
      <c r="W312">
        <v>4000</v>
      </c>
      <c r="X312" t="s">
        <v>49</v>
      </c>
      <c r="Y312" t="s">
        <v>50</v>
      </c>
      <c r="Z312" t="s">
        <v>51</v>
      </c>
      <c r="AA312" t="s">
        <v>37</v>
      </c>
      <c r="AB312" t="s">
        <v>52</v>
      </c>
      <c r="AC312" t="s">
        <v>53</v>
      </c>
      <c r="AD312" t="s">
        <v>54</v>
      </c>
      <c r="AE312">
        <v>18.6059250689</v>
      </c>
      <c r="AF312">
        <v>2661</v>
      </c>
      <c r="AG312">
        <v>2660.6081025899998</v>
      </c>
      <c r="AH312">
        <v>186062.265678</v>
      </c>
      <c r="AI312">
        <v>40</v>
      </c>
      <c r="AJ312">
        <v>112856.073049941</v>
      </c>
      <c r="AK312" s="1">
        <f>intersection_ss_Lnight___surface[[#This Row],[surf m2 bout ss]]/intersection_ss_Lnight___surface[[#This Row],[Shape_Area]]</f>
        <v>0.60655003118821582</v>
      </c>
      <c r="AL312">
        <v>1558</v>
      </c>
      <c r="AM312">
        <f>intersection_ss_Lnight___surface[[#This Row],[Population totale 2024 ss]]*intersection_ss_Lnight___surface[[#This Row],[Part de la surface du qs dans le noise contour]]</f>
        <v>945.00494859124024</v>
      </c>
    </row>
    <row r="313" spans="1:39" x14ac:dyDescent="0.3">
      <c r="A313">
        <v>325</v>
      </c>
      <c r="B313" t="s">
        <v>899</v>
      </c>
      <c r="C313" t="s">
        <v>900</v>
      </c>
      <c r="D313" t="s">
        <v>901</v>
      </c>
      <c r="E313" t="s">
        <v>901</v>
      </c>
      <c r="F313" t="s">
        <v>896</v>
      </c>
      <c r="G313" t="s">
        <v>874</v>
      </c>
      <c r="H313" t="s">
        <v>875</v>
      </c>
      <c r="I313" t="s">
        <v>876</v>
      </c>
      <c r="J313" t="s">
        <v>36</v>
      </c>
      <c r="K313">
        <v>21012</v>
      </c>
      <c r="L313" t="s">
        <v>877</v>
      </c>
      <c r="M313" t="s">
        <v>878</v>
      </c>
      <c r="N313" t="s">
        <v>878</v>
      </c>
      <c r="O313">
        <v>21000</v>
      </c>
      <c r="P313" t="s">
        <v>46</v>
      </c>
      <c r="Q313" t="s">
        <v>47</v>
      </c>
      <c r="R313" t="s">
        <v>48</v>
      </c>
      <c r="T313" t="s">
        <v>36</v>
      </c>
      <c r="U313" t="s">
        <v>36</v>
      </c>
      <c r="V313" t="s">
        <v>36</v>
      </c>
      <c r="W313">
        <v>4000</v>
      </c>
      <c r="X313" t="s">
        <v>49</v>
      </c>
      <c r="Y313" t="s">
        <v>50</v>
      </c>
      <c r="Z313" t="s">
        <v>51</v>
      </c>
      <c r="AA313" t="s">
        <v>37</v>
      </c>
      <c r="AB313" t="s">
        <v>52</v>
      </c>
      <c r="AC313" t="s">
        <v>53</v>
      </c>
      <c r="AD313" t="s">
        <v>54</v>
      </c>
      <c r="AE313">
        <v>12.474168562399999</v>
      </c>
      <c r="AF313">
        <v>2080</v>
      </c>
      <c r="AG313">
        <v>2079.6474206600001</v>
      </c>
      <c r="AH313">
        <v>124743.648891</v>
      </c>
      <c r="AI313">
        <v>40</v>
      </c>
      <c r="AJ313">
        <v>87829.194887999402</v>
      </c>
      <c r="AK313" s="1">
        <f>intersection_ss_Lnight___surface[[#This Row],[surf m2 bout ss]]/intersection_ss_Lnight___surface[[#This Row],[Shape_Area]]</f>
        <v>0.70407748746185739</v>
      </c>
      <c r="AL313">
        <v>1389</v>
      </c>
      <c r="AM313">
        <f>intersection_ss_Lnight___surface[[#This Row],[Population totale 2024 ss]]*intersection_ss_Lnight___surface[[#This Row],[Part de la surface du qs dans le noise contour]]</f>
        <v>977.96363008451988</v>
      </c>
    </row>
    <row r="314" spans="1:39" x14ac:dyDescent="0.3">
      <c r="A314">
        <v>326</v>
      </c>
      <c r="B314" t="s">
        <v>902</v>
      </c>
      <c r="C314" t="s">
        <v>903</v>
      </c>
      <c r="D314" t="s">
        <v>904</v>
      </c>
      <c r="E314" t="s">
        <v>904</v>
      </c>
      <c r="F314" t="s">
        <v>896</v>
      </c>
      <c r="G314" t="s">
        <v>874</v>
      </c>
      <c r="H314" t="s">
        <v>875</v>
      </c>
      <c r="I314" t="s">
        <v>876</v>
      </c>
      <c r="J314" t="s">
        <v>36</v>
      </c>
      <c r="K314">
        <v>21012</v>
      </c>
      <c r="L314" t="s">
        <v>877</v>
      </c>
      <c r="M314" t="s">
        <v>878</v>
      </c>
      <c r="N314" t="s">
        <v>878</v>
      </c>
      <c r="O314">
        <v>21000</v>
      </c>
      <c r="P314" t="s">
        <v>46</v>
      </c>
      <c r="Q314" t="s">
        <v>47</v>
      </c>
      <c r="R314" t="s">
        <v>48</v>
      </c>
      <c r="T314" t="s">
        <v>36</v>
      </c>
      <c r="U314" t="s">
        <v>36</v>
      </c>
      <c r="V314" t="s">
        <v>36</v>
      </c>
      <c r="W314">
        <v>4000</v>
      </c>
      <c r="X314" t="s">
        <v>49</v>
      </c>
      <c r="Y314" t="s">
        <v>50</v>
      </c>
      <c r="Z314" t="s">
        <v>51</v>
      </c>
      <c r="AA314" t="s">
        <v>37</v>
      </c>
      <c r="AB314" t="s">
        <v>52</v>
      </c>
      <c r="AC314" t="s">
        <v>53</v>
      </c>
      <c r="AD314" t="s">
        <v>54</v>
      </c>
      <c r="AE314">
        <v>12.389813927600001</v>
      </c>
      <c r="AF314">
        <v>1635</v>
      </c>
      <c r="AG314">
        <v>1635.14731368</v>
      </c>
      <c r="AH314">
        <v>123900.137344</v>
      </c>
      <c r="AI314">
        <v>40</v>
      </c>
      <c r="AJ314">
        <v>72105.137502466299</v>
      </c>
      <c r="AK314" s="1">
        <f>intersection_ss_Lnight___surface[[#This Row],[surf m2 bout ss]]/intersection_ss_Lnight___surface[[#This Row],[Shape_Area]]</f>
        <v>0.58196172375718569</v>
      </c>
      <c r="AL314">
        <v>1563</v>
      </c>
      <c r="AM314">
        <f>intersection_ss_Lnight___surface[[#This Row],[Population totale 2024 ss]]*intersection_ss_Lnight___surface[[#This Row],[Part de la surface du qs dans le noise contour]]</f>
        <v>909.60617423248118</v>
      </c>
    </row>
    <row r="315" spans="1:39" x14ac:dyDescent="0.3">
      <c r="A315">
        <v>327</v>
      </c>
      <c r="B315" t="s">
        <v>905</v>
      </c>
      <c r="C315" t="s">
        <v>906</v>
      </c>
      <c r="D315" t="s">
        <v>907</v>
      </c>
      <c r="E315" t="s">
        <v>907</v>
      </c>
      <c r="F315" t="s">
        <v>896</v>
      </c>
      <c r="G315" t="s">
        <v>874</v>
      </c>
      <c r="H315" t="s">
        <v>875</v>
      </c>
      <c r="I315" t="s">
        <v>876</v>
      </c>
      <c r="J315" t="s">
        <v>36</v>
      </c>
      <c r="K315">
        <v>21012</v>
      </c>
      <c r="L315" t="s">
        <v>877</v>
      </c>
      <c r="M315" t="s">
        <v>878</v>
      </c>
      <c r="N315" t="s">
        <v>878</v>
      </c>
      <c r="O315">
        <v>21000</v>
      </c>
      <c r="P315" t="s">
        <v>46</v>
      </c>
      <c r="Q315" t="s">
        <v>47</v>
      </c>
      <c r="R315" t="s">
        <v>48</v>
      </c>
      <c r="T315" t="s">
        <v>36</v>
      </c>
      <c r="U315" t="s">
        <v>36</v>
      </c>
      <c r="V315" t="s">
        <v>36</v>
      </c>
      <c r="W315">
        <v>4000</v>
      </c>
      <c r="X315" t="s">
        <v>49</v>
      </c>
      <c r="Y315" t="s">
        <v>50</v>
      </c>
      <c r="Z315" t="s">
        <v>51</v>
      </c>
      <c r="AA315" t="s">
        <v>37</v>
      </c>
      <c r="AB315" t="s">
        <v>52</v>
      </c>
      <c r="AC315" t="s">
        <v>53</v>
      </c>
      <c r="AD315" t="s">
        <v>54</v>
      </c>
      <c r="AE315">
        <v>9.8445828973400005</v>
      </c>
      <c r="AF315">
        <v>1578</v>
      </c>
      <c r="AG315">
        <v>1578.5036277199999</v>
      </c>
      <c r="AH315">
        <v>98447.421092599994</v>
      </c>
      <c r="AI315">
        <v>40</v>
      </c>
      <c r="AJ315">
        <v>60980.415568111603</v>
      </c>
      <c r="AK315" s="1">
        <f>intersection_ss_Lnight___surface[[#This Row],[surf m2 bout ss]]/intersection_ss_Lnight___surface[[#This Row],[Shape_Area]]</f>
        <v>0.61942115792706454</v>
      </c>
      <c r="AL315">
        <v>2573</v>
      </c>
      <c r="AM315">
        <f>intersection_ss_Lnight___surface[[#This Row],[Population totale 2024 ss]]*intersection_ss_Lnight___surface[[#This Row],[Part de la surface du qs dans le noise contour]]</f>
        <v>1593.770639346337</v>
      </c>
    </row>
    <row r="316" spans="1:39" x14ac:dyDescent="0.3">
      <c r="A316">
        <v>328</v>
      </c>
      <c r="B316" t="s">
        <v>905</v>
      </c>
      <c r="C316" t="s">
        <v>906</v>
      </c>
      <c r="D316" t="s">
        <v>907</v>
      </c>
      <c r="E316" t="s">
        <v>907</v>
      </c>
      <c r="F316" t="s">
        <v>896</v>
      </c>
      <c r="G316" t="s">
        <v>874</v>
      </c>
      <c r="H316" t="s">
        <v>875</v>
      </c>
      <c r="I316" t="s">
        <v>876</v>
      </c>
      <c r="J316" t="s">
        <v>36</v>
      </c>
      <c r="K316">
        <v>21012</v>
      </c>
      <c r="L316" t="s">
        <v>877</v>
      </c>
      <c r="M316" t="s">
        <v>878</v>
      </c>
      <c r="N316" t="s">
        <v>878</v>
      </c>
      <c r="O316">
        <v>21000</v>
      </c>
      <c r="P316" t="s">
        <v>46</v>
      </c>
      <c r="Q316" t="s">
        <v>47</v>
      </c>
      <c r="R316" t="s">
        <v>48</v>
      </c>
      <c r="T316" t="s">
        <v>36</v>
      </c>
      <c r="U316" t="s">
        <v>36</v>
      </c>
      <c r="V316" t="s">
        <v>36</v>
      </c>
      <c r="W316">
        <v>4000</v>
      </c>
      <c r="X316" t="s">
        <v>49</v>
      </c>
      <c r="Y316" t="s">
        <v>50</v>
      </c>
      <c r="Z316" t="s">
        <v>51</v>
      </c>
      <c r="AA316" t="s">
        <v>37</v>
      </c>
      <c r="AB316" t="s">
        <v>52</v>
      </c>
      <c r="AC316" t="s">
        <v>53</v>
      </c>
      <c r="AD316" t="s">
        <v>54</v>
      </c>
      <c r="AE316">
        <v>9.8445828973400005</v>
      </c>
      <c r="AF316">
        <v>1578</v>
      </c>
      <c r="AG316">
        <v>1578.5036277199999</v>
      </c>
      <c r="AH316">
        <v>98447.421092599994</v>
      </c>
      <c r="AI316">
        <v>41</v>
      </c>
      <c r="AJ316">
        <v>37476.595630493801</v>
      </c>
      <c r="AK316" s="1">
        <f>intersection_ss_Lnight___surface[[#This Row],[surf m2 bout ss]]/intersection_ss_Lnight___surface[[#This Row],[Shape_Area]]</f>
        <v>0.38067625555415191</v>
      </c>
      <c r="AL316">
        <v>2573</v>
      </c>
      <c r="AM316">
        <f>intersection_ss_Lnight___surface[[#This Row],[Population totale 2024 ss]]*intersection_ss_Lnight___surface[[#This Row],[Part de la surface du qs dans le noise contour]]</f>
        <v>979.48000554083285</v>
      </c>
    </row>
    <row r="317" spans="1:39" x14ac:dyDescent="0.3">
      <c r="A317">
        <v>329</v>
      </c>
      <c r="B317" t="s">
        <v>908</v>
      </c>
      <c r="C317" t="s">
        <v>909</v>
      </c>
      <c r="D317" t="s">
        <v>910</v>
      </c>
      <c r="E317" t="s">
        <v>910</v>
      </c>
      <c r="F317" t="s">
        <v>896</v>
      </c>
      <c r="G317" t="s">
        <v>874</v>
      </c>
      <c r="H317" t="s">
        <v>875</v>
      </c>
      <c r="I317" t="s">
        <v>876</v>
      </c>
      <c r="J317" t="s">
        <v>36</v>
      </c>
      <c r="K317">
        <v>21012</v>
      </c>
      <c r="L317" t="s">
        <v>877</v>
      </c>
      <c r="M317" t="s">
        <v>878</v>
      </c>
      <c r="N317" t="s">
        <v>878</v>
      </c>
      <c r="O317">
        <v>21000</v>
      </c>
      <c r="P317" t="s">
        <v>46</v>
      </c>
      <c r="Q317" t="s">
        <v>47</v>
      </c>
      <c r="R317" t="s">
        <v>48</v>
      </c>
      <c r="T317" t="s">
        <v>36</v>
      </c>
      <c r="U317" t="s">
        <v>36</v>
      </c>
      <c r="V317" t="s">
        <v>36</v>
      </c>
      <c r="W317">
        <v>4000</v>
      </c>
      <c r="X317" t="s">
        <v>49</v>
      </c>
      <c r="Y317" t="s">
        <v>50</v>
      </c>
      <c r="Z317" t="s">
        <v>51</v>
      </c>
      <c r="AA317" t="s">
        <v>37</v>
      </c>
      <c r="AB317" t="s">
        <v>52</v>
      </c>
      <c r="AC317" t="s">
        <v>53</v>
      </c>
      <c r="AD317" t="s">
        <v>54</v>
      </c>
      <c r="AE317">
        <v>18.569707856200001</v>
      </c>
      <c r="AF317">
        <v>2179</v>
      </c>
      <c r="AG317">
        <v>2179.04508201</v>
      </c>
      <c r="AH317">
        <v>185700.07438500001</v>
      </c>
      <c r="AI317">
        <v>40</v>
      </c>
      <c r="AJ317">
        <v>18997.866910545999</v>
      </c>
      <c r="AK317" s="1">
        <f>intersection_ss_Lnight___surface[[#This Row],[surf m2 bout ss]]/intersection_ss_Lnight___surface[[#This Row],[Shape_Area]]</f>
        <v>0.10230403500624854</v>
      </c>
      <c r="AL317">
        <v>5852</v>
      </c>
      <c r="AM317">
        <f>intersection_ss_Lnight___surface[[#This Row],[Population totale 2024 ss]]*intersection_ss_Lnight___surface[[#This Row],[Part de la surface du qs dans le noise contour]]</f>
        <v>598.68321285656646</v>
      </c>
    </row>
    <row r="318" spans="1:39" x14ac:dyDescent="0.3">
      <c r="A318">
        <v>330</v>
      </c>
      <c r="B318" t="s">
        <v>908</v>
      </c>
      <c r="C318" t="s">
        <v>909</v>
      </c>
      <c r="D318" t="s">
        <v>910</v>
      </c>
      <c r="E318" t="s">
        <v>910</v>
      </c>
      <c r="F318" t="s">
        <v>896</v>
      </c>
      <c r="G318" t="s">
        <v>874</v>
      </c>
      <c r="H318" t="s">
        <v>875</v>
      </c>
      <c r="I318" t="s">
        <v>876</v>
      </c>
      <c r="J318" t="s">
        <v>36</v>
      </c>
      <c r="K318">
        <v>21012</v>
      </c>
      <c r="L318" t="s">
        <v>877</v>
      </c>
      <c r="M318" t="s">
        <v>878</v>
      </c>
      <c r="N318" t="s">
        <v>878</v>
      </c>
      <c r="O318">
        <v>21000</v>
      </c>
      <c r="P318" t="s">
        <v>46</v>
      </c>
      <c r="Q318" t="s">
        <v>47</v>
      </c>
      <c r="R318" t="s">
        <v>48</v>
      </c>
      <c r="T318" t="s">
        <v>36</v>
      </c>
      <c r="U318" t="s">
        <v>36</v>
      </c>
      <c r="V318" t="s">
        <v>36</v>
      </c>
      <c r="W318">
        <v>4000</v>
      </c>
      <c r="X318" t="s">
        <v>49</v>
      </c>
      <c r="Y318" t="s">
        <v>50</v>
      </c>
      <c r="Z318" t="s">
        <v>51</v>
      </c>
      <c r="AA318" t="s">
        <v>37</v>
      </c>
      <c r="AB318" t="s">
        <v>52</v>
      </c>
      <c r="AC318" t="s">
        <v>53</v>
      </c>
      <c r="AD318" t="s">
        <v>54</v>
      </c>
      <c r="AE318">
        <v>18.569707856200001</v>
      </c>
      <c r="AF318">
        <v>2179</v>
      </c>
      <c r="AG318">
        <v>2179.04508201</v>
      </c>
      <c r="AH318">
        <v>185700.07438500001</v>
      </c>
      <c r="AI318">
        <v>41</v>
      </c>
      <c r="AJ318">
        <v>166720.17686351499</v>
      </c>
      <c r="AK318" s="1">
        <f>intersection_ss_Lnight___surface[[#This Row],[surf m2 bout ss]]/intersection_ss_Lnight___surface[[#This Row],[Shape_Area]]</f>
        <v>0.89779273064729515</v>
      </c>
      <c r="AL318">
        <v>5852</v>
      </c>
      <c r="AM318">
        <f>intersection_ss_Lnight___surface[[#This Row],[Population totale 2024 ss]]*intersection_ss_Lnight___surface[[#This Row],[Part de la surface du qs dans le noise contour]]</f>
        <v>5253.8830597479709</v>
      </c>
    </row>
    <row r="319" spans="1:39" x14ac:dyDescent="0.3">
      <c r="A319">
        <v>331</v>
      </c>
      <c r="B319" t="s">
        <v>911</v>
      </c>
      <c r="C319" t="s">
        <v>912</v>
      </c>
      <c r="D319" t="s">
        <v>913</v>
      </c>
      <c r="E319" t="s">
        <v>913</v>
      </c>
      <c r="F319" t="s">
        <v>896</v>
      </c>
      <c r="G319" t="s">
        <v>874</v>
      </c>
      <c r="H319" t="s">
        <v>875</v>
      </c>
      <c r="I319" t="s">
        <v>876</v>
      </c>
      <c r="J319" t="s">
        <v>36</v>
      </c>
      <c r="K319">
        <v>21012</v>
      </c>
      <c r="L319" t="s">
        <v>877</v>
      </c>
      <c r="M319" t="s">
        <v>878</v>
      </c>
      <c r="N319" t="s">
        <v>878</v>
      </c>
      <c r="O319">
        <v>21000</v>
      </c>
      <c r="P319" t="s">
        <v>46</v>
      </c>
      <c r="Q319" t="s">
        <v>47</v>
      </c>
      <c r="R319" t="s">
        <v>48</v>
      </c>
      <c r="T319" t="s">
        <v>36</v>
      </c>
      <c r="U319" t="s">
        <v>36</v>
      </c>
      <c r="V319" t="s">
        <v>36</v>
      </c>
      <c r="W319">
        <v>4000</v>
      </c>
      <c r="X319" t="s">
        <v>49</v>
      </c>
      <c r="Y319" t="s">
        <v>50</v>
      </c>
      <c r="Z319" t="s">
        <v>51</v>
      </c>
      <c r="AA319" t="s">
        <v>37</v>
      </c>
      <c r="AB319" t="s">
        <v>52</v>
      </c>
      <c r="AC319" t="s">
        <v>53</v>
      </c>
      <c r="AD319" t="s">
        <v>54</v>
      </c>
      <c r="AE319">
        <v>11.4005598815</v>
      </c>
      <c r="AF319">
        <v>1984</v>
      </c>
      <c r="AG319">
        <v>1984.0417148500001</v>
      </c>
      <c r="AH319">
        <v>114007.439977</v>
      </c>
      <c r="AI319">
        <v>40</v>
      </c>
      <c r="AJ319">
        <v>113967.561476031</v>
      </c>
      <c r="AK319" s="1">
        <f>intersection_ss_Lnight___surface[[#This Row],[surf m2 bout ss]]/intersection_ss_Lnight___surface[[#This Row],[Shape_Area]]</f>
        <v>0.99965021141622823</v>
      </c>
      <c r="AL319">
        <v>1613</v>
      </c>
      <c r="AM319">
        <f>intersection_ss_Lnight___surface[[#This Row],[Population totale 2024 ss]]*intersection_ss_Lnight___surface[[#This Row],[Part de la surface du qs dans le noise contour]]</f>
        <v>1612.435791014376</v>
      </c>
    </row>
    <row r="320" spans="1:39" x14ac:dyDescent="0.3">
      <c r="A320">
        <v>332</v>
      </c>
      <c r="B320" t="s">
        <v>911</v>
      </c>
      <c r="C320" t="s">
        <v>912</v>
      </c>
      <c r="D320" t="s">
        <v>913</v>
      </c>
      <c r="E320" t="s">
        <v>913</v>
      </c>
      <c r="F320" t="s">
        <v>896</v>
      </c>
      <c r="G320" t="s">
        <v>874</v>
      </c>
      <c r="H320" t="s">
        <v>875</v>
      </c>
      <c r="I320" t="s">
        <v>876</v>
      </c>
      <c r="J320" t="s">
        <v>36</v>
      </c>
      <c r="K320">
        <v>21012</v>
      </c>
      <c r="L320" t="s">
        <v>877</v>
      </c>
      <c r="M320" t="s">
        <v>878</v>
      </c>
      <c r="N320" t="s">
        <v>878</v>
      </c>
      <c r="O320">
        <v>21000</v>
      </c>
      <c r="P320" t="s">
        <v>46</v>
      </c>
      <c r="Q320" t="s">
        <v>47</v>
      </c>
      <c r="R320" t="s">
        <v>48</v>
      </c>
      <c r="T320" t="s">
        <v>36</v>
      </c>
      <c r="U320" t="s">
        <v>36</v>
      </c>
      <c r="V320" t="s">
        <v>36</v>
      </c>
      <c r="W320">
        <v>4000</v>
      </c>
      <c r="X320" t="s">
        <v>49</v>
      </c>
      <c r="Y320" t="s">
        <v>50</v>
      </c>
      <c r="Z320" t="s">
        <v>51</v>
      </c>
      <c r="AA320" t="s">
        <v>37</v>
      </c>
      <c r="AB320" t="s">
        <v>52</v>
      </c>
      <c r="AC320" t="s">
        <v>53</v>
      </c>
      <c r="AD320" t="s">
        <v>54</v>
      </c>
      <c r="AE320">
        <v>11.4005598815</v>
      </c>
      <c r="AF320">
        <v>1984</v>
      </c>
      <c r="AG320">
        <v>1984.0417148500001</v>
      </c>
      <c r="AH320">
        <v>114007.439977</v>
      </c>
      <c r="AI320">
        <v>41</v>
      </c>
      <c r="AJ320">
        <v>51.016738257138101</v>
      </c>
      <c r="AK320" s="1">
        <f>intersection_ss_Lnight___surface[[#This Row],[surf m2 bout ss]]/intersection_ss_Lnight___surface[[#This Row],[Shape_Area]]</f>
        <v>4.4748604360759505E-4</v>
      </c>
      <c r="AL320">
        <v>1613</v>
      </c>
      <c r="AM320">
        <f>intersection_ss_Lnight___surface[[#This Row],[Population totale 2024 ss]]*intersection_ss_Lnight___surface[[#This Row],[Part de la surface du qs dans le noise contour]]</f>
        <v>0.72179498833905087</v>
      </c>
    </row>
    <row r="321" spans="1:39" x14ac:dyDescent="0.3">
      <c r="A321">
        <v>333</v>
      </c>
      <c r="B321" t="s">
        <v>914</v>
      </c>
      <c r="C321" t="s">
        <v>915</v>
      </c>
      <c r="D321" t="s">
        <v>915</v>
      </c>
      <c r="E321" t="s">
        <v>915</v>
      </c>
      <c r="F321" t="s">
        <v>916</v>
      </c>
      <c r="G321" t="s">
        <v>874</v>
      </c>
      <c r="H321" t="s">
        <v>875</v>
      </c>
      <c r="I321" t="s">
        <v>876</v>
      </c>
      <c r="J321" t="s">
        <v>36</v>
      </c>
      <c r="K321">
        <v>21012</v>
      </c>
      <c r="L321" t="s">
        <v>877</v>
      </c>
      <c r="M321" t="s">
        <v>878</v>
      </c>
      <c r="N321" t="s">
        <v>878</v>
      </c>
      <c r="O321">
        <v>21000</v>
      </c>
      <c r="P321" t="s">
        <v>46</v>
      </c>
      <c r="Q321" t="s">
        <v>47</v>
      </c>
      <c r="R321" t="s">
        <v>48</v>
      </c>
      <c r="T321" t="s">
        <v>36</v>
      </c>
      <c r="U321" t="s">
        <v>36</v>
      </c>
      <c r="V321" t="s">
        <v>36</v>
      </c>
      <c r="W321">
        <v>4000</v>
      </c>
      <c r="X321" t="s">
        <v>49</v>
      </c>
      <c r="Y321" t="s">
        <v>50</v>
      </c>
      <c r="Z321" t="s">
        <v>51</v>
      </c>
      <c r="AA321" t="s">
        <v>37</v>
      </c>
      <c r="AB321" t="s">
        <v>52</v>
      </c>
      <c r="AC321" t="s">
        <v>53</v>
      </c>
      <c r="AD321" t="s">
        <v>54</v>
      </c>
      <c r="AE321">
        <v>11.7142417794</v>
      </c>
      <c r="AF321">
        <v>1614</v>
      </c>
      <c r="AG321">
        <v>1614.5074101499999</v>
      </c>
      <c r="AH321">
        <v>117144.30001599999</v>
      </c>
      <c r="AI321">
        <v>40</v>
      </c>
      <c r="AJ321">
        <v>20911.620079034001</v>
      </c>
      <c r="AK321" s="1">
        <f>intersection_ss_Lnight___surface[[#This Row],[surf m2 bout ss]]/intersection_ss_Lnight___surface[[#This Row],[Shape_Area]]</f>
        <v>0.17851163117776805</v>
      </c>
      <c r="AL321">
        <v>2238</v>
      </c>
      <c r="AM321">
        <f>intersection_ss_Lnight___surface[[#This Row],[Population totale 2024 ss]]*intersection_ss_Lnight___surface[[#This Row],[Part de la surface du qs dans le noise contour]]</f>
        <v>399.50903057584492</v>
      </c>
    </row>
    <row r="322" spans="1:39" x14ac:dyDescent="0.3">
      <c r="A322">
        <v>334</v>
      </c>
      <c r="B322" t="s">
        <v>917</v>
      </c>
      <c r="C322" t="s">
        <v>918</v>
      </c>
      <c r="D322" t="s">
        <v>919</v>
      </c>
      <c r="E322" t="s">
        <v>919</v>
      </c>
      <c r="F322" t="s">
        <v>916</v>
      </c>
      <c r="G322" t="s">
        <v>874</v>
      </c>
      <c r="H322" t="s">
        <v>875</v>
      </c>
      <c r="I322" t="s">
        <v>876</v>
      </c>
      <c r="J322" t="s">
        <v>36</v>
      </c>
      <c r="K322">
        <v>21012</v>
      </c>
      <c r="L322" t="s">
        <v>877</v>
      </c>
      <c r="M322" t="s">
        <v>878</v>
      </c>
      <c r="N322" t="s">
        <v>878</v>
      </c>
      <c r="O322">
        <v>21000</v>
      </c>
      <c r="P322" t="s">
        <v>46</v>
      </c>
      <c r="Q322" t="s">
        <v>47</v>
      </c>
      <c r="R322" t="s">
        <v>48</v>
      </c>
      <c r="T322" t="s">
        <v>36</v>
      </c>
      <c r="U322" t="s">
        <v>36</v>
      </c>
      <c r="V322" t="s">
        <v>36</v>
      </c>
      <c r="W322">
        <v>4000</v>
      </c>
      <c r="X322" t="s">
        <v>49</v>
      </c>
      <c r="Y322" t="s">
        <v>50</v>
      </c>
      <c r="Z322" t="s">
        <v>51</v>
      </c>
      <c r="AA322" t="s">
        <v>37</v>
      </c>
      <c r="AB322" t="s">
        <v>52</v>
      </c>
      <c r="AC322" t="s">
        <v>53</v>
      </c>
      <c r="AD322" t="s">
        <v>54</v>
      </c>
      <c r="AE322">
        <v>4.3943174702599999</v>
      </c>
      <c r="AF322">
        <v>1647</v>
      </c>
      <c r="AG322">
        <v>1646.80327622</v>
      </c>
      <c r="AH322">
        <v>43943.886203800001</v>
      </c>
      <c r="AI322">
        <v>40</v>
      </c>
      <c r="AJ322">
        <v>43948.166123012998</v>
      </c>
      <c r="AK322" s="1">
        <f>intersection_ss_Lnight___surface[[#This Row],[surf m2 bout ss]]/intersection_ss_Lnight___surface[[#This Row],[Shape_Area]]</f>
        <v>1.0000973951004959</v>
      </c>
      <c r="AL322">
        <v>1541</v>
      </c>
      <c r="AM322">
        <f>intersection_ss_Lnight___surface[[#This Row],[Population totale 2024 ss]]*intersection_ss_Lnight___surface[[#This Row],[Part de la surface du qs dans le noise contour]]</f>
        <v>1541.1500858498641</v>
      </c>
    </row>
    <row r="323" spans="1:39" x14ac:dyDescent="0.3">
      <c r="A323">
        <v>335</v>
      </c>
      <c r="B323" t="s">
        <v>920</v>
      </c>
      <c r="C323" t="s">
        <v>921</v>
      </c>
      <c r="D323" t="s">
        <v>921</v>
      </c>
      <c r="E323" t="s">
        <v>921</v>
      </c>
      <c r="F323" t="s">
        <v>916</v>
      </c>
      <c r="G323" t="s">
        <v>874</v>
      </c>
      <c r="H323" t="s">
        <v>875</v>
      </c>
      <c r="I323" t="s">
        <v>876</v>
      </c>
      <c r="J323" t="s">
        <v>36</v>
      </c>
      <c r="K323">
        <v>21012</v>
      </c>
      <c r="L323" t="s">
        <v>877</v>
      </c>
      <c r="M323" t="s">
        <v>878</v>
      </c>
      <c r="N323" t="s">
        <v>878</v>
      </c>
      <c r="O323">
        <v>21000</v>
      </c>
      <c r="P323" t="s">
        <v>46</v>
      </c>
      <c r="Q323" t="s">
        <v>47</v>
      </c>
      <c r="R323" t="s">
        <v>48</v>
      </c>
      <c r="T323" t="s">
        <v>36</v>
      </c>
      <c r="U323" t="s">
        <v>36</v>
      </c>
      <c r="V323" t="s">
        <v>36</v>
      </c>
      <c r="W323">
        <v>4000</v>
      </c>
      <c r="X323" t="s">
        <v>49</v>
      </c>
      <c r="Y323" t="s">
        <v>50</v>
      </c>
      <c r="Z323" t="s">
        <v>51</v>
      </c>
      <c r="AA323" t="s">
        <v>37</v>
      </c>
      <c r="AB323" t="s">
        <v>52</v>
      </c>
      <c r="AC323" t="s">
        <v>53</v>
      </c>
      <c r="AD323" t="s">
        <v>54</v>
      </c>
      <c r="AE323">
        <v>4.1350703962599997</v>
      </c>
      <c r="AF323">
        <v>905</v>
      </c>
      <c r="AG323">
        <v>905.25601849400005</v>
      </c>
      <c r="AH323">
        <v>41351.374015100002</v>
      </c>
      <c r="AI323">
        <v>40</v>
      </c>
      <c r="AJ323">
        <v>17367.192615206401</v>
      </c>
      <c r="AK323" s="1">
        <f>intersection_ss_Lnight___surface[[#This Row],[surf m2 bout ss]]/intersection_ss_Lnight___surface[[#This Row],[Shape_Area]]</f>
        <v>0.41999070233711072</v>
      </c>
      <c r="AL323">
        <v>254</v>
      </c>
      <c r="AM323">
        <f>intersection_ss_Lnight___surface[[#This Row],[Population totale 2024 ss]]*intersection_ss_Lnight___surface[[#This Row],[Part de la surface du qs dans le noise contour]]</f>
        <v>106.67763839362613</v>
      </c>
    </row>
    <row r="324" spans="1:39" x14ac:dyDescent="0.3">
      <c r="A324">
        <v>336</v>
      </c>
      <c r="B324" t="s">
        <v>925</v>
      </c>
      <c r="C324" t="s">
        <v>105</v>
      </c>
      <c r="D324" t="s">
        <v>926</v>
      </c>
      <c r="E324" t="s">
        <v>926</v>
      </c>
      <c r="F324" t="s">
        <v>916</v>
      </c>
      <c r="G324" t="s">
        <v>874</v>
      </c>
      <c r="H324" t="s">
        <v>875</v>
      </c>
      <c r="I324" t="s">
        <v>876</v>
      </c>
      <c r="J324" t="s">
        <v>36</v>
      </c>
      <c r="K324">
        <v>21012</v>
      </c>
      <c r="L324" t="s">
        <v>877</v>
      </c>
      <c r="M324" t="s">
        <v>878</v>
      </c>
      <c r="N324" t="s">
        <v>878</v>
      </c>
      <c r="O324">
        <v>21000</v>
      </c>
      <c r="P324" t="s">
        <v>46</v>
      </c>
      <c r="Q324" t="s">
        <v>47</v>
      </c>
      <c r="R324" t="s">
        <v>48</v>
      </c>
      <c r="T324" t="s">
        <v>36</v>
      </c>
      <c r="U324" t="s">
        <v>36</v>
      </c>
      <c r="V324" t="s">
        <v>36</v>
      </c>
      <c r="W324">
        <v>4000</v>
      </c>
      <c r="X324" t="s">
        <v>49</v>
      </c>
      <c r="Y324" t="s">
        <v>50</v>
      </c>
      <c r="Z324" t="s">
        <v>51</v>
      </c>
      <c r="AA324" t="s">
        <v>37</v>
      </c>
      <c r="AB324" t="s">
        <v>52</v>
      </c>
      <c r="AC324" t="s">
        <v>53</v>
      </c>
      <c r="AD324" t="s">
        <v>54</v>
      </c>
      <c r="AE324">
        <v>13.901757234</v>
      </c>
      <c r="AF324">
        <v>1821</v>
      </c>
      <c r="AG324">
        <v>1821.2352000999999</v>
      </c>
      <c r="AH324">
        <v>139019.814809</v>
      </c>
      <c r="AI324">
        <v>40</v>
      </c>
      <c r="AJ324">
        <v>38823.630034263202</v>
      </c>
      <c r="AK324" s="1">
        <f>intersection_ss_Lnight___surface[[#This Row],[surf m2 bout ss]]/intersection_ss_Lnight___surface[[#This Row],[Shape_Area]]</f>
        <v>0.27926688067886707</v>
      </c>
      <c r="AL324">
        <v>3871</v>
      </c>
      <c r="AM324">
        <f>intersection_ss_Lnight___surface[[#This Row],[Population totale 2024 ss]]*intersection_ss_Lnight___surface[[#This Row],[Part de la surface du qs dans le noise contour]]</f>
        <v>1081.0420951078945</v>
      </c>
    </row>
    <row r="325" spans="1:39" x14ac:dyDescent="0.3">
      <c r="A325">
        <v>337</v>
      </c>
      <c r="B325" t="s">
        <v>927</v>
      </c>
      <c r="C325" t="s">
        <v>928</v>
      </c>
      <c r="D325" t="s">
        <v>928</v>
      </c>
      <c r="E325" t="s">
        <v>928</v>
      </c>
      <c r="F325" t="s">
        <v>916</v>
      </c>
      <c r="G325" t="s">
        <v>874</v>
      </c>
      <c r="H325" t="s">
        <v>875</v>
      </c>
      <c r="I325" t="s">
        <v>876</v>
      </c>
      <c r="J325" t="s">
        <v>36</v>
      </c>
      <c r="K325">
        <v>21012</v>
      </c>
      <c r="L325" t="s">
        <v>877</v>
      </c>
      <c r="M325" t="s">
        <v>878</v>
      </c>
      <c r="N325" t="s">
        <v>878</v>
      </c>
      <c r="O325">
        <v>21000</v>
      </c>
      <c r="P325" t="s">
        <v>46</v>
      </c>
      <c r="Q325" t="s">
        <v>47</v>
      </c>
      <c r="R325" t="s">
        <v>48</v>
      </c>
      <c r="T325" t="s">
        <v>36</v>
      </c>
      <c r="U325" t="s">
        <v>36</v>
      </c>
      <c r="V325" t="s">
        <v>36</v>
      </c>
      <c r="W325">
        <v>4000</v>
      </c>
      <c r="X325" t="s">
        <v>49</v>
      </c>
      <c r="Y325" t="s">
        <v>50</v>
      </c>
      <c r="Z325" t="s">
        <v>51</v>
      </c>
      <c r="AA325" t="s">
        <v>37</v>
      </c>
      <c r="AB325" t="s">
        <v>52</v>
      </c>
      <c r="AC325" t="s">
        <v>53</v>
      </c>
      <c r="AD325" t="s">
        <v>54</v>
      </c>
      <c r="AE325">
        <v>3.1859042933700001</v>
      </c>
      <c r="AF325">
        <v>999</v>
      </c>
      <c r="AG325">
        <v>999.30252309699995</v>
      </c>
      <c r="AH325">
        <v>31859.554734000001</v>
      </c>
      <c r="AI325">
        <v>40</v>
      </c>
      <c r="AJ325">
        <v>31862.6492447979</v>
      </c>
      <c r="AK325" s="1">
        <f>intersection_ss_Lnight___surface[[#This Row],[surf m2 bout ss]]/intersection_ss_Lnight___surface[[#This Row],[Shape_Area]]</f>
        <v>1.0000971297566377</v>
      </c>
      <c r="AL325">
        <v>801</v>
      </c>
      <c r="AM325">
        <f>intersection_ss_Lnight___surface[[#This Row],[Population totale 2024 ss]]*intersection_ss_Lnight___surface[[#This Row],[Part de la surface du qs dans le noise contour]]</f>
        <v>801.07780093506676</v>
      </c>
    </row>
    <row r="326" spans="1:39" x14ac:dyDescent="0.3">
      <c r="A326">
        <v>338</v>
      </c>
      <c r="B326" t="s">
        <v>932</v>
      </c>
      <c r="C326" t="s">
        <v>933</v>
      </c>
      <c r="D326" t="s">
        <v>934</v>
      </c>
      <c r="E326" t="s">
        <v>934</v>
      </c>
      <c r="F326" t="s">
        <v>916</v>
      </c>
      <c r="G326" t="s">
        <v>874</v>
      </c>
      <c r="H326" t="s">
        <v>875</v>
      </c>
      <c r="I326" t="s">
        <v>876</v>
      </c>
      <c r="J326" t="s">
        <v>36</v>
      </c>
      <c r="K326">
        <v>21012</v>
      </c>
      <c r="L326" t="s">
        <v>877</v>
      </c>
      <c r="M326" t="s">
        <v>878</v>
      </c>
      <c r="N326" t="s">
        <v>878</v>
      </c>
      <c r="O326">
        <v>21000</v>
      </c>
      <c r="P326" t="s">
        <v>46</v>
      </c>
      <c r="Q326" t="s">
        <v>47</v>
      </c>
      <c r="R326" t="s">
        <v>48</v>
      </c>
      <c r="T326" t="s">
        <v>36</v>
      </c>
      <c r="U326" t="s">
        <v>36</v>
      </c>
      <c r="V326" t="s">
        <v>36</v>
      </c>
      <c r="W326">
        <v>4000</v>
      </c>
      <c r="X326" t="s">
        <v>49</v>
      </c>
      <c r="Y326" t="s">
        <v>50</v>
      </c>
      <c r="Z326" t="s">
        <v>51</v>
      </c>
      <c r="AA326" t="s">
        <v>37</v>
      </c>
      <c r="AB326" t="s">
        <v>52</v>
      </c>
      <c r="AC326" t="s">
        <v>53</v>
      </c>
      <c r="AD326" t="s">
        <v>54</v>
      </c>
      <c r="AE326">
        <v>7.85459060192</v>
      </c>
      <c r="AF326">
        <v>1144</v>
      </c>
      <c r="AG326">
        <v>1143.8858794800001</v>
      </c>
      <c r="AH326">
        <v>78547.164418300003</v>
      </c>
      <c r="AI326">
        <v>40</v>
      </c>
      <c r="AJ326">
        <v>78554.837258336105</v>
      </c>
      <c r="AK326" s="1">
        <f>intersection_ss_Lnight___surface[[#This Row],[surf m2 bout ss]]/intersection_ss_Lnight___surface[[#This Row],[Shape_Area]]</f>
        <v>1.0000976844943152</v>
      </c>
      <c r="AL326">
        <v>0</v>
      </c>
      <c r="AM326">
        <f>intersection_ss_Lnight___surface[[#This Row],[Population totale 2024 ss]]*intersection_ss_Lnight___surface[[#This Row],[Part de la surface du qs dans le noise contour]]</f>
        <v>0</v>
      </c>
    </row>
    <row r="327" spans="1:39" x14ac:dyDescent="0.3">
      <c r="A327">
        <v>339</v>
      </c>
      <c r="B327" t="s">
        <v>935</v>
      </c>
      <c r="C327" t="s">
        <v>936</v>
      </c>
      <c r="D327" t="s">
        <v>937</v>
      </c>
      <c r="E327" t="s">
        <v>937</v>
      </c>
      <c r="F327" t="s">
        <v>916</v>
      </c>
      <c r="G327" t="s">
        <v>874</v>
      </c>
      <c r="H327" t="s">
        <v>875</v>
      </c>
      <c r="I327" t="s">
        <v>876</v>
      </c>
      <c r="J327" t="s">
        <v>36</v>
      </c>
      <c r="K327">
        <v>21012</v>
      </c>
      <c r="L327" t="s">
        <v>877</v>
      </c>
      <c r="M327" t="s">
        <v>878</v>
      </c>
      <c r="N327" t="s">
        <v>878</v>
      </c>
      <c r="O327">
        <v>21000</v>
      </c>
      <c r="P327" t="s">
        <v>46</v>
      </c>
      <c r="Q327" t="s">
        <v>47</v>
      </c>
      <c r="R327" t="s">
        <v>48</v>
      </c>
      <c r="T327" t="s">
        <v>36</v>
      </c>
      <c r="U327" t="s">
        <v>36</v>
      </c>
      <c r="V327" t="s">
        <v>36</v>
      </c>
      <c r="W327">
        <v>4000</v>
      </c>
      <c r="X327" t="s">
        <v>49</v>
      </c>
      <c r="Y327" t="s">
        <v>50</v>
      </c>
      <c r="Z327" t="s">
        <v>51</v>
      </c>
      <c r="AA327" t="s">
        <v>37</v>
      </c>
      <c r="AB327" t="s">
        <v>52</v>
      </c>
      <c r="AC327" t="s">
        <v>53</v>
      </c>
      <c r="AD327" t="s">
        <v>54</v>
      </c>
      <c r="AE327">
        <v>11.866766677799999</v>
      </c>
      <c r="AF327">
        <v>2122</v>
      </c>
      <c r="AG327">
        <v>2122.34730188</v>
      </c>
      <c r="AH327">
        <v>118669.568457</v>
      </c>
      <c r="AI327">
        <v>40</v>
      </c>
      <c r="AJ327">
        <v>118681.10873487301</v>
      </c>
      <c r="AK327" s="1">
        <f>intersection_ss_Lnight___surface[[#This Row],[surf m2 bout ss]]/intersection_ss_Lnight___surface[[#This Row],[Shape_Area]]</f>
        <v>1.0000972471546248</v>
      </c>
      <c r="AL327">
        <v>65</v>
      </c>
      <c r="AM327">
        <f>intersection_ss_Lnight___surface[[#This Row],[Population totale 2024 ss]]*intersection_ss_Lnight___surface[[#This Row],[Part de la surface du qs dans le noise contour]]</f>
        <v>65.006321065050614</v>
      </c>
    </row>
    <row r="328" spans="1:39" x14ac:dyDescent="0.3">
      <c r="A328">
        <v>340</v>
      </c>
      <c r="B328" t="s">
        <v>951</v>
      </c>
      <c r="C328" t="s">
        <v>952</v>
      </c>
      <c r="D328" t="s">
        <v>953</v>
      </c>
      <c r="E328" t="s">
        <v>953</v>
      </c>
      <c r="F328" t="s">
        <v>947</v>
      </c>
      <c r="G328" t="s">
        <v>874</v>
      </c>
      <c r="H328" t="s">
        <v>875</v>
      </c>
      <c r="I328" t="s">
        <v>876</v>
      </c>
      <c r="J328" t="s">
        <v>36</v>
      </c>
      <c r="K328">
        <v>21012</v>
      </c>
      <c r="L328" t="s">
        <v>877</v>
      </c>
      <c r="M328" t="s">
        <v>878</v>
      </c>
      <c r="N328" t="s">
        <v>878</v>
      </c>
      <c r="O328">
        <v>21000</v>
      </c>
      <c r="P328" t="s">
        <v>46</v>
      </c>
      <c r="Q328" t="s">
        <v>47</v>
      </c>
      <c r="R328" t="s">
        <v>48</v>
      </c>
      <c r="T328" t="s">
        <v>36</v>
      </c>
      <c r="U328" t="s">
        <v>36</v>
      </c>
      <c r="V328" t="s">
        <v>36</v>
      </c>
      <c r="W328">
        <v>4000</v>
      </c>
      <c r="X328" t="s">
        <v>49</v>
      </c>
      <c r="Y328" t="s">
        <v>50</v>
      </c>
      <c r="Z328" t="s">
        <v>51</v>
      </c>
      <c r="AA328" t="s">
        <v>37</v>
      </c>
      <c r="AB328" t="s">
        <v>52</v>
      </c>
      <c r="AC328" t="s">
        <v>53</v>
      </c>
      <c r="AD328" t="s">
        <v>54</v>
      </c>
      <c r="AE328">
        <v>21.267666585899999</v>
      </c>
      <c r="AF328">
        <v>2665</v>
      </c>
      <c r="AG328">
        <v>2665.0309694699999</v>
      </c>
      <c r="AH328">
        <v>212680.09346800001</v>
      </c>
      <c r="AI328">
        <v>40</v>
      </c>
      <c r="AJ328">
        <v>19763.897331441302</v>
      </c>
      <c r="AK328" s="1">
        <f>intersection_ss_Lnight___surface[[#This Row],[surf m2 bout ss]]/intersection_ss_Lnight___surface[[#This Row],[Shape_Area]]</f>
        <v>9.2927819473687556E-2</v>
      </c>
      <c r="AL328">
        <v>4112</v>
      </c>
      <c r="AM328">
        <f>intersection_ss_Lnight___surface[[#This Row],[Population totale 2024 ss]]*intersection_ss_Lnight___surface[[#This Row],[Part de la surface du qs dans le noise contour]]</f>
        <v>382.11919367580322</v>
      </c>
    </row>
    <row r="329" spans="1:39" x14ac:dyDescent="0.3">
      <c r="A329">
        <v>341</v>
      </c>
      <c r="B329" t="s">
        <v>954</v>
      </c>
      <c r="C329" t="s">
        <v>745</v>
      </c>
      <c r="D329" t="s">
        <v>745</v>
      </c>
      <c r="E329" t="s">
        <v>745</v>
      </c>
      <c r="F329" t="s">
        <v>947</v>
      </c>
      <c r="G329" t="s">
        <v>874</v>
      </c>
      <c r="H329" t="s">
        <v>875</v>
      </c>
      <c r="I329" t="s">
        <v>876</v>
      </c>
      <c r="J329" t="s">
        <v>36</v>
      </c>
      <c r="K329">
        <v>21012</v>
      </c>
      <c r="L329" t="s">
        <v>877</v>
      </c>
      <c r="M329" t="s">
        <v>878</v>
      </c>
      <c r="N329" t="s">
        <v>878</v>
      </c>
      <c r="O329">
        <v>21000</v>
      </c>
      <c r="P329" t="s">
        <v>46</v>
      </c>
      <c r="Q329" t="s">
        <v>47</v>
      </c>
      <c r="R329" t="s">
        <v>48</v>
      </c>
      <c r="T329" t="s">
        <v>36</v>
      </c>
      <c r="U329" t="s">
        <v>36</v>
      </c>
      <c r="V329" t="s">
        <v>36</v>
      </c>
      <c r="W329">
        <v>4000</v>
      </c>
      <c r="X329" t="s">
        <v>49</v>
      </c>
      <c r="Y329" t="s">
        <v>50</v>
      </c>
      <c r="Z329" t="s">
        <v>51</v>
      </c>
      <c r="AA329" t="s">
        <v>37</v>
      </c>
      <c r="AB329" t="s">
        <v>52</v>
      </c>
      <c r="AC329" t="s">
        <v>53</v>
      </c>
      <c r="AD329" t="s">
        <v>54</v>
      </c>
      <c r="AE329">
        <v>3.7964613109399998</v>
      </c>
      <c r="AF329">
        <v>822</v>
      </c>
      <c r="AG329">
        <v>822.10897559399996</v>
      </c>
      <c r="AH329">
        <v>37965.219614299996</v>
      </c>
      <c r="AI329">
        <v>40</v>
      </c>
      <c r="AJ329">
        <v>22182.263161797098</v>
      </c>
      <c r="AK329" s="1">
        <f>intersection_ss_Lnight___surface[[#This Row],[surf m2 bout ss]]/intersection_ss_Lnight___surface[[#This Row],[Shape_Area]]</f>
        <v>0.58427854196955353</v>
      </c>
      <c r="AL329">
        <v>325</v>
      </c>
      <c r="AM329">
        <f>intersection_ss_Lnight___surface[[#This Row],[Population totale 2024 ss]]*intersection_ss_Lnight___surface[[#This Row],[Part de la surface du qs dans le noise contour]]</f>
        <v>189.8905261401049</v>
      </c>
    </row>
    <row r="330" spans="1:39" x14ac:dyDescent="0.3">
      <c r="A330">
        <v>342</v>
      </c>
      <c r="B330" t="s">
        <v>955</v>
      </c>
      <c r="C330" t="s">
        <v>956</v>
      </c>
      <c r="D330" t="s">
        <v>956</v>
      </c>
      <c r="E330" t="s">
        <v>956</v>
      </c>
      <c r="F330" t="s">
        <v>947</v>
      </c>
      <c r="G330" t="s">
        <v>874</v>
      </c>
      <c r="H330" t="s">
        <v>875</v>
      </c>
      <c r="I330" t="s">
        <v>876</v>
      </c>
      <c r="J330" t="s">
        <v>36</v>
      </c>
      <c r="K330">
        <v>21012</v>
      </c>
      <c r="L330" t="s">
        <v>877</v>
      </c>
      <c r="M330" t="s">
        <v>878</v>
      </c>
      <c r="N330" t="s">
        <v>878</v>
      </c>
      <c r="O330">
        <v>21000</v>
      </c>
      <c r="P330" t="s">
        <v>46</v>
      </c>
      <c r="Q330" t="s">
        <v>47</v>
      </c>
      <c r="R330" t="s">
        <v>48</v>
      </c>
      <c r="T330" t="s">
        <v>36</v>
      </c>
      <c r="U330" t="s">
        <v>36</v>
      </c>
      <c r="V330" t="s">
        <v>36</v>
      </c>
      <c r="W330">
        <v>4000</v>
      </c>
      <c r="X330" t="s">
        <v>49</v>
      </c>
      <c r="Y330" t="s">
        <v>50</v>
      </c>
      <c r="Z330" t="s">
        <v>51</v>
      </c>
      <c r="AA330" t="s">
        <v>37</v>
      </c>
      <c r="AB330" t="s">
        <v>52</v>
      </c>
      <c r="AC330" t="s">
        <v>53</v>
      </c>
      <c r="AD330" t="s">
        <v>54</v>
      </c>
      <c r="AE330">
        <v>26.0714383742</v>
      </c>
      <c r="AF330">
        <v>2433</v>
      </c>
      <c r="AG330">
        <v>2432.7639268299999</v>
      </c>
      <c r="AH330">
        <v>260718.581752</v>
      </c>
      <c r="AI330">
        <v>40</v>
      </c>
      <c r="AJ330">
        <v>172474.07497099601</v>
      </c>
      <c r="AK330" s="1">
        <f>intersection_ss_Lnight___surface[[#This Row],[surf m2 bout ss]]/intersection_ss_Lnight___surface[[#This Row],[Shape_Area]]</f>
        <v>0.66153349643124526</v>
      </c>
      <c r="AL330">
        <v>3397</v>
      </c>
      <c r="AM330">
        <f>intersection_ss_Lnight___surface[[#This Row],[Population totale 2024 ss]]*intersection_ss_Lnight___surface[[#This Row],[Part de la surface du qs dans le noise contour]]</f>
        <v>2247.2292873769402</v>
      </c>
    </row>
    <row r="331" spans="1:39" x14ac:dyDescent="0.3">
      <c r="A331">
        <v>343</v>
      </c>
      <c r="B331" t="s">
        <v>961</v>
      </c>
      <c r="C331" t="s">
        <v>962</v>
      </c>
      <c r="D331" t="s">
        <v>963</v>
      </c>
      <c r="E331" t="s">
        <v>963</v>
      </c>
      <c r="F331" t="s">
        <v>964</v>
      </c>
      <c r="G331" t="s">
        <v>874</v>
      </c>
      <c r="H331" t="s">
        <v>875</v>
      </c>
      <c r="I331" t="s">
        <v>876</v>
      </c>
      <c r="J331" t="s">
        <v>36</v>
      </c>
      <c r="K331">
        <v>21012</v>
      </c>
      <c r="L331" t="s">
        <v>877</v>
      </c>
      <c r="M331" t="s">
        <v>878</v>
      </c>
      <c r="N331" t="s">
        <v>878</v>
      </c>
      <c r="O331">
        <v>21000</v>
      </c>
      <c r="P331" t="s">
        <v>46</v>
      </c>
      <c r="Q331" t="s">
        <v>47</v>
      </c>
      <c r="R331" t="s">
        <v>48</v>
      </c>
      <c r="T331" t="s">
        <v>36</v>
      </c>
      <c r="U331" t="s">
        <v>36</v>
      </c>
      <c r="V331" t="s">
        <v>36</v>
      </c>
      <c r="W331">
        <v>4000</v>
      </c>
      <c r="X331" t="s">
        <v>49</v>
      </c>
      <c r="Y331" t="s">
        <v>50</v>
      </c>
      <c r="Z331" t="s">
        <v>51</v>
      </c>
      <c r="AA331" t="s">
        <v>37</v>
      </c>
      <c r="AB331" t="s">
        <v>52</v>
      </c>
      <c r="AC331" t="s">
        <v>53</v>
      </c>
      <c r="AD331" t="s">
        <v>54</v>
      </c>
      <c r="AE331">
        <v>18.7811272169</v>
      </c>
      <c r="AF331">
        <v>2289</v>
      </c>
      <c r="AG331">
        <v>2288.8941197899999</v>
      </c>
      <c r="AH331">
        <v>187814.279973</v>
      </c>
      <c r="AI331">
        <v>41</v>
      </c>
      <c r="AJ331">
        <v>187832.05470022099</v>
      </c>
      <c r="AK331" s="1">
        <f>intersection_ss_Lnight___surface[[#This Row],[surf m2 bout ss]]/intersection_ss_Lnight___surface[[#This Row],[Shape_Area]]</f>
        <v>1.0000946399135549</v>
      </c>
      <c r="AL331">
        <v>4836</v>
      </c>
      <c r="AM331">
        <f>intersection_ss_Lnight___surface[[#This Row],[Population totale 2024 ss]]*intersection_ss_Lnight___surface[[#This Row],[Part de la surface du qs dans le noise contour]]</f>
        <v>4836.4576786219513</v>
      </c>
    </row>
    <row r="332" spans="1:39" x14ac:dyDescent="0.3">
      <c r="A332">
        <v>344</v>
      </c>
      <c r="B332" t="s">
        <v>965</v>
      </c>
      <c r="C332" t="s">
        <v>966</v>
      </c>
      <c r="D332" t="s">
        <v>966</v>
      </c>
      <c r="E332" t="s">
        <v>966</v>
      </c>
      <c r="F332" t="s">
        <v>964</v>
      </c>
      <c r="G332" t="s">
        <v>874</v>
      </c>
      <c r="H332" t="s">
        <v>875</v>
      </c>
      <c r="I332" t="s">
        <v>876</v>
      </c>
      <c r="J332" t="s">
        <v>36</v>
      </c>
      <c r="K332">
        <v>21012</v>
      </c>
      <c r="L332" t="s">
        <v>877</v>
      </c>
      <c r="M332" t="s">
        <v>878</v>
      </c>
      <c r="N332" t="s">
        <v>878</v>
      </c>
      <c r="O332">
        <v>21000</v>
      </c>
      <c r="P332" t="s">
        <v>46</v>
      </c>
      <c r="Q332" t="s">
        <v>47</v>
      </c>
      <c r="R332" t="s">
        <v>48</v>
      </c>
      <c r="T332" t="s">
        <v>36</v>
      </c>
      <c r="U332" t="s">
        <v>36</v>
      </c>
      <c r="V332" t="s">
        <v>36</v>
      </c>
      <c r="W332">
        <v>4000</v>
      </c>
      <c r="X332" t="s">
        <v>49</v>
      </c>
      <c r="Y332" t="s">
        <v>50</v>
      </c>
      <c r="Z332" t="s">
        <v>51</v>
      </c>
      <c r="AA332" t="s">
        <v>37</v>
      </c>
      <c r="AB332" t="s">
        <v>52</v>
      </c>
      <c r="AC332" t="s">
        <v>53</v>
      </c>
      <c r="AD332" t="s">
        <v>54</v>
      </c>
      <c r="AE332">
        <v>6.9815254956099997</v>
      </c>
      <c r="AF332">
        <v>1554</v>
      </c>
      <c r="AG332">
        <v>1554.47033472</v>
      </c>
      <c r="AH332">
        <v>69816.360794099994</v>
      </c>
      <c r="AI332">
        <v>41</v>
      </c>
      <c r="AJ332">
        <v>28109.4790213825</v>
      </c>
      <c r="AK332" s="1">
        <f>intersection_ss_Lnight___surface[[#This Row],[surf m2 bout ss]]/intersection_ss_Lnight___surface[[#This Row],[Shape_Area]]</f>
        <v>0.40262022685888782</v>
      </c>
      <c r="AL332">
        <v>1790</v>
      </c>
      <c r="AM332">
        <f>intersection_ss_Lnight___surface[[#This Row],[Population totale 2024 ss]]*intersection_ss_Lnight___surface[[#This Row],[Part de la surface du qs dans le noise contour]]</f>
        <v>720.69020607740924</v>
      </c>
    </row>
    <row r="333" spans="1:39" x14ac:dyDescent="0.3">
      <c r="A333">
        <v>345</v>
      </c>
      <c r="B333" t="s">
        <v>965</v>
      </c>
      <c r="C333" t="s">
        <v>966</v>
      </c>
      <c r="D333" t="s">
        <v>966</v>
      </c>
      <c r="E333" t="s">
        <v>966</v>
      </c>
      <c r="F333" t="s">
        <v>964</v>
      </c>
      <c r="G333" t="s">
        <v>874</v>
      </c>
      <c r="H333" t="s">
        <v>875</v>
      </c>
      <c r="I333" t="s">
        <v>876</v>
      </c>
      <c r="J333" t="s">
        <v>36</v>
      </c>
      <c r="K333">
        <v>21012</v>
      </c>
      <c r="L333" t="s">
        <v>877</v>
      </c>
      <c r="M333" t="s">
        <v>878</v>
      </c>
      <c r="N333" t="s">
        <v>878</v>
      </c>
      <c r="O333">
        <v>21000</v>
      </c>
      <c r="P333" t="s">
        <v>46</v>
      </c>
      <c r="Q333" t="s">
        <v>47</v>
      </c>
      <c r="R333" t="s">
        <v>48</v>
      </c>
      <c r="T333" t="s">
        <v>36</v>
      </c>
      <c r="U333" t="s">
        <v>36</v>
      </c>
      <c r="V333" t="s">
        <v>36</v>
      </c>
      <c r="W333">
        <v>4000</v>
      </c>
      <c r="X333" t="s">
        <v>49</v>
      </c>
      <c r="Y333" t="s">
        <v>50</v>
      </c>
      <c r="Z333" t="s">
        <v>51</v>
      </c>
      <c r="AA333" t="s">
        <v>37</v>
      </c>
      <c r="AB333" t="s">
        <v>52</v>
      </c>
      <c r="AC333" t="s">
        <v>53</v>
      </c>
      <c r="AD333" t="s">
        <v>54</v>
      </c>
      <c r="AE333">
        <v>6.9815254956099997</v>
      </c>
      <c r="AF333">
        <v>1554</v>
      </c>
      <c r="AG333">
        <v>1554.47033472</v>
      </c>
      <c r="AH333">
        <v>69816.360794099994</v>
      </c>
      <c r="AI333">
        <v>42</v>
      </c>
      <c r="AJ333">
        <v>41713.5568127816</v>
      </c>
      <c r="AK333" s="1">
        <f>intersection_ss_Lnight___surface[[#This Row],[surf m2 bout ss]]/intersection_ss_Lnight___surface[[#This Row],[Shape_Area]]</f>
        <v>0.59747538167739489</v>
      </c>
      <c r="AL333">
        <v>1790</v>
      </c>
      <c r="AM333">
        <f>intersection_ss_Lnight___surface[[#This Row],[Population totale 2024 ss]]*intersection_ss_Lnight___surface[[#This Row],[Part de la surface du qs dans le noise contour]]</f>
        <v>1069.4809332025368</v>
      </c>
    </row>
    <row r="334" spans="1:39" x14ac:dyDescent="0.3">
      <c r="A334">
        <v>346</v>
      </c>
      <c r="B334" t="s">
        <v>967</v>
      </c>
      <c r="C334" t="s">
        <v>968</v>
      </c>
      <c r="D334" t="s">
        <v>969</v>
      </c>
      <c r="E334" t="s">
        <v>969</v>
      </c>
      <c r="F334" t="s">
        <v>964</v>
      </c>
      <c r="G334" t="s">
        <v>874</v>
      </c>
      <c r="H334" t="s">
        <v>875</v>
      </c>
      <c r="I334" t="s">
        <v>876</v>
      </c>
      <c r="J334" t="s">
        <v>36</v>
      </c>
      <c r="K334">
        <v>21012</v>
      </c>
      <c r="L334" t="s">
        <v>877</v>
      </c>
      <c r="M334" t="s">
        <v>878</v>
      </c>
      <c r="N334" t="s">
        <v>878</v>
      </c>
      <c r="O334">
        <v>21000</v>
      </c>
      <c r="P334" t="s">
        <v>46</v>
      </c>
      <c r="Q334" t="s">
        <v>47</v>
      </c>
      <c r="R334" t="s">
        <v>48</v>
      </c>
      <c r="T334" t="s">
        <v>36</v>
      </c>
      <c r="U334" t="s">
        <v>36</v>
      </c>
      <c r="V334" t="s">
        <v>36</v>
      </c>
      <c r="W334">
        <v>4000</v>
      </c>
      <c r="X334" t="s">
        <v>49</v>
      </c>
      <c r="Y334" t="s">
        <v>50</v>
      </c>
      <c r="Z334" t="s">
        <v>51</v>
      </c>
      <c r="AA334" t="s">
        <v>37</v>
      </c>
      <c r="AB334" t="s">
        <v>52</v>
      </c>
      <c r="AC334" t="s">
        <v>53</v>
      </c>
      <c r="AD334" t="s">
        <v>54</v>
      </c>
      <c r="AE334">
        <v>18.984880594300002</v>
      </c>
      <c r="AF334">
        <v>1912</v>
      </c>
      <c r="AG334">
        <v>1912.2596662000001</v>
      </c>
      <c r="AH334">
        <v>189851.83914699999</v>
      </c>
      <c r="AI334">
        <v>40</v>
      </c>
      <c r="AJ334">
        <v>118681.455811518</v>
      </c>
      <c r="AK334" s="1">
        <f>intersection_ss_Lnight___surface[[#This Row],[surf m2 bout ss]]/intersection_ss_Lnight___surface[[#This Row],[Shape_Area]]</f>
        <v>0.62512671114881524</v>
      </c>
      <c r="AL334">
        <v>5229</v>
      </c>
      <c r="AM334">
        <f>intersection_ss_Lnight___surface[[#This Row],[Population totale 2024 ss]]*intersection_ss_Lnight___surface[[#This Row],[Part de la surface du qs dans le noise contour]]</f>
        <v>3268.7875725971548</v>
      </c>
    </row>
    <row r="335" spans="1:39" x14ac:dyDescent="0.3">
      <c r="A335">
        <v>347</v>
      </c>
      <c r="B335" t="s">
        <v>967</v>
      </c>
      <c r="C335" t="s">
        <v>968</v>
      </c>
      <c r="D335" t="s">
        <v>969</v>
      </c>
      <c r="E335" t="s">
        <v>969</v>
      </c>
      <c r="F335" t="s">
        <v>964</v>
      </c>
      <c r="G335" t="s">
        <v>874</v>
      </c>
      <c r="H335" t="s">
        <v>875</v>
      </c>
      <c r="I335" t="s">
        <v>876</v>
      </c>
      <c r="J335" t="s">
        <v>36</v>
      </c>
      <c r="K335">
        <v>21012</v>
      </c>
      <c r="L335" t="s">
        <v>877</v>
      </c>
      <c r="M335" t="s">
        <v>878</v>
      </c>
      <c r="N335" t="s">
        <v>878</v>
      </c>
      <c r="O335">
        <v>21000</v>
      </c>
      <c r="P335" t="s">
        <v>46</v>
      </c>
      <c r="Q335" t="s">
        <v>47</v>
      </c>
      <c r="R335" t="s">
        <v>48</v>
      </c>
      <c r="T335" t="s">
        <v>36</v>
      </c>
      <c r="U335" t="s">
        <v>36</v>
      </c>
      <c r="V335" t="s">
        <v>36</v>
      </c>
      <c r="W335">
        <v>4000</v>
      </c>
      <c r="X335" t="s">
        <v>49</v>
      </c>
      <c r="Y335" t="s">
        <v>50</v>
      </c>
      <c r="Z335" t="s">
        <v>51</v>
      </c>
      <c r="AA335" t="s">
        <v>37</v>
      </c>
      <c r="AB335" t="s">
        <v>52</v>
      </c>
      <c r="AC335" t="s">
        <v>53</v>
      </c>
      <c r="AD335" t="s">
        <v>54</v>
      </c>
      <c r="AE335">
        <v>18.984880594300002</v>
      </c>
      <c r="AF335">
        <v>1912</v>
      </c>
      <c r="AG335">
        <v>1912.2596662000001</v>
      </c>
      <c r="AH335">
        <v>189851.83914699999</v>
      </c>
      <c r="AI335">
        <v>41</v>
      </c>
      <c r="AJ335">
        <v>71188.3897162926</v>
      </c>
      <c r="AK335" s="1">
        <f>intersection_ss_Lnight___surface[[#This Row],[surf m2 bout ss]]/intersection_ss_Lnight___surface[[#This Row],[Shape_Area]]</f>
        <v>0.37496813323558215</v>
      </c>
      <c r="AL335">
        <v>5229</v>
      </c>
      <c r="AM335">
        <f>intersection_ss_Lnight___surface[[#This Row],[Population totale 2024 ss]]*intersection_ss_Lnight___surface[[#This Row],[Part de la surface du qs dans le noise contour]]</f>
        <v>1960.7083686888591</v>
      </c>
    </row>
    <row r="336" spans="1:39" x14ac:dyDescent="0.3">
      <c r="A336">
        <v>348</v>
      </c>
      <c r="B336" t="s">
        <v>970</v>
      </c>
      <c r="C336" t="s">
        <v>971</v>
      </c>
      <c r="D336" t="s">
        <v>972</v>
      </c>
      <c r="E336" t="s">
        <v>972</v>
      </c>
      <c r="F336" t="s">
        <v>964</v>
      </c>
      <c r="G336" t="s">
        <v>874</v>
      </c>
      <c r="H336" t="s">
        <v>875</v>
      </c>
      <c r="I336" t="s">
        <v>876</v>
      </c>
      <c r="J336" t="s">
        <v>36</v>
      </c>
      <c r="K336">
        <v>21012</v>
      </c>
      <c r="L336" t="s">
        <v>877</v>
      </c>
      <c r="M336" t="s">
        <v>878</v>
      </c>
      <c r="N336" t="s">
        <v>878</v>
      </c>
      <c r="O336">
        <v>21000</v>
      </c>
      <c r="P336" t="s">
        <v>46</v>
      </c>
      <c r="Q336" t="s">
        <v>47</v>
      </c>
      <c r="R336" t="s">
        <v>48</v>
      </c>
      <c r="T336" t="s">
        <v>36</v>
      </c>
      <c r="U336" t="s">
        <v>36</v>
      </c>
      <c r="V336" t="s">
        <v>36</v>
      </c>
      <c r="W336">
        <v>4000</v>
      </c>
      <c r="X336" t="s">
        <v>49</v>
      </c>
      <c r="Y336" t="s">
        <v>50</v>
      </c>
      <c r="Z336" t="s">
        <v>51</v>
      </c>
      <c r="AA336" t="s">
        <v>37</v>
      </c>
      <c r="AB336" t="s">
        <v>52</v>
      </c>
      <c r="AC336" t="s">
        <v>53</v>
      </c>
      <c r="AD336" t="s">
        <v>54</v>
      </c>
      <c r="AE336">
        <v>13.702064979099999</v>
      </c>
      <c r="AF336">
        <v>1574</v>
      </c>
      <c r="AG336">
        <v>1574.51128017</v>
      </c>
      <c r="AH336">
        <v>137022.83927999999</v>
      </c>
      <c r="AI336">
        <v>40</v>
      </c>
      <c r="AJ336">
        <v>91857.949438247801</v>
      </c>
      <c r="AK336" s="1">
        <f>intersection_ss_Lnight___surface[[#This Row],[surf m2 bout ss]]/intersection_ss_Lnight___surface[[#This Row],[Shape_Area]]</f>
        <v>0.67038422149857968</v>
      </c>
      <c r="AL336">
        <v>2017</v>
      </c>
      <c r="AM336">
        <f>intersection_ss_Lnight___surface[[#This Row],[Population totale 2024 ss]]*intersection_ss_Lnight___surface[[#This Row],[Part de la surface du qs dans le noise contour]]</f>
        <v>1352.1649747626352</v>
      </c>
    </row>
    <row r="337" spans="1:39" x14ac:dyDescent="0.3">
      <c r="A337">
        <v>349</v>
      </c>
      <c r="B337" t="s">
        <v>970</v>
      </c>
      <c r="C337" t="s">
        <v>971</v>
      </c>
      <c r="D337" t="s">
        <v>972</v>
      </c>
      <c r="E337" t="s">
        <v>972</v>
      </c>
      <c r="F337" t="s">
        <v>964</v>
      </c>
      <c r="G337" t="s">
        <v>874</v>
      </c>
      <c r="H337" t="s">
        <v>875</v>
      </c>
      <c r="I337" t="s">
        <v>876</v>
      </c>
      <c r="J337" t="s">
        <v>36</v>
      </c>
      <c r="K337">
        <v>21012</v>
      </c>
      <c r="L337" t="s">
        <v>877</v>
      </c>
      <c r="M337" t="s">
        <v>878</v>
      </c>
      <c r="N337" t="s">
        <v>878</v>
      </c>
      <c r="O337">
        <v>21000</v>
      </c>
      <c r="P337" t="s">
        <v>46</v>
      </c>
      <c r="Q337" t="s">
        <v>47</v>
      </c>
      <c r="R337" t="s">
        <v>48</v>
      </c>
      <c r="T337" t="s">
        <v>36</v>
      </c>
      <c r="U337" t="s">
        <v>36</v>
      </c>
      <c r="V337" t="s">
        <v>36</v>
      </c>
      <c r="W337">
        <v>4000</v>
      </c>
      <c r="X337" t="s">
        <v>49</v>
      </c>
      <c r="Y337" t="s">
        <v>50</v>
      </c>
      <c r="Z337" t="s">
        <v>51</v>
      </c>
      <c r="AA337" t="s">
        <v>37</v>
      </c>
      <c r="AB337" t="s">
        <v>52</v>
      </c>
      <c r="AC337" t="s">
        <v>53</v>
      </c>
      <c r="AD337" t="s">
        <v>54</v>
      </c>
      <c r="AE337">
        <v>13.702064979099999</v>
      </c>
      <c r="AF337">
        <v>1574</v>
      </c>
      <c r="AG337">
        <v>1574.51128017</v>
      </c>
      <c r="AH337">
        <v>137022.83927999999</v>
      </c>
      <c r="AI337">
        <v>41</v>
      </c>
      <c r="AJ337">
        <v>45177.759439427398</v>
      </c>
      <c r="AK337" s="1">
        <f>intersection_ss_Lnight___surface[[#This Row],[surf m2 bout ss]]/intersection_ss_Lnight___surface[[#This Row],[Shape_Area]]</f>
        <v>0.32970970151267037</v>
      </c>
      <c r="AL337">
        <v>2017</v>
      </c>
      <c r="AM337">
        <f>intersection_ss_Lnight___surface[[#This Row],[Population totale 2024 ss]]*intersection_ss_Lnight___surface[[#This Row],[Part de la surface du qs dans le noise contour]]</f>
        <v>665.02446795105618</v>
      </c>
    </row>
    <row r="338" spans="1:39" x14ac:dyDescent="0.3">
      <c r="A338">
        <v>350</v>
      </c>
      <c r="B338" t="s">
        <v>973</v>
      </c>
      <c r="C338" t="s">
        <v>974</v>
      </c>
      <c r="D338" t="s">
        <v>974</v>
      </c>
      <c r="E338" t="s">
        <v>974</v>
      </c>
      <c r="F338" t="s">
        <v>964</v>
      </c>
      <c r="G338" t="s">
        <v>874</v>
      </c>
      <c r="H338" t="s">
        <v>875</v>
      </c>
      <c r="I338" t="s">
        <v>876</v>
      </c>
      <c r="J338" t="s">
        <v>36</v>
      </c>
      <c r="K338">
        <v>21012</v>
      </c>
      <c r="L338" t="s">
        <v>877</v>
      </c>
      <c r="M338" t="s">
        <v>878</v>
      </c>
      <c r="N338" t="s">
        <v>878</v>
      </c>
      <c r="O338">
        <v>21000</v>
      </c>
      <c r="P338" t="s">
        <v>46</v>
      </c>
      <c r="Q338" t="s">
        <v>47</v>
      </c>
      <c r="R338" t="s">
        <v>48</v>
      </c>
      <c r="T338" t="s">
        <v>36</v>
      </c>
      <c r="U338" t="s">
        <v>36</v>
      </c>
      <c r="V338" t="s">
        <v>36</v>
      </c>
      <c r="W338">
        <v>4000</v>
      </c>
      <c r="X338" t="s">
        <v>49</v>
      </c>
      <c r="Y338" t="s">
        <v>50</v>
      </c>
      <c r="Z338" t="s">
        <v>51</v>
      </c>
      <c r="AA338" t="s">
        <v>37</v>
      </c>
      <c r="AB338" t="s">
        <v>52</v>
      </c>
      <c r="AC338" t="s">
        <v>53</v>
      </c>
      <c r="AD338" t="s">
        <v>54</v>
      </c>
      <c r="AE338">
        <v>16.370048375500001</v>
      </c>
      <c r="AF338">
        <v>1608</v>
      </c>
      <c r="AG338">
        <v>1608.4345977999999</v>
      </c>
      <c r="AH338">
        <v>163703.13534800001</v>
      </c>
      <c r="AI338">
        <v>41</v>
      </c>
      <c r="AJ338">
        <v>27345.323460698099</v>
      </c>
      <c r="AK338" s="1">
        <f>intersection_ss_Lnight___surface[[#This Row],[surf m2 bout ss]]/intersection_ss_Lnight___surface[[#This Row],[Shape_Area]]</f>
        <v>0.16704214859762723</v>
      </c>
      <c r="AL338">
        <v>2433</v>
      </c>
      <c r="AM338">
        <f>intersection_ss_Lnight___surface[[#This Row],[Population totale 2024 ss]]*intersection_ss_Lnight___surface[[#This Row],[Part de la surface du qs dans le noise contour]]</f>
        <v>406.41354753802705</v>
      </c>
    </row>
    <row r="339" spans="1:39" x14ac:dyDescent="0.3">
      <c r="A339">
        <v>351</v>
      </c>
      <c r="B339" t="s">
        <v>973</v>
      </c>
      <c r="C339" t="s">
        <v>974</v>
      </c>
      <c r="D339" t="s">
        <v>974</v>
      </c>
      <c r="E339" t="s">
        <v>974</v>
      </c>
      <c r="F339" t="s">
        <v>964</v>
      </c>
      <c r="G339" t="s">
        <v>874</v>
      </c>
      <c r="H339" t="s">
        <v>875</v>
      </c>
      <c r="I339" t="s">
        <v>876</v>
      </c>
      <c r="J339" t="s">
        <v>36</v>
      </c>
      <c r="K339">
        <v>21012</v>
      </c>
      <c r="L339" t="s">
        <v>877</v>
      </c>
      <c r="M339" t="s">
        <v>878</v>
      </c>
      <c r="N339" t="s">
        <v>878</v>
      </c>
      <c r="O339">
        <v>21000</v>
      </c>
      <c r="P339" t="s">
        <v>46</v>
      </c>
      <c r="Q339" t="s">
        <v>47</v>
      </c>
      <c r="R339" t="s">
        <v>48</v>
      </c>
      <c r="T339" t="s">
        <v>36</v>
      </c>
      <c r="U339" t="s">
        <v>36</v>
      </c>
      <c r="V339" t="s">
        <v>36</v>
      </c>
      <c r="W339">
        <v>4000</v>
      </c>
      <c r="X339" t="s">
        <v>49</v>
      </c>
      <c r="Y339" t="s">
        <v>50</v>
      </c>
      <c r="Z339" t="s">
        <v>51</v>
      </c>
      <c r="AA339" t="s">
        <v>37</v>
      </c>
      <c r="AB339" t="s">
        <v>52</v>
      </c>
      <c r="AC339" t="s">
        <v>53</v>
      </c>
      <c r="AD339" t="s">
        <v>54</v>
      </c>
      <c r="AE339">
        <v>16.370048375500001</v>
      </c>
      <c r="AF339">
        <v>1608</v>
      </c>
      <c r="AG339">
        <v>1608.4345977999999</v>
      </c>
      <c r="AH339">
        <v>163703.13534800001</v>
      </c>
      <c r="AI339">
        <v>42</v>
      </c>
      <c r="AJ339">
        <v>136373.414054261</v>
      </c>
      <c r="AK339" s="1">
        <f>intersection_ss_Lnight___surface[[#This Row],[surf m2 bout ss]]/intersection_ss_Lnight___surface[[#This Row],[Shape_Area]]</f>
        <v>0.83305315908799482</v>
      </c>
      <c r="AL339">
        <v>2433</v>
      </c>
      <c r="AM339">
        <f>intersection_ss_Lnight___surface[[#This Row],[Population totale 2024 ss]]*intersection_ss_Lnight___surface[[#This Row],[Part de la surface du qs dans le noise contour]]</f>
        <v>2026.8183360610915</v>
      </c>
    </row>
    <row r="340" spans="1:39" x14ac:dyDescent="0.3">
      <c r="A340">
        <v>352</v>
      </c>
      <c r="B340" t="s">
        <v>975</v>
      </c>
      <c r="C340" t="s">
        <v>976</v>
      </c>
      <c r="D340" t="s">
        <v>976</v>
      </c>
      <c r="E340" t="s">
        <v>976</v>
      </c>
      <c r="F340" t="s">
        <v>977</v>
      </c>
      <c r="G340" t="s">
        <v>874</v>
      </c>
      <c r="H340" t="s">
        <v>875</v>
      </c>
      <c r="I340" t="s">
        <v>876</v>
      </c>
      <c r="J340" t="s">
        <v>36</v>
      </c>
      <c r="K340">
        <v>21012</v>
      </c>
      <c r="L340" t="s">
        <v>877</v>
      </c>
      <c r="M340" t="s">
        <v>878</v>
      </c>
      <c r="N340" t="s">
        <v>878</v>
      </c>
      <c r="O340">
        <v>21000</v>
      </c>
      <c r="P340" t="s">
        <v>46</v>
      </c>
      <c r="Q340" t="s">
        <v>47</v>
      </c>
      <c r="R340" t="s">
        <v>48</v>
      </c>
      <c r="T340" t="s">
        <v>36</v>
      </c>
      <c r="U340" t="s">
        <v>36</v>
      </c>
      <c r="V340" t="s">
        <v>36</v>
      </c>
      <c r="W340">
        <v>4000</v>
      </c>
      <c r="X340" t="s">
        <v>49</v>
      </c>
      <c r="Y340" t="s">
        <v>50</v>
      </c>
      <c r="Z340" t="s">
        <v>51</v>
      </c>
      <c r="AA340" t="s">
        <v>37</v>
      </c>
      <c r="AB340" t="s">
        <v>52</v>
      </c>
      <c r="AC340" t="s">
        <v>53</v>
      </c>
      <c r="AD340" t="s">
        <v>54</v>
      </c>
      <c r="AE340">
        <v>14.2628548451</v>
      </c>
      <c r="AF340">
        <v>2259</v>
      </c>
      <c r="AG340">
        <v>2258.7598523400002</v>
      </c>
      <c r="AH340">
        <v>142630.82261800001</v>
      </c>
      <c r="AI340">
        <v>41</v>
      </c>
      <c r="AJ340">
        <v>141745.780396852</v>
      </c>
      <c r="AK340" s="1">
        <f>intersection_ss_Lnight___surface[[#This Row],[surf m2 bout ss]]/intersection_ss_Lnight___surface[[#This Row],[Shape_Area]]</f>
        <v>0.9937948740328143</v>
      </c>
      <c r="AL340">
        <v>3782</v>
      </c>
      <c r="AM340">
        <f>intersection_ss_Lnight___surface[[#This Row],[Population totale 2024 ss]]*intersection_ss_Lnight___surface[[#This Row],[Part de la surface du qs dans le noise contour]]</f>
        <v>3758.5322135921037</v>
      </c>
    </row>
    <row r="341" spans="1:39" x14ac:dyDescent="0.3">
      <c r="A341">
        <v>353</v>
      </c>
      <c r="B341" t="s">
        <v>975</v>
      </c>
      <c r="C341" t="s">
        <v>976</v>
      </c>
      <c r="D341" t="s">
        <v>976</v>
      </c>
      <c r="E341" t="s">
        <v>976</v>
      </c>
      <c r="F341" t="s">
        <v>977</v>
      </c>
      <c r="G341" t="s">
        <v>874</v>
      </c>
      <c r="H341" t="s">
        <v>875</v>
      </c>
      <c r="I341" t="s">
        <v>876</v>
      </c>
      <c r="J341" t="s">
        <v>36</v>
      </c>
      <c r="K341">
        <v>21012</v>
      </c>
      <c r="L341" t="s">
        <v>877</v>
      </c>
      <c r="M341" t="s">
        <v>878</v>
      </c>
      <c r="N341" t="s">
        <v>878</v>
      </c>
      <c r="O341">
        <v>21000</v>
      </c>
      <c r="P341" t="s">
        <v>46</v>
      </c>
      <c r="Q341" t="s">
        <v>47</v>
      </c>
      <c r="R341" t="s">
        <v>48</v>
      </c>
      <c r="T341" t="s">
        <v>36</v>
      </c>
      <c r="U341" t="s">
        <v>36</v>
      </c>
      <c r="V341" t="s">
        <v>36</v>
      </c>
      <c r="W341">
        <v>4000</v>
      </c>
      <c r="X341" t="s">
        <v>49</v>
      </c>
      <c r="Y341" t="s">
        <v>50</v>
      </c>
      <c r="Z341" t="s">
        <v>51</v>
      </c>
      <c r="AA341" t="s">
        <v>37</v>
      </c>
      <c r="AB341" t="s">
        <v>52</v>
      </c>
      <c r="AC341" t="s">
        <v>53</v>
      </c>
      <c r="AD341" t="s">
        <v>54</v>
      </c>
      <c r="AE341">
        <v>14.2628548451</v>
      </c>
      <c r="AF341">
        <v>2259</v>
      </c>
      <c r="AG341">
        <v>2258.7598523400002</v>
      </c>
      <c r="AH341">
        <v>142630.82261800001</v>
      </c>
      <c r="AI341">
        <v>42</v>
      </c>
      <c r="AJ341">
        <v>898.74069323507103</v>
      </c>
      <c r="AK341" s="1">
        <f>intersection_ss_Lnight___surface[[#This Row],[surf m2 bout ss]]/intersection_ss_Lnight___surface[[#This Row],[Shape_Area]]</f>
        <v>6.3011674246745177E-3</v>
      </c>
      <c r="AL341">
        <v>3782</v>
      </c>
      <c r="AM341">
        <f>intersection_ss_Lnight___surface[[#This Row],[Population totale 2024 ss]]*intersection_ss_Lnight___surface[[#This Row],[Part de la surface du qs dans le noise contour]]</f>
        <v>23.831015200119026</v>
      </c>
    </row>
    <row r="342" spans="1:39" x14ac:dyDescent="0.3">
      <c r="A342">
        <v>354</v>
      </c>
      <c r="B342" t="s">
        <v>978</v>
      </c>
      <c r="C342" t="s">
        <v>979</v>
      </c>
      <c r="D342" t="s">
        <v>979</v>
      </c>
      <c r="E342" t="s">
        <v>979</v>
      </c>
      <c r="F342" t="s">
        <v>977</v>
      </c>
      <c r="G342" t="s">
        <v>874</v>
      </c>
      <c r="H342" t="s">
        <v>875</v>
      </c>
      <c r="I342" t="s">
        <v>876</v>
      </c>
      <c r="J342" t="s">
        <v>36</v>
      </c>
      <c r="K342">
        <v>21012</v>
      </c>
      <c r="L342" t="s">
        <v>877</v>
      </c>
      <c r="M342" t="s">
        <v>878</v>
      </c>
      <c r="N342" t="s">
        <v>878</v>
      </c>
      <c r="O342">
        <v>21000</v>
      </c>
      <c r="P342" t="s">
        <v>46</v>
      </c>
      <c r="Q342" t="s">
        <v>47</v>
      </c>
      <c r="R342" t="s">
        <v>48</v>
      </c>
      <c r="T342" t="s">
        <v>36</v>
      </c>
      <c r="U342" t="s">
        <v>36</v>
      </c>
      <c r="V342" t="s">
        <v>36</v>
      </c>
      <c r="W342">
        <v>4000</v>
      </c>
      <c r="X342" t="s">
        <v>49</v>
      </c>
      <c r="Y342" t="s">
        <v>50</v>
      </c>
      <c r="Z342" t="s">
        <v>51</v>
      </c>
      <c r="AA342" t="s">
        <v>37</v>
      </c>
      <c r="AB342" t="s">
        <v>52</v>
      </c>
      <c r="AC342" t="s">
        <v>53</v>
      </c>
      <c r="AD342" t="s">
        <v>54</v>
      </c>
      <c r="AE342">
        <v>10.7101584983</v>
      </c>
      <c r="AF342">
        <v>1476</v>
      </c>
      <c r="AG342">
        <v>1475.8188542600001</v>
      </c>
      <c r="AH342">
        <v>107103.33409999999</v>
      </c>
      <c r="AI342">
        <v>41</v>
      </c>
      <c r="AJ342">
        <v>13902.258061709799</v>
      </c>
      <c r="AK342" s="1">
        <f>intersection_ss_Lnight___surface[[#This Row],[surf m2 bout ss]]/intersection_ss_Lnight___surface[[#This Row],[Shape_Area]]</f>
        <v>0.12980229026978349</v>
      </c>
      <c r="AL342">
        <v>2583</v>
      </c>
      <c r="AM342">
        <f>intersection_ss_Lnight___surface[[#This Row],[Population totale 2024 ss]]*intersection_ss_Lnight___surface[[#This Row],[Part de la surface du qs dans le noise contour]]</f>
        <v>335.27931576685074</v>
      </c>
    </row>
    <row r="343" spans="1:39" x14ac:dyDescent="0.3">
      <c r="A343">
        <v>355</v>
      </c>
      <c r="B343" t="s">
        <v>978</v>
      </c>
      <c r="C343" t="s">
        <v>979</v>
      </c>
      <c r="D343" t="s">
        <v>979</v>
      </c>
      <c r="E343" t="s">
        <v>979</v>
      </c>
      <c r="F343" t="s">
        <v>977</v>
      </c>
      <c r="G343" t="s">
        <v>874</v>
      </c>
      <c r="H343" t="s">
        <v>875</v>
      </c>
      <c r="I343" t="s">
        <v>876</v>
      </c>
      <c r="J343" t="s">
        <v>36</v>
      </c>
      <c r="K343">
        <v>21012</v>
      </c>
      <c r="L343" t="s">
        <v>877</v>
      </c>
      <c r="M343" t="s">
        <v>878</v>
      </c>
      <c r="N343" t="s">
        <v>878</v>
      </c>
      <c r="O343">
        <v>21000</v>
      </c>
      <c r="P343" t="s">
        <v>46</v>
      </c>
      <c r="Q343" t="s">
        <v>47</v>
      </c>
      <c r="R343" t="s">
        <v>48</v>
      </c>
      <c r="T343" t="s">
        <v>36</v>
      </c>
      <c r="U343" t="s">
        <v>36</v>
      </c>
      <c r="V343" t="s">
        <v>36</v>
      </c>
      <c r="W343">
        <v>4000</v>
      </c>
      <c r="X343" t="s">
        <v>49</v>
      </c>
      <c r="Y343" t="s">
        <v>50</v>
      </c>
      <c r="Z343" t="s">
        <v>51</v>
      </c>
      <c r="AA343" t="s">
        <v>37</v>
      </c>
      <c r="AB343" t="s">
        <v>52</v>
      </c>
      <c r="AC343" t="s">
        <v>53</v>
      </c>
      <c r="AD343" t="s">
        <v>54</v>
      </c>
      <c r="AE343">
        <v>10.7101584983</v>
      </c>
      <c r="AF343">
        <v>1476</v>
      </c>
      <c r="AG343">
        <v>1475.8188542600001</v>
      </c>
      <c r="AH343">
        <v>107103.33409999999</v>
      </c>
      <c r="AI343">
        <v>42</v>
      </c>
      <c r="AJ343">
        <v>93211.3695213264</v>
      </c>
      <c r="AK343" s="1">
        <f>intersection_ss_Lnight___surface[[#This Row],[surf m2 bout ss]]/intersection_ss_Lnight___surface[[#This Row],[Shape_Area]]</f>
        <v>0.87029381769102565</v>
      </c>
      <c r="AL343">
        <v>2583</v>
      </c>
      <c r="AM343">
        <f>intersection_ss_Lnight___surface[[#This Row],[Population totale 2024 ss]]*intersection_ss_Lnight___surface[[#This Row],[Part de la surface du qs dans le noise contour]]</f>
        <v>2247.9689310959193</v>
      </c>
    </row>
    <row r="344" spans="1:39" x14ac:dyDescent="0.3">
      <c r="A344">
        <v>356</v>
      </c>
      <c r="B344" t="s">
        <v>980</v>
      </c>
      <c r="C344" t="s">
        <v>981</v>
      </c>
      <c r="D344" t="s">
        <v>982</v>
      </c>
      <c r="E344" t="s">
        <v>982</v>
      </c>
      <c r="F344" t="s">
        <v>977</v>
      </c>
      <c r="G344" t="s">
        <v>874</v>
      </c>
      <c r="H344" t="s">
        <v>875</v>
      </c>
      <c r="I344" t="s">
        <v>876</v>
      </c>
      <c r="J344" t="s">
        <v>36</v>
      </c>
      <c r="K344">
        <v>21012</v>
      </c>
      <c r="L344" t="s">
        <v>877</v>
      </c>
      <c r="M344" t="s">
        <v>878</v>
      </c>
      <c r="N344" t="s">
        <v>878</v>
      </c>
      <c r="O344">
        <v>21000</v>
      </c>
      <c r="P344" t="s">
        <v>46</v>
      </c>
      <c r="Q344" t="s">
        <v>47</v>
      </c>
      <c r="R344" t="s">
        <v>48</v>
      </c>
      <c r="T344" t="s">
        <v>36</v>
      </c>
      <c r="U344" t="s">
        <v>36</v>
      </c>
      <c r="V344" t="s">
        <v>36</v>
      </c>
      <c r="W344">
        <v>4000</v>
      </c>
      <c r="X344" t="s">
        <v>49</v>
      </c>
      <c r="Y344" t="s">
        <v>50</v>
      </c>
      <c r="Z344" t="s">
        <v>51</v>
      </c>
      <c r="AA344" t="s">
        <v>37</v>
      </c>
      <c r="AB344" t="s">
        <v>52</v>
      </c>
      <c r="AC344" t="s">
        <v>53</v>
      </c>
      <c r="AD344" t="s">
        <v>54</v>
      </c>
      <c r="AE344">
        <v>7.9882652047700002</v>
      </c>
      <c r="AF344">
        <v>1284</v>
      </c>
      <c r="AG344">
        <v>1284.35079847</v>
      </c>
      <c r="AH344">
        <v>79883.945808300006</v>
      </c>
      <c r="AI344">
        <v>41</v>
      </c>
      <c r="AJ344">
        <v>17930.711771063499</v>
      </c>
      <c r="AK344" s="1">
        <f>intersection_ss_Lnight___surface[[#This Row],[surf m2 bout ss]]/intersection_ss_Lnight___surface[[#This Row],[Shape_Area]]</f>
        <v>0.22445951548377926</v>
      </c>
      <c r="AL344">
        <v>1407</v>
      </c>
      <c r="AM344">
        <f>intersection_ss_Lnight___surface[[#This Row],[Population totale 2024 ss]]*intersection_ss_Lnight___surface[[#This Row],[Part de la surface du qs dans le noise contour]]</f>
        <v>315.81453828567743</v>
      </c>
    </row>
    <row r="345" spans="1:39" x14ac:dyDescent="0.3">
      <c r="A345">
        <v>357</v>
      </c>
      <c r="B345" t="s">
        <v>980</v>
      </c>
      <c r="C345" t="s">
        <v>981</v>
      </c>
      <c r="D345" t="s">
        <v>982</v>
      </c>
      <c r="E345" t="s">
        <v>982</v>
      </c>
      <c r="F345" t="s">
        <v>977</v>
      </c>
      <c r="G345" t="s">
        <v>874</v>
      </c>
      <c r="H345" t="s">
        <v>875</v>
      </c>
      <c r="I345" t="s">
        <v>876</v>
      </c>
      <c r="J345" t="s">
        <v>36</v>
      </c>
      <c r="K345">
        <v>21012</v>
      </c>
      <c r="L345" t="s">
        <v>877</v>
      </c>
      <c r="M345" t="s">
        <v>878</v>
      </c>
      <c r="N345" t="s">
        <v>878</v>
      </c>
      <c r="O345">
        <v>21000</v>
      </c>
      <c r="P345" t="s">
        <v>46</v>
      </c>
      <c r="Q345" t="s">
        <v>47</v>
      </c>
      <c r="R345" t="s">
        <v>48</v>
      </c>
      <c r="T345" t="s">
        <v>36</v>
      </c>
      <c r="U345" t="s">
        <v>36</v>
      </c>
      <c r="V345" t="s">
        <v>36</v>
      </c>
      <c r="W345">
        <v>4000</v>
      </c>
      <c r="X345" t="s">
        <v>49</v>
      </c>
      <c r="Y345" t="s">
        <v>50</v>
      </c>
      <c r="Z345" t="s">
        <v>51</v>
      </c>
      <c r="AA345" t="s">
        <v>37</v>
      </c>
      <c r="AB345" t="s">
        <v>52</v>
      </c>
      <c r="AC345" t="s">
        <v>53</v>
      </c>
      <c r="AD345" t="s">
        <v>54</v>
      </c>
      <c r="AE345">
        <v>7.9882652047700002</v>
      </c>
      <c r="AF345">
        <v>1284</v>
      </c>
      <c r="AG345">
        <v>1284.35079847</v>
      </c>
      <c r="AH345">
        <v>79883.945808300006</v>
      </c>
      <c r="AI345">
        <v>42</v>
      </c>
      <c r="AJ345">
        <v>61960.933580343401</v>
      </c>
      <c r="AK345" s="1">
        <f>intersection_ss_Lnight___surface[[#This Row],[surf m2 bout ss]]/intersection_ss_Lnight___surface[[#This Row],[Shape_Area]]</f>
        <v>0.77563686862730818</v>
      </c>
      <c r="AL345">
        <v>1407</v>
      </c>
      <c r="AM345">
        <f>intersection_ss_Lnight___surface[[#This Row],[Population totale 2024 ss]]*intersection_ss_Lnight___surface[[#This Row],[Part de la surface du qs dans le noise contour]]</f>
        <v>1091.3210741586227</v>
      </c>
    </row>
    <row r="346" spans="1:39" x14ac:dyDescent="0.3">
      <c r="A346">
        <v>358</v>
      </c>
      <c r="B346" t="s">
        <v>1045</v>
      </c>
      <c r="C346" t="s">
        <v>1046</v>
      </c>
      <c r="D346" t="s">
        <v>1047</v>
      </c>
      <c r="E346" t="s">
        <v>1047</v>
      </c>
      <c r="F346" t="s">
        <v>1032</v>
      </c>
      <c r="G346" t="s">
        <v>1033</v>
      </c>
      <c r="H346" t="s">
        <v>1034</v>
      </c>
      <c r="I346" t="s">
        <v>1035</v>
      </c>
      <c r="J346" t="s">
        <v>36</v>
      </c>
      <c r="K346">
        <v>21014</v>
      </c>
      <c r="L346" t="s">
        <v>1036</v>
      </c>
      <c r="M346" t="s">
        <v>1037</v>
      </c>
      <c r="N346" t="s">
        <v>1037</v>
      </c>
      <c r="O346">
        <v>21000</v>
      </c>
      <c r="P346" t="s">
        <v>46</v>
      </c>
      <c r="Q346" t="s">
        <v>47</v>
      </c>
      <c r="R346" t="s">
        <v>48</v>
      </c>
      <c r="T346" t="s">
        <v>36</v>
      </c>
      <c r="U346" t="s">
        <v>36</v>
      </c>
      <c r="V346" t="s">
        <v>36</v>
      </c>
      <c r="W346">
        <v>4000</v>
      </c>
      <c r="X346" t="s">
        <v>49</v>
      </c>
      <c r="Y346" t="s">
        <v>50</v>
      </c>
      <c r="Z346" t="s">
        <v>51</v>
      </c>
      <c r="AA346" t="s">
        <v>37</v>
      </c>
      <c r="AB346" t="s">
        <v>52</v>
      </c>
      <c r="AC346" t="s">
        <v>53</v>
      </c>
      <c r="AD346" t="s">
        <v>54</v>
      </c>
      <c r="AE346">
        <v>15.179869717800001</v>
      </c>
      <c r="AF346">
        <v>1715</v>
      </c>
      <c r="AG346">
        <v>1715.25986263</v>
      </c>
      <c r="AH346">
        <v>151801.11981500001</v>
      </c>
      <c r="AI346">
        <v>40</v>
      </c>
      <c r="AJ346">
        <v>3287.3728480986301</v>
      </c>
      <c r="AK346" s="1">
        <f>intersection_ss_Lnight___surface[[#This Row],[surf m2 bout ss]]/intersection_ss_Lnight___surface[[#This Row],[Shape_Area]]</f>
        <v>2.1655787863126112E-2</v>
      </c>
      <c r="AL346">
        <v>3204</v>
      </c>
      <c r="AM346">
        <f>intersection_ss_Lnight___surface[[#This Row],[Population totale 2024 ss]]*intersection_ss_Lnight___surface[[#This Row],[Part de la surface du qs dans le noise contour]]</f>
        <v>69.385144313456067</v>
      </c>
    </row>
    <row r="347" spans="1:39" x14ac:dyDescent="0.3">
      <c r="A347">
        <v>359</v>
      </c>
      <c r="B347" t="s">
        <v>1050</v>
      </c>
      <c r="C347" t="s">
        <v>1051</v>
      </c>
      <c r="D347" t="s">
        <v>1052</v>
      </c>
      <c r="E347" t="s">
        <v>1052</v>
      </c>
      <c r="F347" t="s">
        <v>1053</v>
      </c>
      <c r="G347" t="s">
        <v>1033</v>
      </c>
      <c r="H347" t="s">
        <v>1034</v>
      </c>
      <c r="I347" t="s">
        <v>1035</v>
      </c>
      <c r="J347" t="s">
        <v>36</v>
      </c>
      <c r="K347">
        <v>21014</v>
      </c>
      <c r="L347" t="s">
        <v>1036</v>
      </c>
      <c r="M347" t="s">
        <v>1037</v>
      </c>
      <c r="N347" t="s">
        <v>1037</v>
      </c>
      <c r="O347">
        <v>21000</v>
      </c>
      <c r="P347" t="s">
        <v>46</v>
      </c>
      <c r="Q347" t="s">
        <v>47</v>
      </c>
      <c r="R347" t="s">
        <v>48</v>
      </c>
      <c r="T347" t="s">
        <v>36</v>
      </c>
      <c r="U347" t="s">
        <v>36</v>
      </c>
      <c r="V347" t="s">
        <v>36</v>
      </c>
      <c r="W347">
        <v>4000</v>
      </c>
      <c r="X347" t="s">
        <v>49</v>
      </c>
      <c r="Y347" t="s">
        <v>50</v>
      </c>
      <c r="Z347" t="s">
        <v>51</v>
      </c>
      <c r="AA347" t="s">
        <v>37</v>
      </c>
      <c r="AB347" t="s">
        <v>52</v>
      </c>
      <c r="AC347" t="s">
        <v>53</v>
      </c>
      <c r="AD347" t="s">
        <v>54</v>
      </c>
      <c r="AE347">
        <v>8.82001818052</v>
      </c>
      <c r="AF347">
        <v>1226</v>
      </c>
      <c r="AG347">
        <v>1226.2554832599999</v>
      </c>
      <c r="AH347">
        <v>88201.610939100006</v>
      </c>
      <c r="AI347">
        <v>40</v>
      </c>
      <c r="AJ347">
        <v>57995.673538452902</v>
      </c>
      <c r="AK347" s="1">
        <f>intersection_ss_Lnight___surface[[#This Row],[surf m2 bout ss]]/intersection_ss_Lnight___surface[[#This Row],[Shape_Area]]</f>
        <v>0.65753530940037819</v>
      </c>
      <c r="AL347">
        <v>2424</v>
      </c>
      <c r="AM347">
        <f>intersection_ss_Lnight___surface[[#This Row],[Population totale 2024 ss]]*intersection_ss_Lnight___surface[[#This Row],[Part de la surface du qs dans le noise contour]]</f>
        <v>1593.8655899865166</v>
      </c>
    </row>
    <row r="348" spans="1:39" x14ac:dyDescent="0.3">
      <c r="A348">
        <v>360</v>
      </c>
      <c r="B348" t="s">
        <v>1050</v>
      </c>
      <c r="C348" t="s">
        <v>1051</v>
      </c>
      <c r="D348" t="s">
        <v>1052</v>
      </c>
      <c r="E348" t="s">
        <v>1052</v>
      </c>
      <c r="F348" t="s">
        <v>1053</v>
      </c>
      <c r="G348" t="s">
        <v>1033</v>
      </c>
      <c r="H348" t="s">
        <v>1034</v>
      </c>
      <c r="I348" t="s">
        <v>1035</v>
      </c>
      <c r="J348" t="s">
        <v>36</v>
      </c>
      <c r="K348">
        <v>21014</v>
      </c>
      <c r="L348" t="s">
        <v>1036</v>
      </c>
      <c r="M348" t="s">
        <v>1037</v>
      </c>
      <c r="N348" t="s">
        <v>1037</v>
      </c>
      <c r="O348">
        <v>21000</v>
      </c>
      <c r="P348" t="s">
        <v>46</v>
      </c>
      <c r="Q348" t="s">
        <v>47</v>
      </c>
      <c r="R348" t="s">
        <v>48</v>
      </c>
      <c r="T348" t="s">
        <v>36</v>
      </c>
      <c r="U348" t="s">
        <v>36</v>
      </c>
      <c r="V348" t="s">
        <v>36</v>
      </c>
      <c r="W348">
        <v>4000</v>
      </c>
      <c r="X348" t="s">
        <v>49</v>
      </c>
      <c r="Y348" t="s">
        <v>50</v>
      </c>
      <c r="Z348" t="s">
        <v>51</v>
      </c>
      <c r="AA348" t="s">
        <v>37</v>
      </c>
      <c r="AB348" t="s">
        <v>52</v>
      </c>
      <c r="AC348" t="s">
        <v>53</v>
      </c>
      <c r="AD348" t="s">
        <v>54</v>
      </c>
      <c r="AE348">
        <v>8.82001818052</v>
      </c>
      <c r="AF348">
        <v>1226</v>
      </c>
      <c r="AG348">
        <v>1226.2554832599999</v>
      </c>
      <c r="AH348">
        <v>88201.610939100006</v>
      </c>
      <c r="AI348">
        <v>41</v>
      </c>
      <c r="AJ348">
        <v>531.417790293694</v>
      </c>
      <c r="AK348" s="1">
        <f>intersection_ss_Lnight___surface[[#This Row],[surf m2 bout ss]]/intersection_ss_Lnight___surface[[#This Row],[Shape_Area]]</f>
        <v>6.0250349697197544E-3</v>
      </c>
      <c r="AL348">
        <v>2424</v>
      </c>
      <c r="AM348">
        <f>intersection_ss_Lnight___surface[[#This Row],[Population totale 2024 ss]]*intersection_ss_Lnight___surface[[#This Row],[Part de la surface du qs dans le noise contour]]</f>
        <v>14.604684766600684</v>
      </c>
    </row>
    <row r="349" spans="1:39" x14ac:dyDescent="0.3">
      <c r="A349">
        <v>361</v>
      </c>
      <c r="B349" t="s">
        <v>1054</v>
      </c>
      <c r="C349" t="s">
        <v>1055</v>
      </c>
      <c r="D349" t="s">
        <v>1056</v>
      </c>
      <c r="E349" t="s">
        <v>1056</v>
      </c>
      <c r="F349" t="s">
        <v>1053</v>
      </c>
      <c r="G349" t="s">
        <v>1033</v>
      </c>
      <c r="H349" t="s">
        <v>1034</v>
      </c>
      <c r="I349" t="s">
        <v>1035</v>
      </c>
      <c r="J349" t="s">
        <v>36</v>
      </c>
      <c r="K349">
        <v>21014</v>
      </c>
      <c r="L349" t="s">
        <v>1036</v>
      </c>
      <c r="M349" t="s">
        <v>1037</v>
      </c>
      <c r="N349" t="s">
        <v>1037</v>
      </c>
      <c r="O349">
        <v>21000</v>
      </c>
      <c r="P349" t="s">
        <v>46</v>
      </c>
      <c r="Q349" t="s">
        <v>47</v>
      </c>
      <c r="R349" t="s">
        <v>48</v>
      </c>
      <c r="T349" t="s">
        <v>36</v>
      </c>
      <c r="U349" t="s">
        <v>36</v>
      </c>
      <c r="V349" t="s">
        <v>36</v>
      </c>
      <c r="W349">
        <v>4000</v>
      </c>
      <c r="X349" t="s">
        <v>49</v>
      </c>
      <c r="Y349" t="s">
        <v>50</v>
      </c>
      <c r="Z349" t="s">
        <v>51</v>
      </c>
      <c r="AA349" t="s">
        <v>37</v>
      </c>
      <c r="AB349" t="s">
        <v>52</v>
      </c>
      <c r="AC349" t="s">
        <v>53</v>
      </c>
      <c r="AD349" t="s">
        <v>54</v>
      </c>
      <c r="AE349">
        <v>3.9238778176600002</v>
      </c>
      <c r="AF349">
        <v>1302</v>
      </c>
      <c r="AG349">
        <v>1301.7731835</v>
      </c>
      <c r="AH349">
        <v>39239.398387000001</v>
      </c>
      <c r="AI349">
        <v>40</v>
      </c>
      <c r="AJ349">
        <v>14813.809985801599</v>
      </c>
      <c r="AK349" s="1">
        <f>intersection_ss_Lnight___surface[[#This Row],[surf m2 bout ss]]/intersection_ss_Lnight___surface[[#This Row],[Shape_Area]]</f>
        <v>0.37752388147493643</v>
      </c>
      <c r="AL349">
        <v>319</v>
      </c>
      <c r="AM349">
        <f>intersection_ss_Lnight___surface[[#This Row],[Population totale 2024 ss]]*intersection_ss_Lnight___surface[[#This Row],[Part de la surface du qs dans le noise contour]]</f>
        <v>120.43011819050471</v>
      </c>
    </row>
    <row r="350" spans="1:39" x14ac:dyDescent="0.3">
      <c r="A350">
        <v>362</v>
      </c>
      <c r="B350" t="s">
        <v>1054</v>
      </c>
      <c r="C350" t="s">
        <v>1055</v>
      </c>
      <c r="D350" t="s">
        <v>1056</v>
      </c>
      <c r="E350" t="s">
        <v>1056</v>
      </c>
      <c r="F350" t="s">
        <v>1053</v>
      </c>
      <c r="G350" t="s">
        <v>1033</v>
      </c>
      <c r="H350" t="s">
        <v>1034</v>
      </c>
      <c r="I350" t="s">
        <v>1035</v>
      </c>
      <c r="J350" t="s">
        <v>36</v>
      </c>
      <c r="K350">
        <v>21014</v>
      </c>
      <c r="L350" t="s">
        <v>1036</v>
      </c>
      <c r="M350" t="s">
        <v>1037</v>
      </c>
      <c r="N350" t="s">
        <v>1037</v>
      </c>
      <c r="O350">
        <v>21000</v>
      </c>
      <c r="P350" t="s">
        <v>46</v>
      </c>
      <c r="Q350" t="s">
        <v>47</v>
      </c>
      <c r="R350" t="s">
        <v>48</v>
      </c>
      <c r="T350" t="s">
        <v>36</v>
      </c>
      <c r="U350" t="s">
        <v>36</v>
      </c>
      <c r="V350" t="s">
        <v>36</v>
      </c>
      <c r="W350">
        <v>4000</v>
      </c>
      <c r="X350" t="s">
        <v>49</v>
      </c>
      <c r="Y350" t="s">
        <v>50</v>
      </c>
      <c r="Z350" t="s">
        <v>51</v>
      </c>
      <c r="AA350" t="s">
        <v>37</v>
      </c>
      <c r="AB350" t="s">
        <v>52</v>
      </c>
      <c r="AC350" t="s">
        <v>53</v>
      </c>
      <c r="AD350" t="s">
        <v>54</v>
      </c>
      <c r="AE350">
        <v>3.9238778176600002</v>
      </c>
      <c r="AF350">
        <v>1302</v>
      </c>
      <c r="AG350">
        <v>1301.7731835</v>
      </c>
      <c r="AH350">
        <v>39239.398387000001</v>
      </c>
      <c r="AI350">
        <v>41</v>
      </c>
      <c r="AJ350">
        <v>24405.130193371398</v>
      </c>
      <c r="AK350" s="1">
        <f>intersection_ss_Lnight___surface[[#This Row],[surf m2 bout ss]]/intersection_ss_Lnight___surface[[#This Row],[Shape_Area]]</f>
        <v>0.62195474947589435</v>
      </c>
      <c r="AL350">
        <v>319</v>
      </c>
      <c r="AM350">
        <f>intersection_ss_Lnight___surface[[#This Row],[Population totale 2024 ss]]*intersection_ss_Lnight___surface[[#This Row],[Part de la surface du qs dans le noise contour]]</f>
        <v>198.4035650828103</v>
      </c>
    </row>
    <row r="351" spans="1:39" x14ac:dyDescent="0.3">
      <c r="A351">
        <v>363</v>
      </c>
      <c r="B351" t="s">
        <v>1054</v>
      </c>
      <c r="C351" t="s">
        <v>1055</v>
      </c>
      <c r="D351" t="s">
        <v>1056</v>
      </c>
      <c r="E351" t="s">
        <v>1056</v>
      </c>
      <c r="F351" t="s">
        <v>1053</v>
      </c>
      <c r="G351" t="s">
        <v>1033</v>
      </c>
      <c r="H351" t="s">
        <v>1034</v>
      </c>
      <c r="I351" t="s">
        <v>1035</v>
      </c>
      <c r="J351" t="s">
        <v>36</v>
      </c>
      <c r="K351">
        <v>21014</v>
      </c>
      <c r="L351" t="s">
        <v>1036</v>
      </c>
      <c r="M351" t="s">
        <v>1037</v>
      </c>
      <c r="N351" t="s">
        <v>1037</v>
      </c>
      <c r="O351">
        <v>21000</v>
      </c>
      <c r="P351" t="s">
        <v>46</v>
      </c>
      <c r="Q351" t="s">
        <v>47</v>
      </c>
      <c r="R351" t="s">
        <v>48</v>
      </c>
      <c r="T351" t="s">
        <v>36</v>
      </c>
      <c r="U351" t="s">
        <v>36</v>
      </c>
      <c r="V351" t="s">
        <v>36</v>
      </c>
      <c r="W351">
        <v>4000</v>
      </c>
      <c r="X351" t="s">
        <v>49</v>
      </c>
      <c r="Y351" t="s">
        <v>50</v>
      </c>
      <c r="Z351" t="s">
        <v>51</v>
      </c>
      <c r="AA351" t="s">
        <v>37</v>
      </c>
      <c r="AB351" t="s">
        <v>52</v>
      </c>
      <c r="AC351" t="s">
        <v>53</v>
      </c>
      <c r="AD351" t="s">
        <v>54</v>
      </c>
      <c r="AE351">
        <v>3.9238778176600002</v>
      </c>
      <c r="AF351">
        <v>1302</v>
      </c>
      <c r="AG351">
        <v>1301.7731835</v>
      </c>
      <c r="AH351">
        <v>39239.398387000001</v>
      </c>
      <c r="AI351">
        <v>42</v>
      </c>
      <c r="AJ351">
        <v>24.235885360423701</v>
      </c>
      <c r="AK351" s="1">
        <f>intersection_ss_Lnight___surface[[#This Row],[surf m2 bout ss]]/intersection_ss_Lnight___surface[[#This Row],[Shape_Area]]</f>
        <v>6.1764161421121687E-4</v>
      </c>
      <c r="AL351">
        <v>319</v>
      </c>
      <c r="AM351">
        <f>intersection_ss_Lnight___surface[[#This Row],[Population totale 2024 ss]]*intersection_ss_Lnight___surface[[#This Row],[Part de la surface du qs dans le noise contour]]</f>
        <v>0.19702767493337819</v>
      </c>
    </row>
    <row r="352" spans="1:39" x14ac:dyDescent="0.3">
      <c r="A352">
        <v>364</v>
      </c>
      <c r="B352" t="s">
        <v>1057</v>
      </c>
      <c r="C352" t="s">
        <v>1058</v>
      </c>
      <c r="D352" t="s">
        <v>1058</v>
      </c>
      <c r="E352" t="s">
        <v>1058</v>
      </c>
      <c r="F352" t="s">
        <v>1053</v>
      </c>
      <c r="G352" t="s">
        <v>1033</v>
      </c>
      <c r="H352" t="s">
        <v>1034</v>
      </c>
      <c r="I352" t="s">
        <v>1035</v>
      </c>
      <c r="J352" t="s">
        <v>36</v>
      </c>
      <c r="K352">
        <v>21014</v>
      </c>
      <c r="L352" t="s">
        <v>1036</v>
      </c>
      <c r="M352" t="s">
        <v>1037</v>
      </c>
      <c r="N352" t="s">
        <v>1037</v>
      </c>
      <c r="O352">
        <v>21000</v>
      </c>
      <c r="P352" t="s">
        <v>46</v>
      </c>
      <c r="Q352" t="s">
        <v>47</v>
      </c>
      <c r="R352" t="s">
        <v>48</v>
      </c>
      <c r="T352" t="s">
        <v>36</v>
      </c>
      <c r="U352" t="s">
        <v>36</v>
      </c>
      <c r="V352" t="s">
        <v>36</v>
      </c>
      <c r="W352">
        <v>4000</v>
      </c>
      <c r="X352" t="s">
        <v>49</v>
      </c>
      <c r="Y352" t="s">
        <v>50</v>
      </c>
      <c r="Z352" t="s">
        <v>51</v>
      </c>
      <c r="AA352" t="s">
        <v>37</v>
      </c>
      <c r="AB352" t="s">
        <v>52</v>
      </c>
      <c r="AC352" t="s">
        <v>53</v>
      </c>
      <c r="AD352" t="s">
        <v>54</v>
      </c>
      <c r="AE352">
        <v>3.2259360990200001</v>
      </c>
      <c r="AF352">
        <v>854</v>
      </c>
      <c r="AG352">
        <v>854.34943704800003</v>
      </c>
      <c r="AH352">
        <v>32259.885644099999</v>
      </c>
      <c r="AI352">
        <v>40</v>
      </c>
      <c r="AJ352">
        <v>32194.868724219301</v>
      </c>
      <c r="AK352" s="1">
        <f>intersection_ss_Lnight___surface[[#This Row],[surf m2 bout ss]]/intersection_ss_Lnight___surface[[#This Row],[Shape_Area]]</f>
        <v>0.99798458926364519</v>
      </c>
      <c r="AL352">
        <v>0</v>
      </c>
      <c r="AM352">
        <f>intersection_ss_Lnight___surface[[#This Row],[Population totale 2024 ss]]*intersection_ss_Lnight___surface[[#This Row],[Part de la surface du qs dans le noise contour]]</f>
        <v>0</v>
      </c>
    </row>
    <row r="353" spans="1:39" x14ac:dyDescent="0.3">
      <c r="A353">
        <v>365</v>
      </c>
      <c r="B353" t="s">
        <v>1057</v>
      </c>
      <c r="C353" t="s">
        <v>1058</v>
      </c>
      <c r="D353" t="s">
        <v>1058</v>
      </c>
      <c r="E353" t="s">
        <v>1058</v>
      </c>
      <c r="F353" t="s">
        <v>1053</v>
      </c>
      <c r="G353" t="s">
        <v>1033</v>
      </c>
      <c r="H353" t="s">
        <v>1034</v>
      </c>
      <c r="I353" t="s">
        <v>1035</v>
      </c>
      <c r="J353" t="s">
        <v>36</v>
      </c>
      <c r="K353">
        <v>21014</v>
      </c>
      <c r="L353" t="s">
        <v>1036</v>
      </c>
      <c r="M353" t="s">
        <v>1037</v>
      </c>
      <c r="N353" t="s">
        <v>1037</v>
      </c>
      <c r="O353">
        <v>21000</v>
      </c>
      <c r="P353" t="s">
        <v>46</v>
      </c>
      <c r="Q353" t="s">
        <v>47</v>
      </c>
      <c r="R353" t="s">
        <v>48</v>
      </c>
      <c r="T353" t="s">
        <v>36</v>
      </c>
      <c r="U353" t="s">
        <v>36</v>
      </c>
      <c r="V353" t="s">
        <v>36</v>
      </c>
      <c r="W353">
        <v>4000</v>
      </c>
      <c r="X353" t="s">
        <v>49</v>
      </c>
      <c r="Y353" t="s">
        <v>50</v>
      </c>
      <c r="Z353" t="s">
        <v>51</v>
      </c>
      <c r="AA353" t="s">
        <v>37</v>
      </c>
      <c r="AB353" t="s">
        <v>52</v>
      </c>
      <c r="AC353" t="s">
        <v>53</v>
      </c>
      <c r="AD353" t="s">
        <v>54</v>
      </c>
      <c r="AE353">
        <v>3.2259360990200001</v>
      </c>
      <c r="AF353">
        <v>854</v>
      </c>
      <c r="AG353">
        <v>854.34943704800003</v>
      </c>
      <c r="AH353">
        <v>32259.885644099999</v>
      </c>
      <c r="AI353">
        <v>41</v>
      </c>
      <c r="AJ353">
        <v>68.134737409651294</v>
      </c>
      <c r="AK353" s="1">
        <f>intersection_ss_Lnight___surface[[#This Row],[surf m2 bout ss]]/intersection_ss_Lnight___surface[[#This Row],[Shape_Area]]</f>
        <v>2.1120576235555389E-3</v>
      </c>
      <c r="AL353">
        <v>0</v>
      </c>
      <c r="AM353">
        <f>intersection_ss_Lnight___surface[[#This Row],[Population totale 2024 ss]]*intersection_ss_Lnight___surface[[#This Row],[Part de la surface du qs dans le noise contour]]</f>
        <v>0</v>
      </c>
    </row>
    <row r="354" spans="1:39" x14ac:dyDescent="0.3">
      <c r="A354">
        <v>366</v>
      </c>
      <c r="B354" t="s">
        <v>1059</v>
      </c>
      <c r="C354" t="s">
        <v>1060</v>
      </c>
      <c r="D354" t="s">
        <v>1061</v>
      </c>
      <c r="E354" t="s">
        <v>1061</v>
      </c>
      <c r="F354" t="s">
        <v>1053</v>
      </c>
      <c r="G354" t="s">
        <v>1033</v>
      </c>
      <c r="H354" t="s">
        <v>1034</v>
      </c>
      <c r="I354" t="s">
        <v>1035</v>
      </c>
      <c r="J354" t="s">
        <v>36</v>
      </c>
      <c r="K354">
        <v>21014</v>
      </c>
      <c r="L354" t="s">
        <v>1036</v>
      </c>
      <c r="M354" t="s">
        <v>1037</v>
      </c>
      <c r="N354" t="s">
        <v>1037</v>
      </c>
      <c r="O354">
        <v>21000</v>
      </c>
      <c r="P354" t="s">
        <v>46</v>
      </c>
      <c r="Q354" t="s">
        <v>47</v>
      </c>
      <c r="R354" t="s">
        <v>48</v>
      </c>
      <c r="T354" t="s">
        <v>36</v>
      </c>
      <c r="U354" t="s">
        <v>36</v>
      </c>
      <c r="V354" t="s">
        <v>36</v>
      </c>
      <c r="W354">
        <v>4000</v>
      </c>
      <c r="X354" t="s">
        <v>49</v>
      </c>
      <c r="Y354" t="s">
        <v>50</v>
      </c>
      <c r="Z354" t="s">
        <v>51</v>
      </c>
      <c r="AA354" t="s">
        <v>37</v>
      </c>
      <c r="AB354" t="s">
        <v>52</v>
      </c>
      <c r="AC354" t="s">
        <v>53</v>
      </c>
      <c r="AD354" t="s">
        <v>54</v>
      </c>
      <c r="AE354">
        <v>4.0842224794600002</v>
      </c>
      <c r="AF354">
        <v>1084</v>
      </c>
      <c r="AG354">
        <v>1083.7059790799999</v>
      </c>
      <c r="AH354">
        <v>40842.886017299999</v>
      </c>
      <c r="AI354">
        <v>40</v>
      </c>
      <c r="AJ354">
        <v>21315.8001630381</v>
      </c>
      <c r="AK354" s="1">
        <f>intersection_ss_Lnight___surface[[#This Row],[surf m2 bout ss]]/intersection_ss_Lnight___surface[[#This Row],[Shape_Area]]</f>
        <v>0.52189750141577351</v>
      </c>
      <c r="AL354">
        <v>1340</v>
      </c>
      <c r="AM354">
        <f>intersection_ss_Lnight___surface[[#This Row],[Population totale 2024 ss]]*intersection_ss_Lnight___surface[[#This Row],[Part de la surface du qs dans le noise contour]]</f>
        <v>699.34265189713653</v>
      </c>
    </row>
    <row r="355" spans="1:39" x14ac:dyDescent="0.3">
      <c r="A355">
        <v>367</v>
      </c>
      <c r="B355" t="s">
        <v>1059</v>
      </c>
      <c r="C355" t="s">
        <v>1060</v>
      </c>
      <c r="D355" t="s">
        <v>1061</v>
      </c>
      <c r="E355" t="s">
        <v>1061</v>
      </c>
      <c r="F355" t="s">
        <v>1053</v>
      </c>
      <c r="G355" t="s">
        <v>1033</v>
      </c>
      <c r="H355" t="s">
        <v>1034</v>
      </c>
      <c r="I355" t="s">
        <v>1035</v>
      </c>
      <c r="J355" t="s">
        <v>36</v>
      </c>
      <c r="K355">
        <v>21014</v>
      </c>
      <c r="L355" t="s">
        <v>1036</v>
      </c>
      <c r="M355" t="s">
        <v>1037</v>
      </c>
      <c r="N355" t="s">
        <v>1037</v>
      </c>
      <c r="O355">
        <v>21000</v>
      </c>
      <c r="P355" t="s">
        <v>46</v>
      </c>
      <c r="Q355" t="s">
        <v>47</v>
      </c>
      <c r="R355" t="s">
        <v>48</v>
      </c>
      <c r="T355" t="s">
        <v>36</v>
      </c>
      <c r="U355" t="s">
        <v>36</v>
      </c>
      <c r="V355" t="s">
        <v>36</v>
      </c>
      <c r="W355">
        <v>4000</v>
      </c>
      <c r="X355" t="s">
        <v>49</v>
      </c>
      <c r="Y355" t="s">
        <v>50</v>
      </c>
      <c r="Z355" t="s">
        <v>51</v>
      </c>
      <c r="AA355" t="s">
        <v>37</v>
      </c>
      <c r="AB355" t="s">
        <v>52</v>
      </c>
      <c r="AC355" t="s">
        <v>53</v>
      </c>
      <c r="AD355" t="s">
        <v>54</v>
      </c>
      <c r="AE355">
        <v>4.0842224794600002</v>
      </c>
      <c r="AF355">
        <v>1084</v>
      </c>
      <c r="AG355">
        <v>1083.7059790799999</v>
      </c>
      <c r="AH355">
        <v>40842.886017299999</v>
      </c>
      <c r="AI355">
        <v>41</v>
      </c>
      <c r="AJ355">
        <v>19531.017732885</v>
      </c>
      <c r="AK355" s="1">
        <f>intersection_ss_Lnight___surface[[#This Row],[surf m2 bout ss]]/intersection_ss_Lnight___surface[[#This Row],[Shape_Area]]</f>
        <v>0.47819876696794056</v>
      </c>
      <c r="AL355">
        <v>1340</v>
      </c>
      <c r="AM355">
        <f>intersection_ss_Lnight___surface[[#This Row],[Population totale 2024 ss]]*intersection_ss_Lnight___surface[[#This Row],[Part de la surface du qs dans le noise contour]]</f>
        <v>640.78634773704039</v>
      </c>
    </row>
    <row r="356" spans="1:39" x14ac:dyDescent="0.3">
      <c r="A356">
        <v>368</v>
      </c>
      <c r="B356" t="s">
        <v>1062</v>
      </c>
      <c r="C356" t="s">
        <v>1063</v>
      </c>
      <c r="D356" t="s">
        <v>1064</v>
      </c>
      <c r="E356" t="s">
        <v>1064</v>
      </c>
      <c r="F356" t="s">
        <v>1053</v>
      </c>
      <c r="G356" t="s">
        <v>1033</v>
      </c>
      <c r="H356" t="s">
        <v>1034</v>
      </c>
      <c r="I356" t="s">
        <v>1035</v>
      </c>
      <c r="J356" t="s">
        <v>36</v>
      </c>
      <c r="K356">
        <v>21014</v>
      </c>
      <c r="L356" t="s">
        <v>1036</v>
      </c>
      <c r="M356" t="s">
        <v>1037</v>
      </c>
      <c r="N356" t="s">
        <v>1037</v>
      </c>
      <c r="O356">
        <v>21000</v>
      </c>
      <c r="P356" t="s">
        <v>46</v>
      </c>
      <c r="Q356" t="s">
        <v>47</v>
      </c>
      <c r="R356" t="s">
        <v>48</v>
      </c>
      <c r="T356" t="s">
        <v>36</v>
      </c>
      <c r="U356" t="s">
        <v>36</v>
      </c>
      <c r="V356" t="s">
        <v>36</v>
      </c>
      <c r="W356">
        <v>4000</v>
      </c>
      <c r="X356" t="s">
        <v>49</v>
      </c>
      <c r="Y356" t="s">
        <v>50</v>
      </c>
      <c r="Z356" t="s">
        <v>51</v>
      </c>
      <c r="AA356" t="s">
        <v>37</v>
      </c>
      <c r="AB356" t="s">
        <v>52</v>
      </c>
      <c r="AC356" t="s">
        <v>53</v>
      </c>
      <c r="AD356" t="s">
        <v>54</v>
      </c>
      <c r="AE356">
        <v>6.3919521641600001</v>
      </c>
      <c r="AF356">
        <v>1191</v>
      </c>
      <c r="AG356">
        <v>1190.94303087</v>
      </c>
      <c r="AH356">
        <v>63920.548263800003</v>
      </c>
      <c r="AI356">
        <v>40</v>
      </c>
      <c r="AJ356">
        <v>13582.1261466614</v>
      </c>
      <c r="AK356" s="1">
        <f>intersection_ss_Lnight___surface[[#This Row],[surf m2 bout ss]]/intersection_ss_Lnight___surface[[#This Row],[Shape_Area]]</f>
        <v>0.21248450640016395</v>
      </c>
      <c r="AL356">
        <v>0</v>
      </c>
      <c r="AM356">
        <f>intersection_ss_Lnight___surface[[#This Row],[Population totale 2024 ss]]*intersection_ss_Lnight___surface[[#This Row],[Part de la surface du qs dans le noise contour]]</f>
        <v>0</v>
      </c>
    </row>
    <row r="357" spans="1:39" x14ac:dyDescent="0.3">
      <c r="A357">
        <v>369</v>
      </c>
      <c r="B357" t="s">
        <v>1065</v>
      </c>
      <c r="C357" t="s">
        <v>1066</v>
      </c>
      <c r="D357" t="s">
        <v>1067</v>
      </c>
      <c r="E357" t="s">
        <v>1067</v>
      </c>
      <c r="F357" t="s">
        <v>1068</v>
      </c>
      <c r="G357" t="s">
        <v>1033</v>
      </c>
      <c r="H357" t="s">
        <v>1034</v>
      </c>
      <c r="I357" t="s">
        <v>1035</v>
      </c>
      <c r="J357" t="s">
        <v>36</v>
      </c>
      <c r="K357">
        <v>21014</v>
      </c>
      <c r="L357" t="s">
        <v>1036</v>
      </c>
      <c r="M357" t="s">
        <v>1037</v>
      </c>
      <c r="N357" t="s">
        <v>1037</v>
      </c>
      <c r="O357">
        <v>21000</v>
      </c>
      <c r="P357" t="s">
        <v>46</v>
      </c>
      <c r="Q357" t="s">
        <v>47</v>
      </c>
      <c r="R357" t="s">
        <v>48</v>
      </c>
      <c r="T357" t="s">
        <v>36</v>
      </c>
      <c r="U357" t="s">
        <v>36</v>
      </c>
      <c r="V357" t="s">
        <v>36</v>
      </c>
      <c r="W357">
        <v>4000</v>
      </c>
      <c r="X357" t="s">
        <v>49</v>
      </c>
      <c r="Y357" t="s">
        <v>50</v>
      </c>
      <c r="Z357" t="s">
        <v>51</v>
      </c>
      <c r="AA357" t="s">
        <v>37</v>
      </c>
      <c r="AB357" t="s">
        <v>52</v>
      </c>
      <c r="AC357" t="s">
        <v>53</v>
      </c>
      <c r="AD357" t="s">
        <v>54</v>
      </c>
      <c r="AE357">
        <v>3.0055450479700001</v>
      </c>
      <c r="AF357">
        <v>780</v>
      </c>
      <c r="AG357">
        <v>780.34212363500001</v>
      </c>
      <c r="AH357">
        <v>30055.928696999999</v>
      </c>
      <c r="AI357">
        <v>40</v>
      </c>
      <c r="AJ357">
        <v>6265.26063315384</v>
      </c>
      <c r="AK357" s="1">
        <f>intersection_ss_Lnight___surface[[#This Row],[surf m2 bout ss]]/intersection_ss_Lnight___surface[[#This Row],[Shape_Area]]</f>
        <v>0.20845340353030584</v>
      </c>
      <c r="AL357">
        <v>4</v>
      </c>
      <c r="AM357">
        <f>intersection_ss_Lnight___surface[[#This Row],[Population totale 2024 ss]]*intersection_ss_Lnight___surface[[#This Row],[Part de la surface du qs dans le noise contour]]</f>
        <v>0.83381361412122335</v>
      </c>
    </row>
    <row r="358" spans="1:39" x14ac:dyDescent="0.3">
      <c r="A358">
        <v>370</v>
      </c>
      <c r="B358" t="s">
        <v>1065</v>
      </c>
      <c r="C358" t="s">
        <v>1066</v>
      </c>
      <c r="D358" t="s">
        <v>1067</v>
      </c>
      <c r="E358" t="s">
        <v>1067</v>
      </c>
      <c r="F358" t="s">
        <v>1068</v>
      </c>
      <c r="G358" t="s">
        <v>1033</v>
      </c>
      <c r="H358" t="s">
        <v>1034</v>
      </c>
      <c r="I358" t="s">
        <v>1035</v>
      </c>
      <c r="J358" t="s">
        <v>36</v>
      </c>
      <c r="K358">
        <v>21014</v>
      </c>
      <c r="L358" t="s">
        <v>1036</v>
      </c>
      <c r="M358" t="s">
        <v>1037</v>
      </c>
      <c r="N358" t="s">
        <v>1037</v>
      </c>
      <c r="O358">
        <v>21000</v>
      </c>
      <c r="P358" t="s">
        <v>46</v>
      </c>
      <c r="Q358" t="s">
        <v>47</v>
      </c>
      <c r="R358" t="s">
        <v>48</v>
      </c>
      <c r="T358" t="s">
        <v>36</v>
      </c>
      <c r="U358" t="s">
        <v>36</v>
      </c>
      <c r="V358" t="s">
        <v>36</v>
      </c>
      <c r="W358">
        <v>4000</v>
      </c>
      <c r="X358" t="s">
        <v>49</v>
      </c>
      <c r="Y358" t="s">
        <v>50</v>
      </c>
      <c r="Z358" t="s">
        <v>51</v>
      </c>
      <c r="AA358" t="s">
        <v>37</v>
      </c>
      <c r="AB358" t="s">
        <v>52</v>
      </c>
      <c r="AC358" t="s">
        <v>53</v>
      </c>
      <c r="AD358" t="s">
        <v>54</v>
      </c>
      <c r="AE358">
        <v>3.0055450479700001</v>
      </c>
      <c r="AF358">
        <v>780</v>
      </c>
      <c r="AG358">
        <v>780.34212363500001</v>
      </c>
      <c r="AH358">
        <v>30055.928696999999</v>
      </c>
      <c r="AI358">
        <v>41</v>
      </c>
      <c r="AJ358">
        <v>23793.564745565898</v>
      </c>
      <c r="AK358" s="1">
        <f>intersection_ss_Lnight___surface[[#This Row],[surf m2 bout ss]]/intersection_ss_Lnight___surface[[#This Row],[Shape_Area]]</f>
        <v>0.79164297285349983</v>
      </c>
      <c r="AL358">
        <v>4</v>
      </c>
      <c r="AM358">
        <f>intersection_ss_Lnight___surface[[#This Row],[Population totale 2024 ss]]*intersection_ss_Lnight___surface[[#This Row],[Part de la surface du qs dans le noise contour]]</f>
        <v>3.1665718914139993</v>
      </c>
    </row>
    <row r="359" spans="1:39" x14ac:dyDescent="0.3">
      <c r="A359">
        <v>371</v>
      </c>
      <c r="B359" t="s">
        <v>1069</v>
      </c>
      <c r="C359" t="s">
        <v>1070</v>
      </c>
      <c r="D359" t="s">
        <v>1070</v>
      </c>
      <c r="E359" t="s">
        <v>1070</v>
      </c>
      <c r="F359" t="s">
        <v>1071</v>
      </c>
      <c r="G359" t="s">
        <v>1033</v>
      </c>
      <c r="H359" t="s">
        <v>1034</v>
      </c>
      <c r="I359" t="s">
        <v>1035</v>
      </c>
      <c r="J359" t="s">
        <v>36</v>
      </c>
      <c r="K359">
        <v>21014</v>
      </c>
      <c r="L359" t="s">
        <v>1036</v>
      </c>
      <c r="M359" t="s">
        <v>1037</v>
      </c>
      <c r="N359" t="s">
        <v>1037</v>
      </c>
      <c r="O359">
        <v>21000</v>
      </c>
      <c r="P359" t="s">
        <v>46</v>
      </c>
      <c r="Q359" t="s">
        <v>47</v>
      </c>
      <c r="R359" t="s">
        <v>48</v>
      </c>
      <c r="T359" t="s">
        <v>36</v>
      </c>
      <c r="U359" t="s">
        <v>36</v>
      </c>
      <c r="V359" t="s">
        <v>36</v>
      </c>
      <c r="W359">
        <v>4000</v>
      </c>
      <c r="X359" t="s">
        <v>49</v>
      </c>
      <c r="Y359" t="s">
        <v>50</v>
      </c>
      <c r="Z359" t="s">
        <v>51</v>
      </c>
      <c r="AA359" t="s">
        <v>37</v>
      </c>
      <c r="AB359" t="s">
        <v>52</v>
      </c>
      <c r="AC359" t="s">
        <v>53</v>
      </c>
      <c r="AD359" t="s">
        <v>54</v>
      </c>
      <c r="AE359">
        <v>10.028720528599999</v>
      </c>
      <c r="AF359">
        <v>1420</v>
      </c>
      <c r="AG359">
        <v>1420.08115294</v>
      </c>
      <c r="AH359">
        <v>100288.836658</v>
      </c>
      <c r="AI359">
        <v>40</v>
      </c>
      <c r="AJ359">
        <v>6499.1789943762096</v>
      </c>
      <c r="AK359" s="1">
        <f>intersection_ss_Lnight___surface[[#This Row],[surf m2 bout ss]]/intersection_ss_Lnight___surface[[#This Row],[Shape_Area]]</f>
        <v>6.4804610472642993E-2</v>
      </c>
      <c r="AL359">
        <v>573</v>
      </c>
      <c r="AM359">
        <f>intersection_ss_Lnight___surface[[#This Row],[Population totale 2024 ss]]*intersection_ss_Lnight___surface[[#This Row],[Part de la surface du qs dans le noise contour]]</f>
        <v>37.133041800824437</v>
      </c>
    </row>
    <row r="360" spans="1:39" x14ac:dyDescent="0.3">
      <c r="A360">
        <v>372</v>
      </c>
      <c r="B360" t="s">
        <v>1069</v>
      </c>
      <c r="C360" t="s">
        <v>1070</v>
      </c>
      <c r="D360" t="s">
        <v>1070</v>
      </c>
      <c r="E360" t="s">
        <v>1070</v>
      </c>
      <c r="F360" t="s">
        <v>1071</v>
      </c>
      <c r="G360" t="s">
        <v>1033</v>
      </c>
      <c r="H360" t="s">
        <v>1034</v>
      </c>
      <c r="I360" t="s">
        <v>1035</v>
      </c>
      <c r="J360" t="s">
        <v>36</v>
      </c>
      <c r="K360">
        <v>21014</v>
      </c>
      <c r="L360" t="s">
        <v>1036</v>
      </c>
      <c r="M360" t="s">
        <v>1037</v>
      </c>
      <c r="N360" t="s">
        <v>1037</v>
      </c>
      <c r="O360">
        <v>21000</v>
      </c>
      <c r="P360" t="s">
        <v>46</v>
      </c>
      <c r="Q360" t="s">
        <v>47</v>
      </c>
      <c r="R360" t="s">
        <v>48</v>
      </c>
      <c r="T360" t="s">
        <v>36</v>
      </c>
      <c r="U360" t="s">
        <v>36</v>
      </c>
      <c r="V360" t="s">
        <v>36</v>
      </c>
      <c r="W360">
        <v>4000</v>
      </c>
      <c r="X360" t="s">
        <v>49</v>
      </c>
      <c r="Y360" t="s">
        <v>50</v>
      </c>
      <c r="Z360" t="s">
        <v>51</v>
      </c>
      <c r="AA360" t="s">
        <v>37</v>
      </c>
      <c r="AB360" t="s">
        <v>52</v>
      </c>
      <c r="AC360" t="s">
        <v>53</v>
      </c>
      <c r="AD360" t="s">
        <v>54</v>
      </c>
      <c r="AE360">
        <v>10.028720528599999</v>
      </c>
      <c r="AF360">
        <v>1420</v>
      </c>
      <c r="AG360">
        <v>1420.08115294</v>
      </c>
      <c r="AH360">
        <v>100288.836658</v>
      </c>
      <c r="AI360">
        <v>41</v>
      </c>
      <c r="AJ360">
        <v>70685.822920100298</v>
      </c>
      <c r="AK360" s="1">
        <f>intersection_ss_Lnight___surface[[#This Row],[surf m2 bout ss]]/intersection_ss_Lnight___surface[[#This Row],[Shape_Area]]</f>
        <v>0.70482244361004576</v>
      </c>
      <c r="AL360">
        <v>573</v>
      </c>
      <c r="AM360">
        <f>intersection_ss_Lnight___surface[[#This Row],[Population totale 2024 ss]]*intersection_ss_Lnight___surface[[#This Row],[Part de la surface du qs dans le noise contour]]</f>
        <v>403.86326018855624</v>
      </c>
    </row>
    <row r="361" spans="1:39" x14ac:dyDescent="0.3">
      <c r="A361">
        <v>373</v>
      </c>
      <c r="B361" t="s">
        <v>1069</v>
      </c>
      <c r="C361" t="s">
        <v>1070</v>
      </c>
      <c r="D361" t="s">
        <v>1070</v>
      </c>
      <c r="E361" t="s">
        <v>1070</v>
      </c>
      <c r="F361" t="s">
        <v>1071</v>
      </c>
      <c r="G361" t="s">
        <v>1033</v>
      </c>
      <c r="H361" t="s">
        <v>1034</v>
      </c>
      <c r="I361" t="s">
        <v>1035</v>
      </c>
      <c r="J361" t="s">
        <v>36</v>
      </c>
      <c r="K361">
        <v>21014</v>
      </c>
      <c r="L361" t="s">
        <v>1036</v>
      </c>
      <c r="M361" t="s">
        <v>1037</v>
      </c>
      <c r="N361" t="s">
        <v>1037</v>
      </c>
      <c r="O361">
        <v>21000</v>
      </c>
      <c r="P361" t="s">
        <v>46</v>
      </c>
      <c r="Q361" t="s">
        <v>47</v>
      </c>
      <c r="R361" t="s">
        <v>48</v>
      </c>
      <c r="T361" t="s">
        <v>36</v>
      </c>
      <c r="U361" t="s">
        <v>36</v>
      </c>
      <c r="V361" t="s">
        <v>36</v>
      </c>
      <c r="W361">
        <v>4000</v>
      </c>
      <c r="X361" t="s">
        <v>49</v>
      </c>
      <c r="Y361" t="s">
        <v>50</v>
      </c>
      <c r="Z361" t="s">
        <v>51</v>
      </c>
      <c r="AA361" t="s">
        <v>37</v>
      </c>
      <c r="AB361" t="s">
        <v>52</v>
      </c>
      <c r="AC361" t="s">
        <v>53</v>
      </c>
      <c r="AD361" t="s">
        <v>54</v>
      </c>
      <c r="AE361">
        <v>10.028720528599999</v>
      </c>
      <c r="AF361">
        <v>1420</v>
      </c>
      <c r="AG361">
        <v>1420.08115294</v>
      </c>
      <c r="AH361">
        <v>100288.836658</v>
      </c>
      <c r="AI361">
        <v>42</v>
      </c>
      <c r="AJ361">
        <v>23113.486345091998</v>
      </c>
      <c r="AK361" s="1">
        <f>intersection_ss_Lnight___surface[[#This Row],[surf m2 bout ss]]/intersection_ss_Lnight___surface[[#This Row],[Shape_Area]]</f>
        <v>0.23046918396224356</v>
      </c>
      <c r="AL361">
        <v>573</v>
      </c>
      <c r="AM361">
        <f>intersection_ss_Lnight___surface[[#This Row],[Population totale 2024 ss]]*intersection_ss_Lnight___surface[[#This Row],[Part de la surface du qs dans le noise contour]]</f>
        <v>132.05884241036557</v>
      </c>
    </row>
    <row r="362" spans="1:39" x14ac:dyDescent="0.3">
      <c r="A362">
        <v>374</v>
      </c>
      <c r="B362" t="s">
        <v>1075</v>
      </c>
      <c r="C362" t="s">
        <v>1076</v>
      </c>
      <c r="D362" t="s">
        <v>1077</v>
      </c>
      <c r="E362" t="s">
        <v>1077</v>
      </c>
      <c r="F362" t="s">
        <v>1078</v>
      </c>
      <c r="G362" t="s">
        <v>1079</v>
      </c>
      <c r="H362" t="s">
        <v>1080</v>
      </c>
      <c r="I362" t="s">
        <v>1081</v>
      </c>
      <c r="J362" t="s">
        <v>36</v>
      </c>
      <c r="K362">
        <v>21015</v>
      </c>
      <c r="L362" t="s">
        <v>1082</v>
      </c>
      <c r="M362" t="s">
        <v>1083</v>
      </c>
      <c r="N362" t="s">
        <v>1083</v>
      </c>
      <c r="O362">
        <v>21000</v>
      </c>
      <c r="P362" t="s">
        <v>46</v>
      </c>
      <c r="Q362" t="s">
        <v>47</v>
      </c>
      <c r="R362" t="s">
        <v>48</v>
      </c>
      <c r="T362" t="s">
        <v>36</v>
      </c>
      <c r="U362" t="s">
        <v>36</v>
      </c>
      <c r="V362" t="s">
        <v>36</v>
      </c>
      <c r="W362">
        <v>4000</v>
      </c>
      <c r="X362" t="s">
        <v>49</v>
      </c>
      <c r="Y362" t="s">
        <v>50</v>
      </c>
      <c r="Z362" t="s">
        <v>51</v>
      </c>
      <c r="AA362" t="s">
        <v>37</v>
      </c>
      <c r="AB362" t="s">
        <v>52</v>
      </c>
      <c r="AC362" t="s">
        <v>53</v>
      </c>
      <c r="AD362" t="s">
        <v>54</v>
      </c>
      <c r="AE362">
        <v>26.460813816000002</v>
      </c>
      <c r="AF362">
        <v>2106</v>
      </c>
      <c r="AG362">
        <v>2106.4361822999999</v>
      </c>
      <c r="AH362">
        <v>264612.38041500002</v>
      </c>
      <c r="AI362">
        <v>42</v>
      </c>
      <c r="AJ362">
        <v>105205.08732921</v>
      </c>
      <c r="AK362" s="1">
        <f>intersection_ss_Lnight___surface[[#This Row],[surf m2 bout ss]]/intersection_ss_Lnight___surface[[#This Row],[Shape_Area]]</f>
        <v>0.39758187868690614</v>
      </c>
      <c r="AL362">
        <v>7032</v>
      </c>
      <c r="AM362">
        <f>intersection_ss_Lnight___surface[[#This Row],[Population totale 2024 ss]]*intersection_ss_Lnight___surface[[#This Row],[Part de la surface du qs dans le noise contour]]</f>
        <v>2795.7957709263242</v>
      </c>
    </row>
    <row r="363" spans="1:39" x14ac:dyDescent="0.3">
      <c r="A363">
        <v>375</v>
      </c>
      <c r="B363" t="s">
        <v>1075</v>
      </c>
      <c r="C363" t="s">
        <v>1076</v>
      </c>
      <c r="D363" t="s">
        <v>1077</v>
      </c>
      <c r="E363" t="s">
        <v>1077</v>
      </c>
      <c r="F363" t="s">
        <v>1078</v>
      </c>
      <c r="G363" t="s">
        <v>1079</v>
      </c>
      <c r="H363" t="s">
        <v>1080</v>
      </c>
      <c r="I363" t="s">
        <v>1081</v>
      </c>
      <c r="J363" t="s">
        <v>36</v>
      </c>
      <c r="K363">
        <v>21015</v>
      </c>
      <c r="L363" t="s">
        <v>1082</v>
      </c>
      <c r="M363" t="s">
        <v>1083</v>
      </c>
      <c r="N363" t="s">
        <v>1083</v>
      </c>
      <c r="O363">
        <v>21000</v>
      </c>
      <c r="P363" t="s">
        <v>46</v>
      </c>
      <c r="Q363" t="s">
        <v>47</v>
      </c>
      <c r="R363" t="s">
        <v>48</v>
      </c>
      <c r="T363" t="s">
        <v>36</v>
      </c>
      <c r="U363" t="s">
        <v>36</v>
      </c>
      <c r="V363" t="s">
        <v>36</v>
      </c>
      <c r="W363">
        <v>4000</v>
      </c>
      <c r="X363" t="s">
        <v>49</v>
      </c>
      <c r="Y363" t="s">
        <v>50</v>
      </c>
      <c r="Z363" t="s">
        <v>51</v>
      </c>
      <c r="AA363" t="s">
        <v>37</v>
      </c>
      <c r="AB363" t="s">
        <v>52</v>
      </c>
      <c r="AC363" t="s">
        <v>53</v>
      </c>
      <c r="AD363" t="s">
        <v>54</v>
      </c>
      <c r="AE363">
        <v>26.460813816000002</v>
      </c>
      <c r="AF363">
        <v>2106</v>
      </c>
      <c r="AG363">
        <v>2106.4361822999999</v>
      </c>
      <c r="AH363">
        <v>264612.38041500002</v>
      </c>
      <c r="AI363">
        <v>43</v>
      </c>
      <c r="AJ363">
        <v>159432.151207922</v>
      </c>
      <c r="AK363" s="1">
        <f>intersection_ss_Lnight___surface[[#This Row],[surf m2 bout ss]]/intersection_ss_Lnight___surface[[#This Row],[Shape_Area]]</f>
        <v>0.60251206295744542</v>
      </c>
      <c r="AL363">
        <v>7032</v>
      </c>
      <c r="AM363">
        <f>intersection_ss_Lnight___surface[[#This Row],[Population totale 2024 ss]]*intersection_ss_Lnight___surface[[#This Row],[Part de la surface du qs dans le noise contour]]</f>
        <v>4236.8648267167564</v>
      </c>
    </row>
    <row r="364" spans="1:39" x14ac:dyDescent="0.3">
      <c r="A364">
        <v>376</v>
      </c>
      <c r="B364" t="s">
        <v>1084</v>
      </c>
      <c r="C364" t="s">
        <v>1085</v>
      </c>
      <c r="D364" t="s">
        <v>1086</v>
      </c>
      <c r="E364" t="s">
        <v>1086</v>
      </c>
      <c r="F364" t="s">
        <v>1078</v>
      </c>
      <c r="G364" t="s">
        <v>1079</v>
      </c>
      <c r="H364" t="s">
        <v>1080</v>
      </c>
      <c r="I364" t="s">
        <v>1081</v>
      </c>
      <c r="J364" t="s">
        <v>36</v>
      </c>
      <c r="K364">
        <v>21015</v>
      </c>
      <c r="L364" t="s">
        <v>1082</v>
      </c>
      <c r="M364" t="s">
        <v>1083</v>
      </c>
      <c r="N364" t="s">
        <v>1083</v>
      </c>
      <c r="O364">
        <v>21000</v>
      </c>
      <c r="P364" t="s">
        <v>46</v>
      </c>
      <c r="Q364" t="s">
        <v>47</v>
      </c>
      <c r="R364" t="s">
        <v>48</v>
      </c>
      <c r="T364" t="s">
        <v>36</v>
      </c>
      <c r="U364" t="s">
        <v>36</v>
      </c>
      <c r="V364" t="s">
        <v>36</v>
      </c>
      <c r="W364">
        <v>4000</v>
      </c>
      <c r="X364" t="s">
        <v>49</v>
      </c>
      <c r="Y364" t="s">
        <v>50</v>
      </c>
      <c r="Z364" t="s">
        <v>51</v>
      </c>
      <c r="AA364" t="s">
        <v>37</v>
      </c>
      <c r="AB364" t="s">
        <v>52</v>
      </c>
      <c r="AC364" t="s">
        <v>53</v>
      </c>
      <c r="AD364" t="s">
        <v>54</v>
      </c>
      <c r="AE364">
        <v>8.7720804652800002</v>
      </c>
      <c r="AF364">
        <v>1865</v>
      </c>
      <c r="AG364">
        <v>1865.1975137300001</v>
      </c>
      <c r="AH364">
        <v>87722.235729799999</v>
      </c>
      <c r="AI364">
        <v>42</v>
      </c>
      <c r="AJ364">
        <v>5950.0097947664499</v>
      </c>
      <c r="AK364" s="1">
        <f>intersection_ss_Lnight___surface[[#This Row],[surf m2 bout ss]]/intersection_ss_Lnight___surface[[#This Row],[Shape_Area]]</f>
        <v>6.7827840287763896E-2</v>
      </c>
      <c r="AL364">
        <v>1168</v>
      </c>
      <c r="AM364">
        <f>intersection_ss_Lnight___surface[[#This Row],[Population totale 2024 ss]]*intersection_ss_Lnight___surface[[#This Row],[Part de la surface du qs dans le noise contour]]</f>
        <v>79.222917456108235</v>
      </c>
    </row>
    <row r="365" spans="1:39" x14ac:dyDescent="0.3">
      <c r="A365">
        <v>377</v>
      </c>
      <c r="B365" t="s">
        <v>1084</v>
      </c>
      <c r="C365" t="s">
        <v>1085</v>
      </c>
      <c r="D365" t="s">
        <v>1086</v>
      </c>
      <c r="E365" t="s">
        <v>1086</v>
      </c>
      <c r="F365" t="s">
        <v>1078</v>
      </c>
      <c r="G365" t="s">
        <v>1079</v>
      </c>
      <c r="H365" t="s">
        <v>1080</v>
      </c>
      <c r="I365" t="s">
        <v>1081</v>
      </c>
      <c r="J365" t="s">
        <v>36</v>
      </c>
      <c r="K365">
        <v>21015</v>
      </c>
      <c r="L365" t="s">
        <v>1082</v>
      </c>
      <c r="M365" t="s">
        <v>1083</v>
      </c>
      <c r="N365" t="s">
        <v>1083</v>
      </c>
      <c r="O365">
        <v>21000</v>
      </c>
      <c r="P365" t="s">
        <v>46</v>
      </c>
      <c r="Q365" t="s">
        <v>47</v>
      </c>
      <c r="R365" t="s">
        <v>48</v>
      </c>
      <c r="T365" t="s">
        <v>36</v>
      </c>
      <c r="U365" t="s">
        <v>36</v>
      </c>
      <c r="V365" t="s">
        <v>36</v>
      </c>
      <c r="W365">
        <v>4000</v>
      </c>
      <c r="X365" t="s">
        <v>49</v>
      </c>
      <c r="Y365" t="s">
        <v>50</v>
      </c>
      <c r="Z365" t="s">
        <v>51</v>
      </c>
      <c r="AA365" t="s">
        <v>37</v>
      </c>
      <c r="AB365" t="s">
        <v>52</v>
      </c>
      <c r="AC365" t="s">
        <v>53</v>
      </c>
      <c r="AD365" t="s">
        <v>54</v>
      </c>
      <c r="AE365">
        <v>8.7720804652800002</v>
      </c>
      <c r="AF365">
        <v>1865</v>
      </c>
      <c r="AG365">
        <v>1865.1975137300001</v>
      </c>
      <c r="AH365">
        <v>87722.235729799999</v>
      </c>
      <c r="AI365">
        <v>43</v>
      </c>
      <c r="AJ365">
        <v>81780.468272078797</v>
      </c>
      <c r="AK365" s="1">
        <f>intersection_ss_Lnight___surface[[#This Row],[surf m2 bout ss]]/intersection_ss_Lnight___surface[[#This Row],[Shape_Area]]</f>
        <v>0.93226611920810021</v>
      </c>
      <c r="AL365">
        <v>1168</v>
      </c>
      <c r="AM365">
        <f>intersection_ss_Lnight___surface[[#This Row],[Population totale 2024 ss]]*intersection_ss_Lnight___surface[[#This Row],[Part de la surface du qs dans le noise contour]]</f>
        <v>1088.886827235061</v>
      </c>
    </row>
    <row r="366" spans="1:39" x14ac:dyDescent="0.3">
      <c r="A366">
        <v>378</v>
      </c>
      <c r="B366" t="s">
        <v>1087</v>
      </c>
      <c r="C366" t="s">
        <v>1088</v>
      </c>
      <c r="D366" t="s">
        <v>1089</v>
      </c>
      <c r="E366" t="s">
        <v>1089</v>
      </c>
      <c r="F366" t="s">
        <v>1078</v>
      </c>
      <c r="G366" t="s">
        <v>1079</v>
      </c>
      <c r="H366" t="s">
        <v>1080</v>
      </c>
      <c r="I366" t="s">
        <v>1081</v>
      </c>
      <c r="J366" t="s">
        <v>36</v>
      </c>
      <c r="K366">
        <v>21015</v>
      </c>
      <c r="L366" t="s">
        <v>1082</v>
      </c>
      <c r="M366" t="s">
        <v>1083</v>
      </c>
      <c r="N366" t="s">
        <v>1083</v>
      </c>
      <c r="O366">
        <v>21000</v>
      </c>
      <c r="P366" t="s">
        <v>46</v>
      </c>
      <c r="Q366" t="s">
        <v>47</v>
      </c>
      <c r="R366" t="s">
        <v>48</v>
      </c>
      <c r="T366" t="s">
        <v>36</v>
      </c>
      <c r="U366" t="s">
        <v>36</v>
      </c>
      <c r="V366" t="s">
        <v>36</v>
      </c>
      <c r="W366">
        <v>4000</v>
      </c>
      <c r="X366" t="s">
        <v>49</v>
      </c>
      <c r="Y366" t="s">
        <v>50</v>
      </c>
      <c r="Z366" t="s">
        <v>51</v>
      </c>
      <c r="AA366" t="s">
        <v>37</v>
      </c>
      <c r="AB366" t="s">
        <v>52</v>
      </c>
      <c r="AC366" t="s">
        <v>53</v>
      </c>
      <c r="AD366" t="s">
        <v>54</v>
      </c>
      <c r="AE366">
        <v>9.2182950872999996</v>
      </c>
      <c r="AF366">
        <v>1220</v>
      </c>
      <c r="AG366">
        <v>1219.7451643500001</v>
      </c>
      <c r="AH366">
        <v>92184.435527199996</v>
      </c>
      <c r="AI366">
        <v>42</v>
      </c>
      <c r="AJ366">
        <v>81161.786259123095</v>
      </c>
      <c r="AK366" s="1">
        <f>intersection_ss_Lnight___surface[[#This Row],[surf m2 bout ss]]/intersection_ss_Lnight___surface[[#This Row],[Shape_Area]]</f>
        <v>0.8804283043548653</v>
      </c>
      <c r="AL366">
        <v>3275</v>
      </c>
      <c r="AM366">
        <f>intersection_ss_Lnight___surface[[#This Row],[Population totale 2024 ss]]*intersection_ss_Lnight___surface[[#This Row],[Part de la surface du qs dans le noise contour]]</f>
        <v>2883.402696762184</v>
      </c>
    </row>
    <row r="367" spans="1:39" x14ac:dyDescent="0.3">
      <c r="A367">
        <v>379</v>
      </c>
      <c r="B367" t="s">
        <v>1087</v>
      </c>
      <c r="C367" t="s">
        <v>1088</v>
      </c>
      <c r="D367" t="s">
        <v>1089</v>
      </c>
      <c r="E367" t="s">
        <v>1089</v>
      </c>
      <c r="F367" t="s">
        <v>1078</v>
      </c>
      <c r="G367" t="s">
        <v>1079</v>
      </c>
      <c r="H367" t="s">
        <v>1080</v>
      </c>
      <c r="I367" t="s">
        <v>1081</v>
      </c>
      <c r="J367" t="s">
        <v>36</v>
      </c>
      <c r="K367">
        <v>21015</v>
      </c>
      <c r="L367" t="s">
        <v>1082</v>
      </c>
      <c r="M367" t="s">
        <v>1083</v>
      </c>
      <c r="N367" t="s">
        <v>1083</v>
      </c>
      <c r="O367">
        <v>21000</v>
      </c>
      <c r="P367" t="s">
        <v>46</v>
      </c>
      <c r="Q367" t="s">
        <v>47</v>
      </c>
      <c r="R367" t="s">
        <v>48</v>
      </c>
      <c r="T367" t="s">
        <v>36</v>
      </c>
      <c r="U367" t="s">
        <v>36</v>
      </c>
      <c r="V367" t="s">
        <v>36</v>
      </c>
      <c r="W367">
        <v>4000</v>
      </c>
      <c r="X367" t="s">
        <v>49</v>
      </c>
      <c r="Y367" t="s">
        <v>50</v>
      </c>
      <c r="Z367" t="s">
        <v>51</v>
      </c>
      <c r="AA367" t="s">
        <v>37</v>
      </c>
      <c r="AB367" t="s">
        <v>52</v>
      </c>
      <c r="AC367" t="s">
        <v>53</v>
      </c>
      <c r="AD367" t="s">
        <v>54</v>
      </c>
      <c r="AE367">
        <v>9.2182950872999996</v>
      </c>
      <c r="AF367">
        <v>1220</v>
      </c>
      <c r="AG367">
        <v>1219.7451643500001</v>
      </c>
      <c r="AH367">
        <v>92184.435527199996</v>
      </c>
      <c r="AI367">
        <v>43</v>
      </c>
      <c r="AJ367">
        <v>11031.377902226801</v>
      </c>
      <c r="AK367" s="1">
        <f>intersection_ss_Lnight___surface[[#This Row],[surf m2 bout ss]]/intersection_ss_Lnight___surface[[#This Row],[Shape_Area]]</f>
        <v>0.11966638228176682</v>
      </c>
      <c r="AL367">
        <v>3275</v>
      </c>
      <c r="AM367">
        <f>intersection_ss_Lnight___surface[[#This Row],[Population totale 2024 ss]]*intersection_ss_Lnight___surface[[#This Row],[Part de la surface du qs dans le noise contour]]</f>
        <v>391.90740197278632</v>
      </c>
    </row>
    <row r="368" spans="1:39" x14ac:dyDescent="0.3">
      <c r="A368">
        <v>380</v>
      </c>
      <c r="B368" t="s">
        <v>1090</v>
      </c>
      <c r="C368" t="s">
        <v>1091</v>
      </c>
      <c r="D368" t="s">
        <v>1092</v>
      </c>
      <c r="E368" t="s">
        <v>1092</v>
      </c>
      <c r="F368" t="s">
        <v>1078</v>
      </c>
      <c r="G368" t="s">
        <v>1079</v>
      </c>
      <c r="H368" t="s">
        <v>1080</v>
      </c>
      <c r="I368" t="s">
        <v>1081</v>
      </c>
      <c r="J368" t="s">
        <v>36</v>
      </c>
      <c r="K368">
        <v>21015</v>
      </c>
      <c r="L368" t="s">
        <v>1082</v>
      </c>
      <c r="M368" t="s">
        <v>1083</v>
      </c>
      <c r="N368" t="s">
        <v>1083</v>
      </c>
      <c r="O368">
        <v>21000</v>
      </c>
      <c r="P368" t="s">
        <v>46</v>
      </c>
      <c r="Q368" t="s">
        <v>47</v>
      </c>
      <c r="R368" t="s">
        <v>48</v>
      </c>
      <c r="T368" t="s">
        <v>36</v>
      </c>
      <c r="U368" t="s">
        <v>36</v>
      </c>
      <c r="V368" t="s">
        <v>36</v>
      </c>
      <c r="W368">
        <v>4000</v>
      </c>
      <c r="X368" t="s">
        <v>49</v>
      </c>
      <c r="Y368" t="s">
        <v>50</v>
      </c>
      <c r="Z368" t="s">
        <v>51</v>
      </c>
      <c r="AA368" t="s">
        <v>37</v>
      </c>
      <c r="AB368" t="s">
        <v>52</v>
      </c>
      <c r="AC368" t="s">
        <v>53</v>
      </c>
      <c r="AD368" t="s">
        <v>54</v>
      </c>
      <c r="AE368">
        <v>19.4850049713</v>
      </c>
      <c r="AF368">
        <v>1790</v>
      </c>
      <c r="AG368">
        <v>1789.74540716</v>
      </c>
      <c r="AH368">
        <v>194853.18523199999</v>
      </c>
      <c r="AI368">
        <v>40</v>
      </c>
      <c r="AJ368">
        <v>31479.103121206201</v>
      </c>
      <c r="AK368" s="1">
        <f>intersection_ss_Lnight___surface[[#This Row],[surf m2 bout ss]]/intersection_ss_Lnight___surface[[#This Row],[Shape_Area]]</f>
        <v>0.16155293065251114</v>
      </c>
      <c r="AL368">
        <v>5282</v>
      </c>
      <c r="AM368">
        <f>intersection_ss_Lnight___surface[[#This Row],[Population totale 2024 ss]]*intersection_ss_Lnight___surface[[#This Row],[Part de la surface du qs dans le noise contour]]</f>
        <v>853.32257970656383</v>
      </c>
    </row>
    <row r="369" spans="1:39" x14ac:dyDescent="0.3">
      <c r="A369">
        <v>381</v>
      </c>
      <c r="B369" t="s">
        <v>1090</v>
      </c>
      <c r="C369" t="s">
        <v>1091</v>
      </c>
      <c r="D369" t="s">
        <v>1092</v>
      </c>
      <c r="E369" t="s">
        <v>1092</v>
      </c>
      <c r="F369" t="s">
        <v>1078</v>
      </c>
      <c r="G369" t="s">
        <v>1079</v>
      </c>
      <c r="H369" t="s">
        <v>1080</v>
      </c>
      <c r="I369" t="s">
        <v>1081</v>
      </c>
      <c r="J369" t="s">
        <v>36</v>
      </c>
      <c r="K369">
        <v>21015</v>
      </c>
      <c r="L369" t="s">
        <v>1082</v>
      </c>
      <c r="M369" t="s">
        <v>1083</v>
      </c>
      <c r="N369" t="s">
        <v>1083</v>
      </c>
      <c r="O369">
        <v>21000</v>
      </c>
      <c r="P369" t="s">
        <v>46</v>
      </c>
      <c r="Q369" t="s">
        <v>47</v>
      </c>
      <c r="R369" t="s">
        <v>48</v>
      </c>
      <c r="T369" t="s">
        <v>36</v>
      </c>
      <c r="U369" t="s">
        <v>36</v>
      </c>
      <c r="V369" t="s">
        <v>36</v>
      </c>
      <c r="W369">
        <v>4000</v>
      </c>
      <c r="X369" t="s">
        <v>49</v>
      </c>
      <c r="Y369" t="s">
        <v>50</v>
      </c>
      <c r="Z369" t="s">
        <v>51</v>
      </c>
      <c r="AA369" t="s">
        <v>37</v>
      </c>
      <c r="AB369" t="s">
        <v>52</v>
      </c>
      <c r="AC369" t="s">
        <v>53</v>
      </c>
      <c r="AD369" t="s">
        <v>54</v>
      </c>
      <c r="AE369">
        <v>19.4850049713</v>
      </c>
      <c r="AF369">
        <v>1790</v>
      </c>
      <c r="AG369">
        <v>1789.74540716</v>
      </c>
      <c r="AH369">
        <v>194853.18523199999</v>
      </c>
      <c r="AI369">
        <v>41</v>
      </c>
      <c r="AJ369">
        <v>114503.679688975</v>
      </c>
      <c r="AK369" s="1">
        <f>intersection_ss_Lnight___surface[[#This Row],[surf m2 bout ss]]/intersection_ss_Lnight___surface[[#This Row],[Shape_Area]]</f>
        <v>0.58764078992417978</v>
      </c>
      <c r="AL369">
        <v>5282</v>
      </c>
      <c r="AM369">
        <f>intersection_ss_Lnight___surface[[#This Row],[Population totale 2024 ss]]*intersection_ss_Lnight___surface[[#This Row],[Part de la surface du qs dans le noise contour]]</f>
        <v>3103.9186523795174</v>
      </c>
    </row>
    <row r="370" spans="1:39" x14ac:dyDescent="0.3">
      <c r="A370">
        <v>382</v>
      </c>
      <c r="B370" t="s">
        <v>1090</v>
      </c>
      <c r="C370" t="s">
        <v>1091</v>
      </c>
      <c r="D370" t="s">
        <v>1092</v>
      </c>
      <c r="E370" t="s">
        <v>1092</v>
      </c>
      <c r="F370" t="s">
        <v>1078</v>
      </c>
      <c r="G370" t="s">
        <v>1079</v>
      </c>
      <c r="H370" t="s">
        <v>1080</v>
      </c>
      <c r="I370" t="s">
        <v>1081</v>
      </c>
      <c r="J370" t="s">
        <v>36</v>
      </c>
      <c r="K370">
        <v>21015</v>
      </c>
      <c r="L370" t="s">
        <v>1082</v>
      </c>
      <c r="M370" t="s">
        <v>1083</v>
      </c>
      <c r="N370" t="s">
        <v>1083</v>
      </c>
      <c r="O370">
        <v>21000</v>
      </c>
      <c r="P370" t="s">
        <v>46</v>
      </c>
      <c r="Q370" t="s">
        <v>47</v>
      </c>
      <c r="R370" t="s">
        <v>48</v>
      </c>
      <c r="T370" t="s">
        <v>36</v>
      </c>
      <c r="U370" t="s">
        <v>36</v>
      </c>
      <c r="V370" t="s">
        <v>36</v>
      </c>
      <c r="W370">
        <v>4000</v>
      </c>
      <c r="X370" t="s">
        <v>49</v>
      </c>
      <c r="Y370" t="s">
        <v>50</v>
      </c>
      <c r="Z370" t="s">
        <v>51</v>
      </c>
      <c r="AA370" t="s">
        <v>37</v>
      </c>
      <c r="AB370" t="s">
        <v>52</v>
      </c>
      <c r="AC370" t="s">
        <v>53</v>
      </c>
      <c r="AD370" t="s">
        <v>54</v>
      </c>
      <c r="AE370">
        <v>19.4850049713</v>
      </c>
      <c r="AF370">
        <v>1790</v>
      </c>
      <c r="AG370">
        <v>1789.74540716</v>
      </c>
      <c r="AH370">
        <v>194853.18523199999</v>
      </c>
      <c r="AI370">
        <v>42</v>
      </c>
      <c r="AJ370">
        <v>48888.982785298002</v>
      </c>
      <c r="AK370" s="1">
        <f>intersection_ss_Lnight___surface[[#This Row],[surf m2 bout ss]]/intersection_ss_Lnight___surface[[#This Row],[Shape_Area]]</f>
        <v>0.25090163513154184</v>
      </c>
      <c r="AL370">
        <v>5282</v>
      </c>
      <c r="AM370">
        <f>intersection_ss_Lnight___surface[[#This Row],[Population totale 2024 ss]]*intersection_ss_Lnight___surface[[#This Row],[Part de la surface du qs dans le noise contour]]</f>
        <v>1325.2624367648041</v>
      </c>
    </row>
    <row r="371" spans="1:39" x14ac:dyDescent="0.3">
      <c r="A371">
        <v>383</v>
      </c>
      <c r="B371" t="s">
        <v>1093</v>
      </c>
      <c r="C371" t="s">
        <v>1094</v>
      </c>
      <c r="D371" t="s">
        <v>1095</v>
      </c>
      <c r="E371" t="s">
        <v>1095</v>
      </c>
      <c r="F371" t="s">
        <v>1078</v>
      </c>
      <c r="G371" t="s">
        <v>1079</v>
      </c>
      <c r="H371" t="s">
        <v>1080</v>
      </c>
      <c r="I371" t="s">
        <v>1081</v>
      </c>
      <c r="J371" t="s">
        <v>36</v>
      </c>
      <c r="K371">
        <v>21015</v>
      </c>
      <c r="L371" t="s">
        <v>1082</v>
      </c>
      <c r="M371" t="s">
        <v>1083</v>
      </c>
      <c r="N371" t="s">
        <v>1083</v>
      </c>
      <c r="O371">
        <v>21000</v>
      </c>
      <c r="P371" t="s">
        <v>46</v>
      </c>
      <c r="Q371" t="s">
        <v>47</v>
      </c>
      <c r="R371" t="s">
        <v>48</v>
      </c>
      <c r="T371" t="s">
        <v>36</v>
      </c>
      <c r="U371" t="s">
        <v>36</v>
      </c>
      <c r="V371" t="s">
        <v>36</v>
      </c>
      <c r="W371">
        <v>4000</v>
      </c>
      <c r="X371" t="s">
        <v>49</v>
      </c>
      <c r="Y371" t="s">
        <v>50</v>
      </c>
      <c r="Z371" t="s">
        <v>51</v>
      </c>
      <c r="AA371" t="s">
        <v>37</v>
      </c>
      <c r="AB371" t="s">
        <v>52</v>
      </c>
      <c r="AC371" t="s">
        <v>53</v>
      </c>
      <c r="AD371" t="s">
        <v>54</v>
      </c>
      <c r="AE371">
        <v>17.293220808600001</v>
      </c>
      <c r="AF371">
        <v>1701</v>
      </c>
      <c r="AG371">
        <v>1700.9978672499999</v>
      </c>
      <c r="AH371">
        <v>172934.98832</v>
      </c>
      <c r="AI371">
        <v>40</v>
      </c>
      <c r="AJ371">
        <v>89496.459946339004</v>
      </c>
      <c r="AK371" s="1">
        <f>intersection_ss_Lnight___surface[[#This Row],[surf m2 bout ss]]/intersection_ss_Lnight___surface[[#This Row],[Shape_Area]]</f>
        <v>0.51751505473683668</v>
      </c>
      <c r="AL371">
        <v>4710</v>
      </c>
      <c r="AM371">
        <f>intersection_ss_Lnight___surface[[#This Row],[Population totale 2024 ss]]*intersection_ss_Lnight___surface[[#This Row],[Part de la surface du qs dans le noise contour]]</f>
        <v>2437.4959078105007</v>
      </c>
    </row>
    <row r="372" spans="1:39" x14ac:dyDescent="0.3">
      <c r="A372">
        <v>384</v>
      </c>
      <c r="B372" t="s">
        <v>1093</v>
      </c>
      <c r="C372" t="s">
        <v>1094</v>
      </c>
      <c r="D372" t="s">
        <v>1095</v>
      </c>
      <c r="E372" t="s">
        <v>1095</v>
      </c>
      <c r="F372" t="s">
        <v>1078</v>
      </c>
      <c r="G372" t="s">
        <v>1079</v>
      </c>
      <c r="H372" t="s">
        <v>1080</v>
      </c>
      <c r="I372" t="s">
        <v>1081</v>
      </c>
      <c r="J372" t="s">
        <v>36</v>
      </c>
      <c r="K372">
        <v>21015</v>
      </c>
      <c r="L372" t="s">
        <v>1082</v>
      </c>
      <c r="M372" t="s">
        <v>1083</v>
      </c>
      <c r="N372" t="s">
        <v>1083</v>
      </c>
      <c r="O372">
        <v>21000</v>
      </c>
      <c r="P372" t="s">
        <v>46</v>
      </c>
      <c r="Q372" t="s">
        <v>47</v>
      </c>
      <c r="R372" t="s">
        <v>48</v>
      </c>
      <c r="T372" t="s">
        <v>36</v>
      </c>
      <c r="U372" t="s">
        <v>36</v>
      </c>
      <c r="V372" t="s">
        <v>36</v>
      </c>
      <c r="W372">
        <v>4000</v>
      </c>
      <c r="X372" t="s">
        <v>49</v>
      </c>
      <c r="Y372" t="s">
        <v>50</v>
      </c>
      <c r="Z372" t="s">
        <v>51</v>
      </c>
      <c r="AA372" t="s">
        <v>37</v>
      </c>
      <c r="AB372" t="s">
        <v>52</v>
      </c>
      <c r="AC372" t="s">
        <v>53</v>
      </c>
      <c r="AD372" t="s">
        <v>54</v>
      </c>
      <c r="AE372">
        <v>17.293220808600001</v>
      </c>
      <c r="AF372">
        <v>1701</v>
      </c>
      <c r="AG372">
        <v>1700.9978672499999</v>
      </c>
      <c r="AH372">
        <v>172934.98832</v>
      </c>
      <c r="AI372">
        <v>41</v>
      </c>
      <c r="AJ372">
        <v>7041.0155272297598</v>
      </c>
      <c r="AK372" s="1">
        <f>intersection_ss_Lnight___surface[[#This Row],[surf m2 bout ss]]/intersection_ss_Lnight___surface[[#This Row],[Shape_Area]]</f>
        <v>4.0714811939623341E-2</v>
      </c>
      <c r="AL372">
        <v>4710</v>
      </c>
      <c r="AM372">
        <f>intersection_ss_Lnight___surface[[#This Row],[Population totale 2024 ss]]*intersection_ss_Lnight___surface[[#This Row],[Part de la surface du qs dans le noise contour]]</f>
        <v>191.76676423562594</v>
      </c>
    </row>
    <row r="373" spans="1:39" x14ac:dyDescent="0.3">
      <c r="A373">
        <v>385</v>
      </c>
      <c r="B373" t="s">
        <v>1096</v>
      </c>
      <c r="C373" t="s">
        <v>1097</v>
      </c>
      <c r="D373" t="s">
        <v>1098</v>
      </c>
      <c r="E373" t="s">
        <v>1098</v>
      </c>
      <c r="F373" t="s">
        <v>1078</v>
      </c>
      <c r="G373" t="s">
        <v>1079</v>
      </c>
      <c r="H373" t="s">
        <v>1080</v>
      </c>
      <c r="I373" t="s">
        <v>1081</v>
      </c>
      <c r="J373" t="s">
        <v>36</v>
      </c>
      <c r="K373">
        <v>21015</v>
      </c>
      <c r="L373" t="s">
        <v>1082</v>
      </c>
      <c r="M373" t="s">
        <v>1083</v>
      </c>
      <c r="N373" t="s">
        <v>1083</v>
      </c>
      <c r="O373">
        <v>21000</v>
      </c>
      <c r="P373" t="s">
        <v>46</v>
      </c>
      <c r="Q373" t="s">
        <v>47</v>
      </c>
      <c r="R373" t="s">
        <v>48</v>
      </c>
      <c r="T373" t="s">
        <v>36</v>
      </c>
      <c r="U373" t="s">
        <v>36</v>
      </c>
      <c r="V373" t="s">
        <v>36</v>
      </c>
      <c r="W373">
        <v>4000</v>
      </c>
      <c r="X373" t="s">
        <v>49</v>
      </c>
      <c r="Y373" t="s">
        <v>50</v>
      </c>
      <c r="Z373" t="s">
        <v>51</v>
      </c>
      <c r="AA373" t="s">
        <v>37</v>
      </c>
      <c r="AB373" t="s">
        <v>52</v>
      </c>
      <c r="AC373" t="s">
        <v>53</v>
      </c>
      <c r="AD373" t="s">
        <v>54</v>
      </c>
      <c r="AE373">
        <v>19.308423463800001</v>
      </c>
      <c r="AF373">
        <v>2488</v>
      </c>
      <c r="AG373">
        <v>2487.9208808600001</v>
      </c>
      <c r="AH373">
        <v>193087.34157600001</v>
      </c>
      <c r="AI373">
        <v>40</v>
      </c>
      <c r="AJ373">
        <v>44077.968480214899</v>
      </c>
      <c r="AK373" s="1">
        <f>intersection_ss_Lnight___surface[[#This Row],[surf m2 bout ss]]/intersection_ss_Lnight___surface[[#This Row],[Shape_Area]]</f>
        <v>0.22827994896219347</v>
      </c>
      <c r="AL373">
        <v>4367</v>
      </c>
      <c r="AM373">
        <f>intersection_ss_Lnight___surface[[#This Row],[Population totale 2024 ss]]*intersection_ss_Lnight___surface[[#This Row],[Part de la surface du qs dans le noise contour]]</f>
        <v>996.89853711789885</v>
      </c>
    </row>
    <row r="374" spans="1:39" x14ac:dyDescent="0.3">
      <c r="A374">
        <v>386</v>
      </c>
      <c r="B374" t="s">
        <v>1096</v>
      </c>
      <c r="C374" t="s">
        <v>1097</v>
      </c>
      <c r="D374" t="s">
        <v>1098</v>
      </c>
      <c r="E374" t="s">
        <v>1098</v>
      </c>
      <c r="F374" t="s">
        <v>1078</v>
      </c>
      <c r="G374" t="s">
        <v>1079</v>
      </c>
      <c r="H374" t="s">
        <v>1080</v>
      </c>
      <c r="I374" t="s">
        <v>1081</v>
      </c>
      <c r="J374" t="s">
        <v>36</v>
      </c>
      <c r="K374">
        <v>21015</v>
      </c>
      <c r="L374" t="s">
        <v>1082</v>
      </c>
      <c r="M374" t="s">
        <v>1083</v>
      </c>
      <c r="N374" t="s">
        <v>1083</v>
      </c>
      <c r="O374">
        <v>21000</v>
      </c>
      <c r="P374" t="s">
        <v>46</v>
      </c>
      <c r="Q374" t="s">
        <v>47</v>
      </c>
      <c r="R374" t="s">
        <v>48</v>
      </c>
      <c r="T374" t="s">
        <v>36</v>
      </c>
      <c r="U374" t="s">
        <v>36</v>
      </c>
      <c r="V374" t="s">
        <v>36</v>
      </c>
      <c r="W374">
        <v>4000</v>
      </c>
      <c r="X374" t="s">
        <v>49</v>
      </c>
      <c r="Y374" t="s">
        <v>50</v>
      </c>
      <c r="Z374" t="s">
        <v>51</v>
      </c>
      <c r="AA374" t="s">
        <v>37</v>
      </c>
      <c r="AB374" t="s">
        <v>52</v>
      </c>
      <c r="AC374" t="s">
        <v>53</v>
      </c>
      <c r="AD374" t="s">
        <v>54</v>
      </c>
      <c r="AE374">
        <v>19.308423463800001</v>
      </c>
      <c r="AF374">
        <v>2488</v>
      </c>
      <c r="AG374">
        <v>2487.9208808600001</v>
      </c>
      <c r="AH374">
        <v>193087.34157600001</v>
      </c>
      <c r="AI374">
        <v>41</v>
      </c>
      <c r="AJ374">
        <v>58067.392580972097</v>
      </c>
      <c r="AK374" s="1">
        <f>intersection_ss_Lnight___surface[[#This Row],[surf m2 bout ss]]/intersection_ss_Lnight___surface[[#This Row],[Shape_Area]]</f>
        <v>0.30073122405135255</v>
      </c>
      <c r="AL374">
        <v>4367</v>
      </c>
      <c r="AM374">
        <f>intersection_ss_Lnight___surface[[#This Row],[Population totale 2024 ss]]*intersection_ss_Lnight___surface[[#This Row],[Part de la surface du qs dans le noise contour]]</f>
        <v>1313.2932554322565</v>
      </c>
    </row>
    <row r="375" spans="1:39" x14ac:dyDescent="0.3">
      <c r="A375">
        <v>387</v>
      </c>
      <c r="B375" t="s">
        <v>1096</v>
      </c>
      <c r="C375" t="s">
        <v>1097</v>
      </c>
      <c r="D375" t="s">
        <v>1098</v>
      </c>
      <c r="E375" t="s">
        <v>1098</v>
      </c>
      <c r="F375" t="s">
        <v>1078</v>
      </c>
      <c r="G375" t="s">
        <v>1079</v>
      </c>
      <c r="H375" t="s">
        <v>1080</v>
      </c>
      <c r="I375" t="s">
        <v>1081</v>
      </c>
      <c r="J375" t="s">
        <v>36</v>
      </c>
      <c r="K375">
        <v>21015</v>
      </c>
      <c r="L375" t="s">
        <v>1082</v>
      </c>
      <c r="M375" t="s">
        <v>1083</v>
      </c>
      <c r="N375" t="s">
        <v>1083</v>
      </c>
      <c r="O375">
        <v>21000</v>
      </c>
      <c r="P375" t="s">
        <v>46</v>
      </c>
      <c r="Q375" t="s">
        <v>47</v>
      </c>
      <c r="R375" t="s">
        <v>48</v>
      </c>
      <c r="T375" t="s">
        <v>36</v>
      </c>
      <c r="U375" t="s">
        <v>36</v>
      </c>
      <c r="V375" t="s">
        <v>36</v>
      </c>
      <c r="W375">
        <v>4000</v>
      </c>
      <c r="X375" t="s">
        <v>49</v>
      </c>
      <c r="Y375" t="s">
        <v>50</v>
      </c>
      <c r="Z375" t="s">
        <v>51</v>
      </c>
      <c r="AA375" t="s">
        <v>37</v>
      </c>
      <c r="AB375" t="s">
        <v>52</v>
      </c>
      <c r="AC375" t="s">
        <v>53</v>
      </c>
      <c r="AD375" t="s">
        <v>54</v>
      </c>
      <c r="AE375">
        <v>19.308423463800001</v>
      </c>
      <c r="AF375">
        <v>2488</v>
      </c>
      <c r="AG375">
        <v>2487.9208808600001</v>
      </c>
      <c r="AH375">
        <v>193087.34157600001</v>
      </c>
      <c r="AI375">
        <v>42</v>
      </c>
      <c r="AJ375">
        <v>90041.216687458596</v>
      </c>
      <c r="AK375" s="1">
        <f>intersection_ss_Lnight___surface[[#This Row],[surf m2 bout ss]]/intersection_ss_Lnight___surface[[#This Row],[Shape_Area]]</f>
        <v>0.4663237680550798</v>
      </c>
      <c r="AL375">
        <v>4367</v>
      </c>
      <c r="AM375">
        <f>intersection_ss_Lnight___surface[[#This Row],[Population totale 2024 ss]]*intersection_ss_Lnight___surface[[#This Row],[Part de la surface du qs dans le noise contour]]</f>
        <v>2036.4358950965334</v>
      </c>
    </row>
    <row r="376" spans="1:39" x14ac:dyDescent="0.3">
      <c r="A376">
        <v>388</v>
      </c>
      <c r="B376" t="s">
        <v>1099</v>
      </c>
      <c r="C376" t="s">
        <v>283</v>
      </c>
      <c r="D376" t="s">
        <v>284</v>
      </c>
      <c r="E376" t="s">
        <v>284</v>
      </c>
      <c r="F376" t="s">
        <v>1100</v>
      </c>
      <c r="G376" t="s">
        <v>1079</v>
      </c>
      <c r="H376" t="s">
        <v>1080</v>
      </c>
      <c r="I376" t="s">
        <v>1081</v>
      </c>
      <c r="J376" t="s">
        <v>36</v>
      </c>
      <c r="K376">
        <v>21015</v>
      </c>
      <c r="L376" t="s">
        <v>1082</v>
      </c>
      <c r="M376" t="s">
        <v>1083</v>
      </c>
      <c r="N376" t="s">
        <v>1083</v>
      </c>
      <c r="O376">
        <v>21000</v>
      </c>
      <c r="P376" t="s">
        <v>46</v>
      </c>
      <c r="Q376" t="s">
        <v>47</v>
      </c>
      <c r="R376" t="s">
        <v>48</v>
      </c>
      <c r="T376" t="s">
        <v>36</v>
      </c>
      <c r="U376" t="s">
        <v>36</v>
      </c>
      <c r="V376" t="s">
        <v>36</v>
      </c>
      <c r="W376">
        <v>4000</v>
      </c>
      <c r="X376" t="s">
        <v>49</v>
      </c>
      <c r="Y376" t="s">
        <v>50</v>
      </c>
      <c r="Z376" t="s">
        <v>51</v>
      </c>
      <c r="AA376" t="s">
        <v>37</v>
      </c>
      <c r="AB376" t="s">
        <v>52</v>
      </c>
      <c r="AC376" t="s">
        <v>53</v>
      </c>
      <c r="AD376" t="s">
        <v>54</v>
      </c>
      <c r="AE376">
        <v>9.9115815574399999</v>
      </c>
      <c r="AF376">
        <v>1348</v>
      </c>
      <c r="AG376">
        <v>1348.32140011</v>
      </c>
      <c r="AH376">
        <v>99117.418509900002</v>
      </c>
      <c r="AI376">
        <v>43</v>
      </c>
      <c r="AJ376">
        <v>10451.3548126593</v>
      </c>
      <c r="AK376" s="1">
        <f>intersection_ss_Lnight___surface[[#This Row],[surf m2 bout ss]]/intersection_ss_Lnight___surface[[#This Row],[Shape_Area]]</f>
        <v>0.10544417893223684</v>
      </c>
      <c r="AL376">
        <v>1812</v>
      </c>
      <c r="AM376">
        <f>intersection_ss_Lnight___surface[[#This Row],[Population totale 2024 ss]]*intersection_ss_Lnight___surface[[#This Row],[Part de la surface du qs dans le noise contour]]</f>
        <v>191.06485222521317</v>
      </c>
    </row>
    <row r="377" spans="1:39" x14ac:dyDescent="0.3">
      <c r="A377">
        <v>389</v>
      </c>
      <c r="B377" t="s">
        <v>1099</v>
      </c>
      <c r="C377" t="s">
        <v>283</v>
      </c>
      <c r="D377" t="s">
        <v>284</v>
      </c>
      <c r="E377" t="s">
        <v>284</v>
      </c>
      <c r="F377" t="s">
        <v>1100</v>
      </c>
      <c r="G377" t="s">
        <v>1079</v>
      </c>
      <c r="H377" t="s">
        <v>1080</v>
      </c>
      <c r="I377" t="s">
        <v>1081</v>
      </c>
      <c r="J377" t="s">
        <v>36</v>
      </c>
      <c r="K377">
        <v>21015</v>
      </c>
      <c r="L377" t="s">
        <v>1082</v>
      </c>
      <c r="M377" t="s">
        <v>1083</v>
      </c>
      <c r="N377" t="s">
        <v>1083</v>
      </c>
      <c r="O377">
        <v>21000</v>
      </c>
      <c r="P377" t="s">
        <v>46</v>
      </c>
      <c r="Q377" t="s">
        <v>47</v>
      </c>
      <c r="R377" t="s">
        <v>48</v>
      </c>
      <c r="T377" t="s">
        <v>36</v>
      </c>
      <c r="U377" t="s">
        <v>36</v>
      </c>
      <c r="V377" t="s">
        <v>36</v>
      </c>
      <c r="W377">
        <v>4000</v>
      </c>
      <c r="X377" t="s">
        <v>49</v>
      </c>
      <c r="Y377" t="s">
        <v>50</v>
      </c>
      <c r="Z377" t="s">
        <v>51</v>
      </c>
      <c r="AA377" t="s">
        <v>37</v>
      </c>
      <c r="AB377" t="s">
        <v>52</v>
      </c>
      <c r="AC377" t="s">
        <v>53</v>
      </c>
      <c r="AD377" t="s">
        <v>54</v>
      </c>
      <c r="AE377">
        <v>9.9115815574399999</v>
      </c>
      <c r="AF377">
        <v>1348</v>
      </c>
      <c r="AG377">
        <v>1348.32140011</v>
      </c>
      <c r="AH377">
        <v>99117.418509900002</v>
      </c>
      <c r="AI377">
        <v>44</v>
      </c>
      <c r="AJ377">
        <v>88675.172326266693</v>
      </c>
      <c r="AK377" s="1">
        <f>intersection_ss_Lnight___surface[[#This Row],[surf m2 bout ss]]/intersection_ss_Lnight___surface[[#This Row],[Shape_Area]]</f>
        <v>0.89464771842710655</v>
      </c>
      <c r="AL377">
        <v>1812</v>
      </c>
      <c r="AM377">
        <f>intersection_ss_Lnight___surface[[#This Row],[Population totale 2024 ss]]*intersection_ss_Lnight___surface[[#This Row],[Part de la surface du qs dans le noise contour]]</f>
        <v>1621.101665789917</v>
      </c>
    </row>
    <row r="378" spans="1:39" x14ac:dyDescent="0.3">
      <c r="A378">
        <v>390</v>
      </c>
      <c r="B378" t="s">
        <v>1101</v>
      </c>
      <c r="C378" t="s">
        <v>1102</v>
      </c>
      <c r="D378" t="s">
        <v>1102</v>
      </c>
      <c r="E378" t="s">
        <v>1102</v>
      </c>
      <c r="F378" t="s">
        <v>1100</v>
      </c>
      <c r="G378" t="s">
        <v>1079</v>
      </c>
      <c r="H378" t="s">
        <v>1080</v>
      </c>
      <c r="I378" t="s">
        <v>1081</v>
      </c>
      <c r="J378" t="s">
        <v>36</v>
      </c>
      <c r="K378">
        <v>21015</v>
      </c>
      <c r="L378" t="s">
        <v>1082</v>
      </c>
      <c r="M378" t="s">
        <v>1083</v>
      </c>
      <c r="N378" t="s">
        <v>1083</v>
      </c>
      <c r="O378">
        <v>21000</v>
      </c>
      <c r="P378" t="s">
        <v>46</v>
      </c>
      <c r="Q378" t="s">
        <v>47</v>
      </c>
      <c r="R378" t="s">
        <v>48</v>
      </c>
      <c r="T378" t="s">
        <v>36</v>
      </c>
      <c r="U378" t="s">
        <v>36</v>
      </c>
      <c r="V378" t="s">
        <v>36</v>
      </c>
      <c r="W378">
        <v>4000</v>
      </c>
      <c r="X378" t="s">
        <v>49</v>
      </c>
      <c r="Y378" t="s">
        <v>50</v>
      </c>
      <c r="Z378" t="s">
        <v>51</v>
      </c>
      <c r="AA378" t="s">
        <v>37</v>
      </c>
      <c r="AB378" t="s">
        <v>52</v>
      </c>
      <c r="AC378" t="s">
        <v>53</v>
      </c>
      <c r="AD378" t="s">
        <v>54</v>
      </c>
      <c r="AE378">
        <v>13.198558756700001</v>
      </c>
      <c r="AF378">
        <v>1878</v>
      </c>
      <c r="AG378">
        <v>1877.60832381</v>
      </c>
      <c r="AH378">
        <v>131987.72088899999</v>
      </c>
      <c r="AI378">
        <v>44</v>
      </c>
      <c r="AJ378">
        <v>111823.39037511501</v>
      </c>
      <c r="AK378" s="1">
        <f>intersection_ss_Lnight___surface[[#This Row],[surf m2 bout ss]]/intersection_ss_Lnight___surface[[#This Row],[Shape_Area]]</f>
        <v>0.84722570873965675</v>
      </c>
      <c r="AL378">
        <v>2831</v>
      </c>
      <c r="AM378">
        <f>intersection_ss_Lnight___surface[[#This Row],[Population totale 2024 ss]]*intersection_ss_Lnight___surface[[#This Row],[Part de la surface du qs dans le noise contour]]</f>
        <v>2398.4959814419681</v>
      </c>
    </row>
    <row r="379" spans="1:39" x14ac:dyDescent="0.3">
      <c r="A379">
        <v>391</v>
      </c>
      <c r="B379" t="s">
        <v>1101</v>
      </c>
      <c r="C379" t="s">
        <v>1102</v>
      </c>
      <c r="D379" t="s">
        <v>1102</v>
      </c>
      <c r="E379" t="s">
        <v>1102</v>
      </c>
      <c r="F379" t="s">
        <v>1100</v>
      </c>
      <c r="G379" t="s">
        <v>1079</v>
      </c>
      <c r="H379" t="s">
        <v>1080</v>
      </c>
      <c r="I379" t="s">
        <v>1081</v>
      </c>
      <c r="J379" t="s">
        <v>36</v>
      </c>
      <c r="K379">
        <v>21015</v>
      </c>
      <c r="L379" t="s">
        <v>1082</v>
      </c>
      <c r="M379" t="s">
        <v>1083</v>
      </c>
      <c r="N379" t="s">
        <v>1083</v>
      </c>
      <c r="O379">
        <v>21000</v>
      </c>
      <c r="P379" t="s">
        <v>46</v>
      </c>
      <c r="Q379" t="s">
        <v>47</v>
      </c>
      <c r="R379" t="s">
        <v>48</v>
      </c>
      <c r="T379" t="s">
        <v>36</v>
      </c>
      <c r="U379" t="s">
        <v>36</v>
      </c>
      <c r="V379" t="s">
        <v>36</v>
      </c>
      <c r="W379">
        <v>4000</v>
      </c>
      <c r="X379" t="s">
        <v>49</v>
      </c>
      <c r="Y379" t="s">
        <v>50</v>
      </c>
      <c r="Z379" t="s">
        <v>51</v>
      </c>
      <c r="AA379" t="s">
        <v>37</v>
      </c>
      <c r="AB379" t="s">
        <v>52</v>
      </c>
      <c r="AC379" t="s">
        <v>53</v>
      </c>
      <c r="AD379" t="s">
        <v>54</v>
      </c>
      <c r="AE379">
        <v>13.198558756700001</v>
      </c>
      <c r="AF379">
        <v>1878</v>
      </c>
      <c r="AG379">
        <v>1877.60832381</v>
      </c>
      <c r="AH379">
        <v>131987.72088899999</v>
      </c>
      <c r="AI379">
        <v>45</v>
      </c>
      <c r="AJ379">
        <v>20176.450732954399</v>
      </c>
      <c r="AK379" s="1">
        <f>intersection_ss_Lnight___surface[[#This Row],[surf m2 bout ss]]/intersection_ss_Lnight___surface[[#This Row],[Shape_Area]]</f>
        <v>0.1528661196439822</v>
      </c>
      <c r="AL379">
        <v>2831</v>
      </c>
      <c r="AM379">
        <f>intersection_ss_Lnight___surface[[#This Row],[Population totale 2024 ss]]*intersection_ss_Lnight___surface[[#This Row],[Part de la surface du qs dans le noise contour]]</f>
        <v>432.7639847121136</v>
      </c>
    </row>
    <row r="380" spans="1:39" x14ac:dyDescent="0.3">
      <c r="A380">
        <v>392</v>
      </c>
      <c r="B380" t="s">
        <v>1103</v>
      </c>
      <c r="C380" t="s">
        <v>1104</v>
      </c>
      <c r="D380" t="s">
        <v>1105</v>
      </c>
      <c r="E380" t="s">
        <v>1105</v>
      </c>
      <c r="F380" t="s">
        <v>1100</v>
      </c>
      <c r="G380" t="s">
        <v>1079</v>
      </c>
      <c r="H380" t="s">
        <v>1080</v>
      </c>
      <c r="I380" t="s">
        <v>1081</v>
      </c>
      <c r="J380" t="s">
        <v>36</v>
      </c>
      <c r="K380">
        <v>21015</v>
      </c>
      <c r="L380" t="s">
        <v>1082</v>
      </c>
      <c r="M380" t="s">
        <v>1083</v>
      </c>
      <c r="N380" t="s">
        <v>1083</v>
      </c>
      <c r="O380">
        <v>21000</v>
      </c>
      <c r="P380" t="s">
        <v>46</v>
      </c>
      <c r="Q380" t="s">
        <v>47</v>
      </c>
      <c r="R380" t="s">
        <v>48</v>
      </c>
      <c r="T380" t="s">
        <v>36</v>
      </c>
      <c r="U380" t="s">
        <v>36</v>
      </c>
      <c r="V380" t="s">
        <v>36</v>
      </c>
      <c r="W380">
        <v>4000</v>
      </c>
      <c r="X380" t="s">
        <v>49</v>
      </c>
      <c r="Y380" t="s">
        <v>50</v>
      </c>
      <c r="Z380" t="s">
        <v>51</v>
      </c>
      <c r="AA380" t="s">
        <v>37</v>
      </c>
      <c r="AB380" t="s">
        <v>52</v>
      </c>
      <c r="AC380" t="s">
        <v>53</v>
      </c>
      <c r="AD380" t="s">
        <v>54</v>
      </c>
      <c r="AE380">
        <v>16.7456379578</v>
      </c>
      <c r="AF380">
        <v>1832</v>
      </c>
      <c r="AG380">
        <v>1832.12672133</v>
      </c>
      <c r="AH380">
        <v>167459.056816</v>
      </c>
      <c r="AI380">
        <v>43</v>
      </c>
      <c r="AJ380">
        <v>109418.68826356</v>
      </c>
      <c r="AK380" s="1">
        <f>intersection_ss_Lnight___surface[[#This Row],[surf m2 bout ss]]/intersection_ss_Lnight___surface[[#This Row],[Shape_Area]]</f>
        <v>0.65340561653698215</v>
      </c>
      <c r="AL380">
        <v>2372</v>
      </c>
      <c r="AM380">
        <f>intersection_ss_Lnight___surface[[#This Row],[Population totale 2024 ss]]*intersection_ss_Lnight___surface[[#This Row],[Part de la surface du qs dans le noise contour]]</f>
        <v>1549.8781224257216</v>
      </c>
    </row>
    <row r="381" spans="1:39" x14ac:dyDescent="0.3">
      <c r="A381">
        <v>393</v>
      </c>
      <c r="B381" t="s">
        <v>1103</v>
      </c>
      <c r="C381" t="s">
        <v>1104</v>
      </c>
      <c r="D381" t="s">
        <v>1105</v>
      </c>
      <c r="E381" t="s">
        <v>1105</v>
      </c>
      <c r="F381" t="s">
        <v>1100</v>
      </c>
      <c r="G381" t="s">
        <v>1079</v>
      </c>
      <c r="H381" t="s">
        <v>1080</v>
      </c>
      <c r="I381" t="s">
        <v>1081</v>
      </c>
      <c r="J381" t="s">
        <v>36</v>
      </c>
      <c r="K381">
        <v>21015</v>
      </c>
      <c r="L381" t="s">
        <v>1082</v>
      </c>
      <c r="M381" t="s">
        <v>1083</v>
      </c>
      <c r="N381" t="s">
        <v>1083</v>
      </c>
      <c r="O381">
        <v>21000</v>
      </c>
      <c r="P381" t="s">
        <v>46</v>
      </c>
      <c r="Q381" t="s">
        <v>47</v>
      </c>
      <c r="R381" t="s">
        <v>48</v>
      </c>
      <c r="T381" t="s">
        <v>36</v>
      </c>
      <c r="U381" t="s">
        <v>36</v>
      </c>
      <c r="V381" t="s">
        <v>36</v>
      </c>
      <c r="W381">
        <v>4000</v>
      </c>
      <c r="X381" t="s">
        <v>49</v>
      </c>
      <c r="Y381" t="s">
        <v>50</v>
      </c>
      <c r="Z381" t="s">
        <v>51</v>
      </c>
      <c r="AA381" t="s">
        <v>37</v>
      </c>
      <c r="AB381" t="s">
        <v>52</v>
      </c>
      <c r="AC381" t="s">
        <v>53</v>
      </c>
      <c r="AD381" t="s">
        <v>54</v>
      </c>
      <c r="AE381">
        <v>16.7456379578</v>
      </c>
      <c r="AF381">
        <v>1832</v>
      </c>
      <c r="AG381">
        <v>1832.12672133</v>
      </c>
      <c r="AH381">
        <v>167459.056816</v>
      </c>
      <c r="AI381">
        <v>44</v>
      </c>
      <c r="AJ381">
        <v>58055.8582403287</v>
      </c>
      <c r="AK381" s="1">
        <f>intersection_ss_Lnight___surface[[#This Row],[surf m2 bout ss]]/intersection_ss_Lnight___surface[[#This Row],[Shape_Area]]</f>
        <v>0.34668688182162094</v>
      </c>
      <c r="AL381">
        <v>2372</v>
      </c>
      <c r="AM381">
        <f>intersection_ss_Lnight___surface[[#This Row],[Population totale 2024 ss]]*intersection_ss_Lnight___surface[[#This Row],[Part de la surface du qs dans le noise contour]]</f>
        <v>822.34128368088489</v>
      </c>
    </row>
    <row r="382" spans="1:39" x14ac:dyDescent="0.3">
      <c r="A382">
        <v>394</v>
      </c>
      <c r="B382" t="s">
        <v>1106</v>
      </c>
      <c r="C382" t="s">
        <v>1107</v>
      </c>
      <c r="D382" t="s">
        <v>1108</v>
      </c>
      <c r="E382" t="s">
        <v>1108</v>
      </c>
      <c r="F382" t="s">
        <v>1100</v>
      </c>
      <c r="G382" t="s">
        <v>1079</v>
      </c>
      <c r="H382" t="s">
        <v>1080</v>
      </c>
      <c r="I382" t="s">
        <v>1081</v>
      </c>
      <c r="J382" t="s">
        <v>36</v>
      </c>
      <c r="K382">
        <v>21015</v>
      </c>
      <c r="L382" t="s">
        <v>1082</v>
      </c>
      <c r="M382" t="s">
        <v>1083</v>
      </c>
      <c r="N382" t="s">
        <v>1083</v>
      </c>
      <c r="O382">
        <v>21000</v>
      </c>
      <c r="P382" t="s">
        <v>46</v>
      </c>
      <c r="Q382" t="s">
        <v>47</v>
      </c>
      <c r="R382" t="s">
        <v>48</v>
      </c>
      <c r="T382" t="s">
        <v>36</v>
      </c>
      <c r="U382" t="s">
        <v>36</v>
      </c>
      <c r="V382" t="s">
        <v>36</v>
      </c>
      <c r="W382">
        <v>4000</v>
      </c>
      <c r="X382" t="s">
        <v>49</v>
      </c>
      <c r="Y382" t="s">
        <v>50</v>
      </c>
      <c r="Z382" t="s">
        <v>51</v>
      </c>
      <c r="AA382" t="s">
        <v>37</v>
      </c>
      <c r="AB382" t="s">
        <v>52</v>
      </c>
      <c r="AC382" t="s">
        <v>53</v>
      </c>
      <c r="AD382" t="s">
        <v>54</v>
      </c>
      <c r="AE382">
        <v>12.9310443063</v>
      </c>
      <c r="AF382">
        <v>1784</v>
      </c>
      <c r="AG382">
        <v>1783.81910483</v>
      </c>
      <c r="AH382">
        <v>129312.544503</v>
      </c>
      <c r="AI382">
        <v>42</v>
      </c>
      <c r="AJ382">
        <v>17358.388270721302</v>
      </c>
      <c r="AK382" s="1">
        <f>intersection_ss_Lnight___surface[[#This Row],[surf m2 bout ss]]/intersection_ss_Lnight___surface[[#This Row],[Shape_Area]]</f>
        <v>0.13423591916342342</v>
      </c>
      <c r="AL382">
        <v>2261</v>
      </c>
      <c r="AM382">
        <f>intersection_ss_Lnight___surface[[#This Row],[Population totale 2024 ss]]*intersection_ss_Lnight___surface[[#This Row],[Part de la surface du qs dans le noise contour]]</f>
        <v>303.50741322850035</v>
      </c>
    </row>
    <row r="383" spans="1:39" x14ac:dyDescent="0.3">
      <c r="A383">
        <v>395</v>
      </c>
      <c r="B383" t="s">
        <v>1106</v>
      </c>
      <c r="C383" t="s">
        <v>1107</v>
      </c>
      <c r="D383" t="s">
        <v>1108</v>
      </c>
      <c r="E383" t="s">
        <v>1108</v>
      </c>
      <c r="F383" t="s">
        <v>1100</v>
      </c>
      <c r="G383" t="s">
        <v>1079</v>
      </c>
      <c r="H383" t="s">
        <v>1080</v>
      </c>
      <c r="I383" t="s">
        <v>1081</v>
      </c>
      <c r="J383" t="s">
        <v>36</v>
      </c>
      <c r="K383">
        <v>21015</v>
      </c>
      <c r="L383" t="s">
        <v>1082</v>
      </c>
      <c r="M383" t="s">
        <v>1083</v>
      </c>
      <c r="N383" t="s">
        <v>1083</v>
      </c>
      <c r="O383">
        <v>21000</v>
      </c>
      <c r="P383" t="s">
        <v>46</v>
      </c>
      <c r="Q383" t="s">
        <v>47</v>
      </c>
      <c r="R383" t="s">
        <v>48</v>
      </c>
      <c r="T383" t="s">
        <v>36</v>
      </c>
      <c r="U383" t="s">
        <v>36</v>
      </c>
      <c r="V383" t="s">
        <v>36</v>
      </c>
      <c r="W383">
        <v>4000</v>
      </c>
      <c r="X383" t="s">
        <v>49</v>
      </c>
      <c r="Y383" t="s">
        <v>50</v>
      </c>
      <c r="Z383" t="s">
        <v>51</v>
      </c>
      <c r="AA383" t="s">
        <v>37</v>
      </c>
      <c r="AB383" t="s">
        <v>52</v>
      </c>
      <c r="AC383" t="s">
        <v>53</v>
      </c>
      <c r="AD383" t="s">
        <v>54</v>
      </c>
      <c r="AE383">
        <v>12.9310443063</v>
      </c>
      <c r="AF383">
        <v>1784</v>
      </c>
      <c r="AG383">
        <v>1783.81910483</v>
      </c>
      <c r="AH383">
        <v>129312.544503</v>
      </c>
      <c r="AI383">
        <v>43</v>
      </c>
      <c r="AJ383">
        <v>111966.180468639</v>
      </c>
      <c r="AK383" s="1">
        <f>intersection_ss_Lnight___surface[[#This Row],[surf m2 bout ss]]/intersection_ss_Lnight___surface[[#This Row],[Shape_Area]]</f>
        <v>0.86585706668266382</v>
      </c>
      <c r="AL383">
        <v>2261</v>
      </c>
      <c r="AM383">
        <f>intersection_ss_Lnight___surface[[#This Row],[Population totale 2024 ss]]*intersection_ss_Lnight___surface[[#This Row],[Part de la surface du qs dans le noise contour]]</f>
        <v>1957.7028277695028</v>
      </c>
    </row>
    <row r="384" spans="1:39" x14ac:dyDescent="0.3">
      <c r="A384">
        <v>396</v>
      </c>
      <c r="B384" t="s">
        <v>1109</v>
      </c>
      <c r="C384" t="s">
        <v>1110</v>
      </c>
      <c r="D384" t="s">
        <v>1111</v>
      </c>
      <c r="E384" t="s">
        <v>1111</v>
      </c>
      <c r="F384" t="s">
        <v>1100</v>
      </c>
      <c r="G384" t="s">
        <v>1079</v>
      </c>
      <c r="H384" t="s">
        <v>1080</v>
      </c>
      <c r="I384" t="s">
        <v>1081</v>
      </c>
      <c r="J384" t="s">
        <v>36</v>
      </c>
      <c r="K384">
        <v>21015</v>
      </c>
      <c r="L384" t="s">
        <v>1082</v>
      </c>
      <c r="M384" t="s">
        <v>1083</v>
      </c>
      <c r="N384" t="s">
        <v>1083</v>
      </c>
      <c r="O384">
        <v>21000</v>
      </c>
      <c r="P384" t="s">
        <v>46</v>
      </c>
      <c r="Q384" t="s">
        <v>47</v>
      </c>
      <c r="R384" t="s">
        <v>48</v>
      </c>
      <c r="T384" t="s">
        <v>36</v>
      </c>
      <c r="U384" t="s">
        <v>36</v>
      </c>
      <c r="V384" t="s">
        <v>36</v>
      </c>
      <c r="W384">
        <v>4000</v>
      </c>
      <c r="X384" t="s">
        <v>49</v>
      </c>
      <c r="Y384" t="s">
        <v>50</v>
      </c>
      <c r="Z384" t="s">
        <v>51</v>
      </c>
      <c r="AA384" t="s">
        <v>37</v>
      </c>
      <c r="AB384" t="s">
        <v>52</v>
      </c>
      <c r="AC384" t="s">
        <v>53</v>
      </c>
      <c r="AD384" t="s">
        <v>54</v>
      </c>
      <c r="AE384">
        <v>8.8973833327899996</v>
      </c>
      <c r="AF384">
        <v>1232</v>
      </c>
      <c r="AG384">
        <v>1231.87118829</v>
      </c>
      <c r="AH384">
        <v>88975.263856499994</v>
      </c>
      <c r="AI384">
        <v>44</v>
      </c>
      <c r="AJ384">
        <v>9508.8976335832795</v>
      </c>
      <c r="AK384" s="1">
        <f>intersection_ss_Lnight___surface[[#This Row],[surf m2 bout ss]]/intersection_ss_Lnight___surface[[#This Row],[Shape_Area]]</f>
        <v>0.10687124961966175</v>
      </c>
      <c r="AL384">
        <v>252</v>
      </c>
      <c r="AM384">
        <f>intersection_ss_Lnight___surface[[#This Row],[Population totale 2024 ss]]*intersection_ss_Lnight___surface[[#This Row],[Part de la surface du qs dans le noise contour]]</f>
        <v>26.931554904154762</v>
      </c>
    </row>
    <row r="385" spans="1:39" x14ac:dyDescent="0.3">
      <c r="A385">
        <v>397</v>
      </c>
      <c r="B385" t="s">
        <v>1109</v>
      </c>
      <c r="C385" t="s">
        <v>1110</v>
      </c>
      <c r="D385" t="s">
        <v>1111</v>
      </c>
      <c r="E385" t="s">
        <v>1111</v>
      </c>
      <c r="F385" t="s">
        <v>1100</v>
      </c>
      <c r="G385" t="s">
        <v>1079</v>
      </c>
      <c r="H385" t="s">
        <v>1080</v>
      </c>
      <c r="I385" t="s">
        <v>1081</v>
      </c>
      <c r="J385" t="s">
        <v>36</v>
      </c>
      <c r="K385">
        <v>21015</v>
      </c>
      <c r="L385" t="s">
        <v>1082</v>
      </c>
      <c r="M385" t="s">
        <v>1083</v>
      </c>
      <c r="N385" t="s">
        <v>1083</v>
      </c>
      <c r="O385">
        <v>21000</v>
      </c>
      <c r="P385" t="s">
        <v>46</v>
      </c>
      <c r="Q385" t="s">
        <v>47</v>
      </c>
      <c r="R385" t="s">
        <v>48</v>
      </c>
      <c r="T385" t="s">
        <v>36</v>
      </c>
      <c r="U385" t="s">
        <v>36</v>
      </c>
      <c r="V385" t="s">
        <v>36</v>
      </c>
      <c r="W385">
        <v>4000</v>
      </c>
      <c r="X385" t="s">
        <v>49</v>
      </c>
      <c r="Y385" t="s">
        <v>50</v>
      </c>
      <c r="Z385" t="s">
        <v>51</v>
      </c>
      <c r="AA385" t="s">
        <v>37</v>
      </c>
      <c r="AB385" t="s">
        <v>52</v>
      </c>
      <c r="AC385" t="s">
        <v>53</v>
      </c>
      <c r="AD385" t="s">
        <v>54</v>
      </c>
      <c r="AE385">
        <v>8.8973833327899996</v>
      </c>
      <c r="AF385">
        <v>1232</v>
      </c>
      <c r="AG385">
        <v>1231.87118829</v>
      </c>
      <c r="AH385">
        <v>88975.263856499994</v>
      </c>
      <c r="AI385">
        <v>45</v>
      </c>
      <c r="AJ385">
        <v>79474.501002220801</v>
      </c>
      <c r="AK385" s="1">
        <f>intersection_ss_Lnight___surface[[#This Row],[surf m2 bout ss]]/intersection_ss_Lnight___surface[[#This Row],[Shape_Area]]</f>
        <v>0.89322017780579899</v>
      </c>
      <c r="AL385">
        <v>252</v>
      </c>
      <c r="AM385">
        <f>intersection_ss_Lnight___surface[[#This Row],[Population totale 2024 ss]]*intersection_ss_Lnight___surface[[#This Row],[Part de la surface du qs dans le noise contour]]</f>
        <v>225.09148480706133</v>
      </c>
    </row>
    <row r="386" spans="1:39" x14ac:dyDescent="0.3">
      <c r="A386">
        <v>398</v>
      </c>
      <c r="B386" t="s">
        <v>1112</v>
      </c>
      <c r="C386" t="s">
        <v>1113</v>
      </c>
      <c r="D386" t="s">
        <v>1114</v>
      </c>
      <c r="E386" t="s">
        <v>1114</v>
      </c>
      <c r="F386" t="s">
        <v>1100</v>
      </c>
      <c r="G386" t="s">
        <v>1079</v>
      </c>
      <c r="H386" t="s">
        <v>1080</v>
      </c>
      <c r="I386" t="s">
        <v>1081</v>
      </c>
      <c r="J386" t="s">
        <v>36</v>
      </c>
      <c r="K386">
        <v>21015</v>
      </c>
      <c r="L386" t="s">
        <v>1082</v>
      </c>
      <c r="M386" t="s">
        <v>1083</v>
      </c>
      <c r="N386" t="s">
        <v>1083</v>
      </c>
      <c r="O386">
        <v>21000</v>
      </c>
      <c r="P386" t="s">
        <v>46</v>
      </c>
      <c r="Q386" t="s">
        <v>47</v>
      </c>
      <c r="R386" t="s">
        <v>48</v>
      </c>
      <c r="T386" t="s">
        <v>36</v>
      </c>
      <c r="U386" t="s">
        <v>36</v>
      </c>
      <c r="V386" t="s">
        <v>36</v>
      </c>
      <c r="W386">
        <v>4000</v>
      </c>
      <c r="X386" t="s">
        <v>49</v>
      </c>
      <c r="Y386" t="s">
        <v>50</v>
      </c>
      <c r="Z386" t="s">
        <v>51</v>
      </c>
      <c r="AA386" t="s">
        <v>37</v>
      </c>
      <c r="AB386" t="s">
        <v>52</v>
      </c>
      <c r="AC386" t="s">
        <v>53</v>
      </c>
      <c r="AD386" t="s">
        <v>54</v>
      </c>
      <c r="AE386">
        <v>10.7216286824</v>
      </c>
      <c r="AF386">
        <v>1396</v>
      </c>
      <c r="AG386">
        <v>1395.8716915499999</v>
      </c>
      <c r="AH386">
        <v>107218.003306</v>
      </c>
      <c r="AI386">
        <v>43</v>
      </c>
      <c r="AJ386">
        <v>86043.585875319302</v>
      </c>
      <c r="AK386" s="1">
        <f>intersection_ss_Lnight___surface[[#This Row],[surf m2 bout ss]]/intersection_ss_Lnight___surface[[#This Row],[Shape_Area]]</f>
        <v>0.8025106159620512</v>
      </c>
      <c r="AL386">
        <v>3571</v>
      </c>
      <c r="AM386">
        <f>intersection_ss_Lnight___surface[[#This Row],[Population totale 2024 ss]]*intersection_ss_Lnight___surface[[#This Row],[Part de la surface du qs dans le noise contour]]</f>
        <v>2865.7654096004849</v>
      </c>
    </row>
    <row r="387" spans="1:39" x14ac:dyDescent="0.3">
      <c r="A387">
        <v>399</v>
      </c>
      <c r="B387" t="s">
        <v>1112</v>
      </c>
      <c r="C387" t="s">
        <v>1113</v>
      </c>
      <c r="D387" t="s">
        <v>1114</v>
      </c>
      <c r="E387" t="s">
        <v>1114</v>
      </c>
      <c r="F387" t="s">
        <v>1100</v>
      </c>
      <c r="G387" t="s">
        <v>1079</v>
      </c>
      <c r="H387" t="s">
        <v>1080</v>
      </c>
      <c r="I387" t="s">
        <v>1081</v>
      </c>
      <c r="J387" t="s">
        <v>36</v>
      </c>
      <c r="K387">
        <v>21015</v>
      </c>
      <c r="L387" t="s">
        <v>1082</v>
      </c>
      <c r="M387" t="s">
        <v>1083</v>
      </c>
      <c r="N387" t="s">
        <v>1083</v>
      </c>
      <c r="O387">
        <v>21000</v>
      </c>
      <c r="P387" t="s">
        <v>46</v>
      </c>
      <c r="Q387" t="s">
        <v>47</v>
      </c>
      <c r="R387" t="s">
        <v>48</v>
      </c>
      <c r="T387" t="s">
        <v>36</v>
      </c>
      <c r="U387" t="s">
        <v>36</v>
      </c>
      <c r="V387" t="s">
        <v>36</v>
      </c>
      <c r="W387">
        <v>4000</v>
      </c>
      <c r="X387" t="s">
        <v>49</v>
      </c>
      <c r="Y387" t="s">
        <v>50</v>
      </c>
      <c r="Z387" t="s">
        <v>51</v>
      </c>
      <c r="AA387" t="s">
        <v>37</v>
      </c>
      <c r="AB387" t="s">
        <v>52</v>
      </c>
      <c r="AC387" t="s">
        <v>53</v>
      </c>
      <c r="AD387" t="s">
        <v>54</v>
      </c>
      <c r="AE387">
        <v>10.7216286824</v>
      </c>
      <c r="AF387">
        <v>1396</v>
      </c>
      <c r="AG387">
        <v>1395.8716915499999</v>
      </c>
      <c r="AH387">
        <v>107218.003306</v>
      </c>
      <c r="AI387">
        <v>44</v>
      </c>
      <c r="AJ387">
        <v>21184.313958278501</v>
      </c>
      <c r="AK387" s="1">
        <f>intersection_ss_Lnight___surface[[#This Row],[surf m2 bout ss]]/intersection_ss_Lnight___surface[[#This Row],[Shape_Area]]</f>
        <v>0.19758168689094596</v>
      </c>
      <c r="AL387">
        <v>3571</v>
      </c>
      <c r="AM387">
        <f>intersection_ss_Lnight___surface[[#This Row],[Population totale 2024 ss]]*intersection_ss_Lnight___surface[[#This Row],[Part de la surface du qs dans le noise contour]]</f>
        <v>705.56420388756806</v>
      </c>
    </row>
    <row r="388" spans="1:39" x14ac:dyDescent="0.3">
      <c r="A388">
        <v>400</v>
      </c>
      <c r="B388" t="s">
        <v>1115</v>
      </c>
      <c r="C388" t="s">
        <v>1116</v>
      </c>
      <c r="D388" t="s">
        <v>1116</v>
      </c>
      <c r="E388" t="s">
        <v>1116</v>
      </c>
      <c r="F388" t="s">
        <v>1117</v>
      </c>
      <c r="G388" t="s">
        <v>1079</v>
      </c>
      <c r="H388" t="s">
        <v>1080</v>
      </c>
      <c r="I388" t="s">
        <v>1081</v>
      </c>
      <c r="J388" t="s">
        <v>36</v>
      </c>
      <c r="K388">
        <v>21015</v>
      </c>
      <c r="L388" t="s">
        <v>1082</v>
      </c>
      <c r="M388" t="s">
        <v>1083</v>
      </c>
      <c r="N388" t="s">
        <v>1083</v>
      </c>
      <c r="O388">
        <v>21000</v>
      </c>
      <c r="P388" t="s">
        <v>46</v>
      </c>
      <c r="Q388" t="s">
        <v>47</v>
      </c>
      <c r="R388" t="s">
        <v>48</v>
      </c>
      <c r="T388" t="s">
        <v>36</v>
      </c>
      <c r="U388" t="s">
        <v>36</v>
      </c>
      <c r="V388" t="s">
        <v>36</v>
      </c>
      <c r="W388">
        <v>4000</v>
      </c>
      <c r="X388" t="s">
        <v>49</v>
      </c>
      <c r="Y388" t="s">
        <v>50</v>
      </c>
      <c r="Z388" t="s">
        <v>51</v>
      </c>
      <c r="AA388" t="s">
        <v>37</v>
      </c>
      <c r="AB388" t="s">
        <v>52</v>
      </c>
      <c r="AC388" t="s">
        <v>53</v>
      </c>
      <c r="AD388" t="s">
        <v>54</v>
      </c>
      <c r="AE388">
        <v>25.672199183</v>
      </c>
      <c r="AF388">
        <v>2226</v>
      </c>
      <c r="AG388">
        <v>2225.98083705</v>
      </c>
      <c r="AH388">
        <v>256726.12971000001</v>
      </c>
      <c r="AI388">
        <v>43</v>
      </c>
      <c r="AJ388">
        <v>38899.804684409901</v>
      </c>
      <c r="AK388" s="1">
        <f>intersection_ss_Lnight___surface[[#This Row],[surf m2 bout ss]]/intersection_ss_Lnight___surface[[#This Row],[Shape_Area]]</f>
        <v>0.15152257671765412</v>
      </c>
      <c r="AL388">
        <v>5869</v>
      </c>
      <c r="AM388">
        <f>intersection_ss_Lnight___surface[[#This Row],[Population totale 2024 ss]]*intersection_ss_Lnight___surface[[#This Row],[Part de la surface du qs dans le noise contour]]</f>
        <v>889.28600275591202</v>
      </c>
    </row>
    <row r="389" spans="1:39" x14ac:dyDescent="0.3">
      <c r="A389">
        <v>401</v>
      </c>
      <c r="B389" t="s">
        <v>1115</v>
      </c>
      <c r="C389" t="s">
        <v>1116</v>
      </c>
      <c r="D389" t="s">
        <v>1116</v>
      </c>
      <c r="E389" t="s">
        <v>1116</v>
      </c>
      <c r="F389" t="s">
        <v>1117</v>
      </c>
      <c r="G389" t="s">
        <v>1079</v>
      </c>
      <c r="H389" t="s">
        <v>1080</v>
      </c>
      <c r="I389" t="s">
        <v>1081</v>
      </c>
      <c r="J389" t="s">
        <v>36</v>
      </c>
      <c r="K389">
        <v>21015</v>
      </c>
      <c r="L389" t="s">
        <v>1082</v>
      </c>
      <c r="M389" t="s">
        <v>1083</v>
      </c>
      <c r="N389" t="s">
        <v>1083</v>
      </c>
      <c r="O389">
        <v>21000</v>
      </c>
      <c r="P389" t="s">
        <v>46</v>
      </c>
      <c r="Q389" t="s">
        <v>47</v>
      </c>
      <c r="R389" t="s">
        <v>48</v>
      </c>
      <c r="T389" t="s">
        <v>36</v>
      </c>
      <c r="U389" t="s">
        <v>36</v>
      </c>
      <c r="V389" t="s">
        <v>36</v>
      </c>
      <c r="W389">
        <v>4000</v>
      </c>
      <c r="X389" t="s">
        <v>49</v>
      </c>
      <c r="Y389" t="s">
        <v>50</v>
      </c>
      <c r="Z389" t="s">
        <v>51</v>
      </c>
      <c r="AA389" t="s">
        <v>37</v>
      </c>
      <c r="AB389" t="s">
        <v>52</v>
      </c>
      <c r="AC389" t="s">
        <v>53</v>
      </c>
      <c r="AD389" t="s">
        <v>54</v>
      </c>
      <c r="AE389">
        <v>25.672199183</v>
      </c>
      <c r="AF389">
        <v>2226</v>
      </c>
      <c r="AG389">
        <v>2225.98083705</v>
      </c>
      <c r="AH389">
        <v>256726.12971000001</v>
      </c>
      <c r="AI389">
        <v>44</v>
      </c>
      <c r="AJ389">
        <v>198322.835245389</v>
      </c>
      <c r="AK389" s="1">
        <f>intersection_ss_Lnight___surface[[#This Row],[surf m2 bout ss]]/intersection_ss_Lnight___surface[[#This Row],[Shape_Area]]</f>
        <v>0.77250740105581051</v>
      </c>
      <c r="AL389">
        <v>5869</v>
      </c>
      <c r="AM389">
        <f>intersection_ss_Lnight___surface[[#This Row],[Population totale 2024 ss]]*intersection_ss_Lnight___surface[[#This Row],[Part de la surface du qs dans le noise contour]]</f>
        <v>4533.8459367965515</v>
      </c>
    </row>
    <row r="390" spans="1:39" x14ac:dyDescent="0.3">
      <c r="A390">
        <v>402</v>
      </c>
      <c r="B390" t="s">
        <v>1115</v>
      </c>
      <c r="C390" t="s">
        <v>1116</v>
      </c>
      <c r="D390" t="s">
        <v>1116</v>
      </c>
      <c r="E390" t="s">
        <v>1116</v>
      </c>
      <c r="F390" t="s">
        <v>1117</v>
      </c>
      <c r="G390" t="s">
        <v>1079</v>
      </c>
      <c r="H390" t="s">
        <v>1080</v>
      </c>
      <c r="I390" t="s">
        <v>1081</v>
      </c>
      <c r="J390" t="s">
        <v>36</v>
      </c>
      <c r="K390">
        <v>21015</v>
      </c>
      <c r="L390" t="s">
        <v>1082</v>
      </c>
      <c r="M390" t="s">
        <v>1083</v>
      </c>
      <c r="N390" t="s">
        <v>1083</v>
      </c>
      <c r="O390">
        <v>21000</v>
      </c>
      <c r="P390" t="s">
        <v>46</v>
      </c>
      <c r="Q390" t="s">
        <v>47</v>
      </c>
      <c r="R390" t="s">
        <v>48</v>
      </c>
      <c r="T390" t="s">
        <v>36</v>
      </c>
      <c r="U390" t="s">
        <v>36</v>
      </c>
      <c r="V390" t="s">
        <v>36</v>
      </c>
      <c r="W390">
        <v>4000</v>
      </c>
      <c r="X390" t="s">
        <v>49</v>
      </c>
      <c r="Y390" t="s">
        <v>50</v>
      </c>
      <c r="Z390" t="s">
        <v>51</v>
      </c>
      <c r="AA390" t="s">
        <v>37</v>
      </c>
      <c r="AB390" t="s">
        <v>52</v>
      </c>
      <c r="AC390" t="s">
        <v>53</v>
      </c>
      <c r="AD390" t="s">
        <v>54</v>
      </c>
      <c r="AE390">
        <v>25.672199183</v>
      </c>
      <c r="AF390">
        <v>2226</v>
      </c>
      <c r="AG390">
        <v>2225.98083705</v>
      </c>
      <c r="AH390">
        <v>256726.12971000001</v>
      </c>
      <c r="AI390">
        <v>45</v>
      </c>
      <c r="AJ390">
        <v>19527.3489535921</v>
      </c>
      <c r="AK390" s="1">
        <f>intersection_ss_Lnight___surface[[#This Row],[surf m2 bout ss]]/intersection_ss_Lnight___surface[[#This Row],[Shape_Area]]</f>
        <v>7.6062958514002285E-2</v>
      </c>
      <c r="AL390">
        <v>5869</v>
      </c>
      <c r="AM390">
        <f>intersection_ss_Lnight___surface[[#This Row],[Population totale 2024 ss]]*intersection_ss_Lnight___surface[[#This Row],[Part de la surface du qs dans le noise contour]]</f>
        <v>446.41350351867942</v>
      </c>
    </row>
    <row r="391" spans="1:39" x14ac:dyDescent="0.3">
      <c r="A391">
        <v>403</v>
      </c>
      <c r="B391" t="s">
        <v>1118</v>
      </c>
      <c r="C391" t="s">
        <v>1119</v>
      </c>
      <c r="D391" t="s">
        <v>1120</v>
      </c>
      <c r="E391" t="s">
        <v>1120</v>
      </c>
      <c r="F391" t="s">
        <v>1117</v>
      </c>
      <c r="G391" t="s">
        <v>1079</v>
      </c>
      <c r="H391" t="s">
        <v>1080</v>
      </c>
      <c r="I391" t="s">
        <v>1081</v>
      </c>
      <c r="J391" t="s">
        <v>36</v>
      </c>
      <c r="K391">
        <v>21015</v>
      </c>
      <c r="L391" t="s">
        <v>1082</v>
      </c>
      <c r="M391" t="s">
        <v>1083</v>
      </c>
      <c r="N391" t="s">
        <v>1083</v>
      </c>
      <c r="O391">
        <v>21000</v>
      </c>
      <c r="P391" t="s">
        <v>46</v>
      </c>
      <c r="Q391" t="s">
        <v>47</v>
      </c>
      <c r="R391" t="s">
        <v>48</v>
      </c>
      <c r="T391" t="s">
        <v>36</v>
      </c>
      <c r="U391" t="s">
        <v>36</v>
      </c>
      <c r="V391" t="s">
        <v>36</v>
      </c>
      <c r="W391">
        <v>4000</v>
      </c>
      <c r="X391" t="s">
        <v>49</v>
      </c>
      <c r="Y391" t="s">
        <v>50</v>
      </c>
      <c r="Z391" t="s">
        <v>51</v>
      </c>
      <c r="AA391" t="s">
        <v>37</v>
      </c>
      <c r="AB391" t="s">
        <v>52</v>
      </c>
      <c r="AC391" t="s">
        <v>53</v>
      </c>
      <c r="AD391" t="s">
        <v>54</v>
      </c>
      <c r="AE391">
        <v>8.5482316532299993</v>
      </c>
      <c r="AF391">
        <v>1423</v>
      </c>
      <c r="AG391">
        <v>1422.87034513</v>
      </c>
      <c r="AH391">
        <v>85483.6942022</v>
      </c>
      <c r="AI391">
        <v>44</v>
      </c>
      <c r="AJ391">
        <v>76932.936866037096</v>
      </c>
      <c r="AK391" s="1">
        <f>intersection_ss_Lnight___surface[[#This Row],[surf m2 bout ss]]/intersection_ss_Lnight___surface[[#This Row],[Shape_Area]]</f>
        <v>0.89997206583120692</v>
      </c>
      <c r="AL391">
        <v>1826</v>
      </c>
      <c r="AM391">
        <f>intersection_ss_Lnight___surface[[#This Row],[Population totale 2024 ss]]*intersection_ss_Lnight___surface[[#This Row],[Part de la surface du qs dans le noise contour]]</f>
        <v>1643.3489922077838</v>
      </c>
    </row>
    <row r="392" spans="1:39" x14ac:dyDescent="0.3">
      <c r="A392">
        <v>404</v>
      </c>
      <c r="B392" t="s">
        <v>1118</v>
      </c>
      <c r="C392" t="s">
        <v>1119</v>
      </c>
      <c r="D392" t="s">
        <v>1120</v>
      </c>
      <c r="E392" t="s">
        <v>1120</v>
      </c>
      <c r="F392" t="s">
        <v>1117</v>
      </c>
      <c r="G392" t="s">
        <v>1079</v>
      </c>
      <c r="H392" t="s">
        <v>1080</v>
      </c>
      <c r="I392" t="s">
        <v>1081</v>
      </c>
      <c r="J392" t="s">
        <v>36</v>
      </c>
      <c r="K392">
        <v>21015</v>
      </c>
      <c r="L392" t="s">
        <v>1082</v>
      </c>
      <c r="M392" t="s">
        <v>1083</v>
      </c>
      <c r="N392" t="s">
        <v>1083</v>
      </c>
      <c r="O392">
        <v>21000</v>
      </c>
      <c r="P392" t="s">
        <v>46</v>
      </c>
      <c r="Q392" t="s">
        <v>47</v>
      </c>
      <c r="R392" t="s">
        <v>48</v>
      </c>
      <c r="T392" t="s">
        <v>36</v>
      </c>
      <c r="U392" t="s">
        <v>36</v>
      </c>
      <c r="V392" t="s">
        <v>36</v>
      </c>
      <c r="W392">
        <v>4000</v>
      </c>
      <c r="X392" t="s">
        <v>49</v>
      </c>
      <c r="Y392" t="s">
        <v>50</v>
      </c>
      <c r="Z392" t="s">
        <v>51</v>
      </c>
      <c r="AA392" t="s">
        <v>37</v>
      </c>
      <c r="AB392" t="s">
        <v>52</v>
      </c>
      <c r="AC392" t="s">
        <v>53</v>
      </c>
      <c r="AD392" t="s">
        <v>54</v>
      </c>
      <c r="AE392">
        <v>8.5482316532299993</v>
      </c>
      <c r="AF392">
        <v>1423</v>
      </c>
      <c r="AG392">
        <v>1422.87034513</v>
      </c>
      <c r="AH392">
        <v>85483.6942022</v>
      </c>
      <c r="AI392">
        <v>45</v>
      </c>
      <c r="AJ392">
        <v>8558.6547163785399</v>
      </c>
      <c r="AK392" s="1">
        <f>intersection_ss_Lnight___surface[[#This Row],[surf m2 bout ss]]/intersection_ss_Lnight___surface[[#This Row],[Shape_Area]]</f>
        <v>0.10012031880763378</v>
      </c>
      <c r="AL392">
        <v>1826</v>
      </c>
      <c r="AM392">
        <f>intersection_ss_Lnight___surface[[#This Row],[Population totale 2024 ss]]*intersection_ss_Lnight___surface[[#This Row],[Part de la surface du qs dans le noise contour]]</f>
        <v>182.81970214273929</v>
      </c>
    </row>
    <row r="393" spans="1:39" x14ac:dyDescent="0.3">
      <c r="A393">
        <v>405</v>
      </c>
      <c r="B393" t="s">
        <v>1121</v>
      </c>
      <c r="C393" t="s">
        <v>1122</v>
      </c>
      <c r="D393" t="s">
        <v>1123</v>
      </c>
      <c r="E393" t="s">
        <v>1123</v>
      </c>
      <c r="F393" t="s">
        <v>1117</v>
      </c>
      <c r="G393" t="s">
        <v>1079</v>
      </c>
      <c r="H393" t="s">
        <v>1080</v>
      </c>
      <c r="I393" t="s">
        <v>1081</v>
      </c>
      <c r="J393" t="s">
        <v>36</v>
      </c>
      <c r="K393">
        <v>21015</v>
      </c>
      <c r="L393" t="s">
        <v>1082</v>
      </c>
      <c r="M393" t="s">
        <v>1083</v>
      </c>
      <c r="N393" t="s">
        <v>1083</v>
      </c>
      <c r="O393">
        <v>21000</v>
      </c>
      <c r="P393" t="s">
        <v>46</v>
      </c>
      <c r="Q393" t="s">
        <v>47</v>
      </c>
      <c r="R393" t="s">
        <v>48</v>
      </c>
      <c r="T393" t="s">
        <v>36</v>
      </c>
      <c r="U393" t="s">
        <v>36</v>
      </c>
      <c r="V393" t="s">
        <v>36</v>
      </c>
      <c r="W393">
        <v>4000</v>
      </c>
      <c r="X393" t="s">
        <v>49</v>
      </c>
      <c r="Y393" t="s">
        <v>50</v>
      </c>
      <c r="Z393" t="s">
        <v>51</v>
      </c>
      <c r="AA393" t="s">
        <v>37</v>
      </c>
      <c r="AB393" t="s">
        <v>52</v>
      </c>
      <c r="AC393" t="s">
        <v>53</v>
      </c>
      <c r="AD393" t="s">
        <v>54</v>
      </c>
      <c r="AE393">
        <v>14.5573367127</v>
      </c>
      <c r="AF393">
        <v>1946</v>
      </c>
      <c r="AG393">
        <v>1946.2336934099999</v>
      </c>
      <c r="AH393">
        <v>145575.70900900001</v>
      </c>
      <c r="AI393">
        <v>43</v>
      </c>
      <c r="AJ393">
        <v>10708.3858326301</v>
      </c>
      <c r="AK393" s="1">
        <f>intersection_ss_Lnight___surface[[#This Row],[surf m2 bout ss]]/intersection_ss_Lnight___surface[[#This Row],[Shape_Area]]</f>
        <v>7.3558878095301386E-2</v>
      </c>
      <c r="AL393">
        <v>3391</v>
      </c>
      <c r="AM393">
        <f>intersection_ss_Lnight___surface[[#This Row],[Population totale 2024 ss]]*intersection_ss_Lnight___surface[[#This Row],[Part de la surface du qs dans le noise contour]]</f>
        <v>249.438155621167</v>
      </c>
    </row>
    <row r="394" spans="1:39" x14ac:dyDescent="0.3">
      <c r="A394">
        <v>406</v>
      </c>
      <c r="B394" t="s">
        <v>1121</v>
      </c>
      <c r="C394" t="s">
        <v>1122</v>
      </c>
      <c r="D394" t="s">
        <v>1123</v>
      </c>
      <c r="E394" t="s">
        <v>1123</v>
      </c>
      <c r="F394" t="s">
        <v>1117</v>
      </c>
      <c r="G394" t="s">
        <v>1079</v>
      </c>
      <c r="H394" t="s">
        <v>1080</v>
      </c>
      <c r="I394" t="s">
        <v>1081</v>
      </c>
      <c r="J394" t="s">
        <v>36</v>
      </c>
      <c r="K394">
        <v>21015</v>
      </c>
      <c r="L394" t="s">
        <v>1082</v>
      </c>
      <c r="M394" t="s">
        <v>1083</v>
      </c>
      <c r="N394" t="s">
        <v>1083</v>
      </c>
      <c r="O394">
        <v>21000</v>
      </c>
      <c r="P394" t="s">
        <v>46</v>
      </c>
      <c r="Q394" t="s">
        <v>47</v>
      </c>
      <c r="R394" t="s">
        <v>48</v>
      </c>
      <c r="T394" t="s">
        <v>36</v>
      </c>
      <c r="U394" t="s">
        <v>36</v>
      </c>
      <c r="V394" t="s">
        <v>36</v>
      </c>
      <c r="W394">
        <v>4000</v>
      </c>
      <c r="X394" t="s">
        <v>49</v>
      </c>
      <c r="Y394" t="s">
        <v>50</v>
      </c>
      <c r="Z394" t="s">
        <v>51</v>
      </c>
      <c r="AA394" t="s">
        <v>37</v>
      </c>
      <c r="AB394" t="s">
        <v>52</v>
      </c>
      <c r="AC394" t="s">
        <v>53</v>
      </c>
      <c r="AD394" t="s">
        <v>54</v>
      </c>
      <c r="AE394">
        <v>14.5573367127</v>
      </c>
      <c r="AF394">
        <v>1946</v>
      </c>
      <c r="AG394">
        <v>1946.2336934099999</v>
      </c>
      <c r="AH394">
        <v>145575.70900900001</v>
      </c>
      <c r="AI394">
        <v>44</v>
      </c>
      <c r="AJ394">
        <v>97483.410055048895</v>
      </c>
      <c r="AK394" s="1">
        <f>intersection_ss_Lnight___surface[[#This Row],[surf m2 bout ss]]/intersection_ss_Lnight___surface[[#This Row],[Shape_Area]]</f>
        <v>0.66964063385754913</v>
      </c>
      <c r="AL394">
        <v>3391</v>
      </c>
      <c r="AM394">
        <f>intersection_ss_Lnight___surface[[#This Row],[Population totale 2024 ss]]*intersection_ss_Lnight___surface[[#This Row],[Part de la surface du qs dans le noise contour]]</f>
        <v>2270.7513894109493</v>
      </c>
    </row>
    <row r="395" spans="1:39" x14ac:dyDescent="0.3">
      <c r="A395">
        <v>407</v>
      </c>
      <c r="B395" t="s">
        <v>1121</v>
      </c>
      <c r="C395" t="s">
        <v>1122</v>
      </c>
      <c r="D395" t="s">
        <v>1123</v>
      </c>
      <c r="E395" t="s">
        <v>1123</v>
      </c>
      <c r="F395" t="s">
        <v>1117</v>
      </c>
      <c r="G395" t="s">
        <v>1079</v>
      </c>
      <c r="H395" t="s">
        <v>1080</v>
      </c>
      <c r="I395" t="s">
        <v>1081</v>
      </c>
      <c r="J395" t="s">
        <v>36</v>
      </c>
      <c r="K395">
        <v>21015</v>
      </c>
      <c r="L395" t="s">
        <v>1082</v>
      </c>
      <c r="M395" t="s">
        <v>1083</v>
      </c>
      <c r="N395" t="s">
        <v>1083</v>
      </c>
      <c r="O395">
        <v>21000</v>
      </c>
      <c r="P395" t="s">
        <v>46</v>
      </c>
      <c r="Q395" t="s">
        <v>47</v>
      </c>
      <c r="R395" t="s">
        <v>48</v>
      </c>
      <c r="T395" t="s">
        <v>36</v>
      </c>
      <c r="U395" t="s">
        <v>36</v>
      </c>
      <c r="V395" t="s">
        <v>36</v>
      </c>
      <c r="W395">
        <v>4000</v>
      </c>
      <c r="X395" t="s">
        <v>49</v>
      </c>
      <c r="Y395" t="s">
        <v>50</v>
      </c>
      <c r="Z395" t="s">
        <v>51</v>
      </c>
      <c r="AA395" t="s">
        <v>37</v>
      </c>
      <c r="AB395" t="s">
        <v>52</v>
      </c>
      <c r="AC395" t="s">
        <v>53</v>
      </c>
      <c r="AD395" t="s">
        <v>54</v>
      </c>
      <c r="AE395">
        <v>14.5573367127</v>
      </c>
      <c r="AF395">
        <v>1946</v>
      </c>
      <c r="AG395">
        <v>1946.2336934099999</v>
      </c>
      <c r="AH395">
        <v>145575.70900900001</v>
      </c>
      <c r="AI395">
        <v>45</v>
      </c>
      <c r="AJ395">
        <v>37397.548532930297</v>
      </c>
      <c r="AK395" s="1">
        <f>intersection_ss_Lnight___surface[[#This Row],[surf m2 bout ss]]/intersection_ss_Lnight___surface[[#This Row],[Shape_Area]]</f>
        <v>0.25689415347871153</v>
      </c>
      <c r="AL395">
        <v>3391</v>
      </c>
      <c r="AM395">
        <f>intersection_ss_Lnight___surface[[#This Row],[Population totale 2024 ss]]*intersection_ss_Lnight___surface[[#This Row],[Part de la surface du qs dans le noise contour]]</f>
        <v>871.12807444631085</v>
      </c>
    </row>
    <row r="396" spans="1:39" x14ac:dyDescent="0.3">
      <c r="A396">
        <v>408</v>
      </c>
      <c r="B396" t="s">
        <v>1124</v>
      </c>
      <c r="C396" t="s">
        <v>1125</v>
      </c>
      <c r="D396" t="s">
        <v>1126</v>
      </c>
      <c r="E396" t="s">
        <v>1126</v>
      </c>
      <c r="F396" t="s">
        <v>1117</v>
      </c>
      <c r="G396" t="s">
        <v>1079</v>
      </c>
      <c r="H396" t="s">
        <v>1080</v>
      </c>
      <c r="I396" t="s">
        <v>1081</v>
      </c>
      <c r="J396" t="s">
        <v>36</v>
      </c>
      <c r="K396">
        <v>21015</v>
      </c>
      <c r="L396" t="s">
        <v>1082</v>
      </c>
      <c r="M396" t="s">
        <v>1083</v>
      </c>
      <c r="N396" t="s">
        <v>1083</v>
      </c>
      <c r="O396">
        <v>21000</v>
      </c>
      <c r="P396" t="s">
        <v>46</v>
      </c>
      <c r="Q396" t="s">
        <v>47</v>
      </c>
      <c r="R396" t="s">
        <v>48</v>
      </c>
      <c r="T396" t="s">
        <v>36</v>
      </c>
      <c r="U396" t="s">
        <v>36</v>
      </c>
      <c r="V396" t="s">
        <v>36</v>
      </c>
      <c r="W396">
        <v>4000</v>
      </c>
      <c r="X396" t="s">
        <v>49</v>
      </c>
      <c r="Y396" t="s">
        <v>50</v>
      </c>
      <c r="Z396" t="s">
        <v>51</v>
      </c>
      <c r="AA396" t="s">
        <v>37</v>
      </c>
      <c r="AB396" t="s">
        <v>52</v>
      </c>
      <c r="AC396" t="s">
        <v>53</v>
      </c>
      <c r="AD396" t="s">
        <v>54</v>
      </c>
      <c r="AE396">
        <v>7.1622328306499998</v>
      </c>
      <c r="AF396">
        <v>1422</v>
      </c>
      <c r="AG396">
        <v>1421.89578755</v>
      </c>
      <c r="AH396">
        <v>71623.497462800005</v>
      </c>
      <c r="AI396">
        <v>43</v>
      </c>
      <c r="AJ396">
        <v>71630.166913572699</v>
      </c>
      <c r="AK396" s="1">
        <f>intersection_ss_Lnight___surface[[#This Row],[surf m2 bout ss]]/intersection_ss_Lnight___surface[[#This Row],[Shape_Area]]</f>
        <v>1.0000931181945723</v>
      </c>
      <c r="AL396">
        <v>1609</v>
      </c>
      <c r="AM396">
        <f>intersection_ss_Lnight___surface[[#This Row],[Population totale 2024 ss]]*intersection_ss_Lnight___surface[[#This Row],[Part de la surface du qs dans le noise contour]]</f>
        <v>1609.1498271750668</v>
      </c>
    </row>
    <row r="397" spans="1:39" x14ac:dyDescent="0.3">
      <c r="A397">
        <v>409</v>
      </c>
      <c r="B397" t="s">
        <v>1127</v>
      </c>
      <c r="C397" t="s">
        <v>1128</v>
      </c>
      <c r="D397" t="s">
        <v>1129</v>
      </c>
      <c r="E397" t="s">
        <v>1129</v>
      </c>
      <c r="F397" t="s">
        <v>1117</v>
      </c>
      <c r="G397" t="s">
        <v>1079</v>
      </c>
      <c r="H397" t="s">
        <v>1080</v>
      </c>
      <c r="I397" t="s">
        <v>1081</v>
      </c>
      <c r="J397" t="s">
        <v>36</v>
      </c>
      <c r="K397">
        <v>21015</v>
      </c>
      <c r="L397" t="s">
        <v>1082</v>
      </c>
      <c r="M397" t="s">
        <v>1083</v>
      </c>
      <c r="N397" t="s">
        <v>1083</v>
      </c>
      <c r="O397">
        <v>21000</v>
      </c>
      <c r="P397" t="s">
        <v>46</v>
      </c>
      <c r="Q397" t="s">
        <v>47</v>
      </c>
      <c r="R397" t="s">
        <v>48</v>
      </c>
      <c r="T397" t="s">
        <v>36</v>
      </c>
      <c r="U397" t="s">
        <v>36</v>
      </c>
      <c r="V397" t="s">
        <v>36</v>
      </c>
      <c r="W397">
        <v>4000</v>
      </c>
      <c r="X397" t="s">
        <v>49</v>
      </c>
      <c r="Y397" t="s">
        <v>50</v>
      </c>
      <c r="Z397" t="s">
        <v>51</v>
      </c>
      <c r="AA397" t="s">
        <v>37</v>
      </c>
      <c r="AB397" t="s">
        <v>52</v>
      </c>
      <c r="AC397" t="s">
        <v>53</v>
      </c>
      <c r="AD397" t="s">
        <v>54</v>
      </c>
      <c r="AE397">
        <v>13.601397117399999</v>
      </c>
      <c r="AF397">
        <v>1817</v>
      </c>
      <c r="AG397">
        <v>1816.6077691</v>
      </c>
      <c r="AH397">
        <v>136016.13613999999</v>
      </c>
      <c r="AI397">
        <v>43</v>
      </c>
      <c r="AJ397">
        <v>136028.85543215901</v>
      </c>
      <c r="AK397" s="1">
        <f>intersection_ss_Lnight___surface[[#This Row],[surf m2 bout ss]]/intersection_ss_Lnight___surface[[#This Row],[Shape_Area]]</f>
        <v>1.0000935131118998</v>
      </c>
      <c r="AL397">
        <v>2601</v>
      </c>
      <c r="AM397">
        <f>intersection_ss_Lnight___surface[[#This Row],[Population totale 2024 ss]]*intersection_ss_Lnight___surface[[#This Row],[Part de la surface du qs dans le noise contour]]</f>
        <v>2601.2432276040513</v>
      </c>
    </row>
    <row r="398" spans="1:39" x14ac:dyDescent="0.3">
      <c r="A398">
        <v>410</v>
      </c>
      <c r="B398" t="s">
        <v>1130</v>
      </c>
      <c r="C398" t="s">
        <v>1131</v>
      </c>
      <c r="D398" t="s">
        <v>1132</v>
      </c>
      <c r="E398" t="s">
        <v>1132</v>
      </c>
      <c r="F398" t="s">
        <v>1117</v>
      </c>
      <c r="G398" t="s">
        <v>1079</v>
      </c>
      <c r="H398" t="s">
        <v>1080</v>
      </c>
      <c r="I398" t="s">
        <v>1081</v>
      </c>
      <c r="J398" t="s">
        <v>36</v>
      </c>
      <c r="K398">
        <v>21015</v>
      </c>
      <c r="L398" t="s">
        <v>1082</v>
      </c>
      <c r="M398" t="s">
        <v>1083</v>
      </c>
      <c r="N398" t="s">
        <v>1083</v>
      </c>
      <c r="O398">
        <v>21000</v>
      </c>
      <c r="P398" t="s">
        <v>46</v>
      </c>
      <c r="Q398" t="s">
        <v>47</v>
      </c>
      <c r="R398" t="s">
        <v>48</v>
      </c>
      <c r="T398" t="s">
        <v>36</v>
      </c>
      <c r="U398" t="s">
        <v>36</v>
      </c>
      <c r="V398" t="s">
        <v>36</v>
      </c>
      <c r="W398">
        <v>4000</v>
      </c>
      <c r="X398" t="s">
        <v>49</v>
      </c>
      <c r="Y398" t="s">
        <v>50</v>
      </c>
      <c r="Z398" t="s">
        <v>51</v>
      </c>
      <c r="AA398" t="s">
        <v>37</v>
      </c>
      <c r="AB398" t="s">
        <v>52</v>
      </c>
      <c r="AC398" t="s">
        <v>53</v>
      </c>
      <c r="AD398" t="s">
        <v>54</v>
      </c>
      <c r="AE398">
        <v>7.6919306155999996</v>
      </c>
      <c r="AF398">
        <v>1128</v>
      </c>
      <c r="AG398">
        <v>1128.2305512099999</v>
      </c>
      <c r="AH398">
        <v>76920.529297300003</v>
      </c>
      <c r="AI398">
        <v>43</v>
      </c>
      <c r="AJ398">
        <v>30821.850609881301</v>
      </c>
      <c r="AK398" s="1">
        <f>intersection_ss_Lnight___surface[[#This Row],[surf m2 bout ss]]/intersection_ss_Lnight___surface[[#This Row],[Shape_Area]]</f>
        <v>0.40069732867741958</v>
      </c>
      <c r="AL398">
        <v>434</v>
      </c>
      <c r="AM398">
        <f>intersection_ss_Lnight___surface[[#This Row],[Population totale 2024 ss]]*intersection_ss_Lnight___surface[[#This Row],[Part de la surface du qs dans le noise contour]]</f>
        <v>173.90264064600009</v>
      </c>
    </row>
    <row r="399" spans="1:39" x14ac:dyDescent="0.3">
      <c r="A399">
        <v>411</v>
      </c>
      <c r="B399" t="s">
        <v>1130</v>
      </c>
      <c r="C399" t="s">
        <v>1131</v>
      </c>
      <c r="D399" t="s">
        <v>1132</v>
      </c>
      <c r="E399" t="s">
        <v>1132</v>
      </c>
      <c r="F399" t="s">
        <v>1117</v>
      </c>
      <c r="G399" t="s">
        <v>1079</v>
      </c>
      <c r="H399" t="s">
        <v>1080</v>
      </c>
      <c r="I399" t="s">
        <v>1081</v>
      </c>
      <c r="J399" t="s">
        <v>36</v>
      </c>
      <c r="K399">
        <v>21015</v>
      </c>
      <c r="L399" t="s">
        <v>1082</v>
      </c>
      <c r="M399" t="s">
        <v>1083</v>
      </c>
      <c r="N399" t="s">
        <v>1083</v>
      </c>
      <c r="O399">
        <v>21000</v>
      </c>
      <c r="P399" t="s">
        <v>46</v>
      </c>
      <c r="Q399" t="s">
        <v>47</v>
      </c>
      <c r="R399" t="s">
        <v>48</v>
      </c>
      <c r="T399" t="s">
        <v>36</v>
      </c>
      <c r="U399" t="s">
        <v>36</v>
      </c>
      <c r="V399" t="s">
        <v>36</v>
      </c>
      <c r="W399">
        <v>4000</v>
      </c>
      <c r="X399" t="s">
        <v>49</v>
      </c>
      <c r="Y399" t="s">
        <v>50</v>
      </c>
      <c r="Z399" t="s">
        <v>51</v>
      </c>
      <c r="AA399" t="s">
        <v>37</v>
      </c>
      <c r="AB399" t="s">
        <v>52</v>
      </c>
      <c r="AC399" t="s">
        <v>53</v>
      </c>
      <c r="AD399" t="s">
        <v>54</v>
      </c>
      <c r="AE399">
        <v>7.6919306155999996</v>
      </c>
      <c r="AF399">
        <v>1128</v>
      </c>
      <c r="AG399">
        <v>1128.2305512099999</v>
      </c>
      <c r="AH399">
        <v>76920.529297300003</v>
      </c>
      <c r="AI399">
        <v>44</v>
      </c>
      <c r="AJ399">
        <v>46105.870676592502</v>
      </c>
      <c r="AK399" s="1">
        <f>intersection_ss_Lnight___surface[[#This Row],[surf m2 bout ss]]/intersection_ss_Lnight___surface[[#This Row],[Shape_Area]]</f>
        <v>0.59939617027844438</v>
      </c>
      <c r="AL399">
        <v>434</v>
      </c>
      <c r="AM399">
        <f>intersection_ss_Lnight___surface[[#This Row],[Population totale 2024 ss]]*intersection_ss_Lnight___surface[[#This Row],[Part de la surface du qs dans le noise contour]]</f>
        <v>260.13793790084486</v>
      </c>
    </row>
    <row r="400" spans="1:39" x14ac:dyDescent="0.3">
      <c r="A400">
        <v>412</v>
      </c>
      <c r="B400" t="s">
        <v>1137</v>
      </c>
      <c r="C400" t="s">
        <v>1138</v>
      </c>
      <c r="D400" t="s">
        <v>1139</v>
      </c>
      <c r="E400" t="s">
        <v>1139</v>
      </c>
      <c r="F400" t="s">
        <v>1136</v>
      </c>
      <c r="G400" t="s">
        <v>1079</v>
      </c>
      <c r="H400" t="s">
        <v>1080</v>
      </c>
      <c r="I400" t="s">
        <v>1081</v>
      </c>
      <c r="J400" t="s">
        <v>36</v>
      </c>
      <c r="K400">
        <v>21015</v>
      </c>
      <c r="L400" t="s">
        <v>1082</v>
      </c>
      <c r="M400" t="s">
        <v>1083</v>
      </c>
      <c r="N400" t="s">
        <v>1083</v>
      </c>
      <c r="O400">
        <v>21000</v>
      </c>
      <c r="P400" t="s">
        <v>46</v>
      </c>
      <c r="Q400" t="s">
        <v>47</v>
      </c>
      <c r="R400" t="s">
        <v>48</v>
      </c>
      <c r="T400" t="s">
        <v>36</v>
      </c>
      <c r="U400" t="s">
        <v>36</v>
      </c>
      <c r="V400" t="s">
        <v>36</v>
      </c>
      <c r="W400">
        <v>4000</v>
      </c>
      <c r="X400" t="s">
        <v>49</v>
      </c>
      <c r="Y400" t="s">
        <v>50</v>
      </c>
      <c r="Z400" t="s">
        <v>51</v>
      </c>
      <c r="AA400" t="s">
        <v>37</v>
      </c>
      <c r="AB400" t="s">
        <v>52</v>
      </c>
      <c r="AC400" t="s">
        <v>53</v>
      </c>
      <c r="AD400" t="s">
        <v>54</v>
      </c>
      <c r="AE400">
        <v>14.2436771883</v>
      </c>
      <c r="AF400">
        <v>1688</v>
      </c>
      <c r="AG400">
        <v>1688.43892336</v>
      </c>
      <c r="AH400">
        <v>142439.07603900001</v>
      </c>
      <c r="AI400">
        <v>40</v>
      </c>
      <c r="AJ400">
        <v>12253.674479814001</v>
      </c>
      <c r="AK400" s="1">
        <f>intersection_ss_Lnight___surface[[#This Row],[surf m2 bout ss]]/intersection_ss_Lnight___surface[[#This Row],[Shape_Area]]</f>
        <v>8.6027477996690513E-2</v>
      </c>
      <c r="AL400">
        <v>2423</v>
      </c>
      <c r="AM400">
        <f>intersection_ss_Lnight___surface[[#This Row],[Population totale 2024 ss]]*intersection_ss_Lnight___surface[[#This Row],[Part de la surface du qs dans le noise contour]]</f>
        <v>208.44457918598113</v>
      </c>
    </row>
    <row r="401" spans="1:39" x14ac:dyDescent="0.3">
      <c r="A401">
        <v>413</v>
      </c>
      <c r="B401" t="s">
        <v>1143</v>
      </c>
      <c r="C401" t="s">
        <v>1144</v>
      </c>
      <c r="D401" t="s">
        <v>1145</v>
      </c>
      <c r="E401" t="s">
        <v>1145</v>
      </c>
      <c r="F401" t="s">
        <v>1136</v>
      </c>
      <c r="G401" t="s">
        <v>1079</v>
      </c>
      <c r="H401" t="s">
        <v>1080</v>
      </c>
      <c r="I401" t="s">
        <v>1081</v>
      </c>
      <c r="J401" t="s">
        <v>36</v>
      </c>
      <c r="K401">
        <v>21015</v>
      </c>
      <c r="L401" t="s">
        <v>1082</v>
      </c>
      <c r="M401" t="s">
        <v>1083</v>
      </c>
      <c r="N401" t="s">
        <v>1083</v>
      </c>
      <c r="O401">
        <v>21000</v>
      </c>
      <c r="P401" t="s">
        <v>46</v>
      </c>
      <c r="Q401" t="s">
        <v>47</v>
      </c>
      <c r="R401" t="s">
        <v>48</v>
      </c>
      <c r="T401" t="s">
        <v>36</v>
      </c>
      <c r="U401" t="s">
        <v>36</v>
      </c>
      <c r="V401" t="s">
        <v>36</v>
      </c>
      <c r="W401">
        <v>4000</v>
      </c>
      <c r="X401" t="s">
        <v>49</v>
      </c>
      <c r="Y401" t="s">
        <v>50</v>
      </c>
      <c r="Z401" t="s">
        <v>51</v>
      </c>
      <c r="AA401" t="s">
        <v>37</v>
      </c>
      <c r="AB401" t="s">
        <v>52</v>
      </c>
      <c r="AC401" t="s">
        <v>53</v>
      </c>
      <c r="AD401" t="s">
        <v>54</v>
      </c>
      <c r="AE401">
        <v>10.4163775706</v>
      </c>
      <c r="AF401">
        <v>1371</v>
      </c>
      <c r="AG401">
        <v>1371.0682629400001</v>
      </c>
      <c r="AH401">
        <v>104165.455508</v>
      </c>
      <c r="AI401">
        <v>40</v>
      </c>
      <c r="AJ401">
        <v>10133.4608701244</v>
      </c>
      <c r="AK401" s="1">
        <f>intersection_ss_Lnight___surface[[#This Row],[surf m2 bout ss]]/intersection_ss_Lnight___surface[[#This Row],[Shape_Area]]</f>
        <v>9.7282355467126436E-2</v>
      </c>
      <c r="AL401">
        <v>2342</v>
      </c>
      <c r="AM401">
        <f>intersection_ss_Lnight___surface[[#This Row],[Population totale 2024 ss]]*intersection_ss_Lnight___surface[[#This Row],[Part de la surface du qs dans le noise contour]]</f>
        <v>227.83527650401012</v>
      </c>
    </row>
    <row r="402" spans="1:39" x14ac:dyDescent="0.3">
      <c r="A402">
        <v>414</v>
      </c>
      <c r="B402" t="s">
        <v>1146</v>
      </c>
      <c r="C402" t="s">
        <v>1147</v>
      </c>
      <c r="D402" t="s">
        <v>1148</v>
      </c>
      <c r="E402" t="s">
        <v>1148</v>
      </c>
      <c r="F402" t="s">
        <v>1136</v>
      </c>
      <c r="G402" t="s">
        <v>1079</v>
      </c>
      <c r="H402" t="s">
        <v>1080</v>
      </c>
      <c r="I402" t="s">
        <v>1081</v>
      </c>
      <c r="J402" t="s">
        <v>36</v>
      </c>
      <c r="K402">
        <v>21015</v>
      </c>
      <c r="L402" t="s">
        <v>1082</v>
      </c>
      <c r="M402" t="s">
        <v>1083</v>
      </c>
      <c r="N402" t="s">
        <v>1083</v>
      </c>
      <c r="O402">
        <v>21000</v>
      </c>
      <c r="P402" t="s">
        <v>46</v>
      </c>
      <c r="Q402" t="s">
        <v>47</v>
      </c>
      <c r="R402" t="s">
        <v>48</v>
      </c>
      <c r="T402" t="s">
        <v>36</v>
      </c>
      <c r="U402" t="s">
        <v>36</v>
      </c>
      <c r="V402" t="s">
        <v>36</v>
      </c>
      <c r="W402">
        <v>4000</v>
      </c>
      <c r="X402" t="s">
        <v>49</v>
      </c>
      <c r="Y402" t="s">
        <v>50</v>
      </c>
      <c r="Z402" t="s">
        <v>51</v>
      </c>
      <c r="AA402" t="s">
        <v>37</v>
      </c>
      <c r="AB402" t="s">
        <v>52</v>
      </c>
      <c r="AC402" t="s">
        <v>53</v>
      </c>
      <c r="AD402" t="s">
        <v>54</v>
      </c>
      <c r="AE402">
        <v>8.2675398923499994</v>
      </c>
      <c r="AF402">
        <v>1514</v>
      </c>
      <c r="AG402">
        <v>1514.02520379</v>
      </c>
      <c r="AH402">
        <v>82676.723309299996</v>
      </c>
      <c r="AI402">
        <v>40</v>
      </c>
      <c r="AJ402">
        <v>67631.287693271399</v>
      </c>
      <c r="AK402" s="1">
        <f>intersection_ss_Lnight___surface[[#This Row],[surf m2 bout ss]]/intersection_ss_Lnight___surface[[#This Row],[Shape_Area]]</f>
        <v>0.81802090100084801</v>
      </c>
      <c r="AL402">
        <v>1551</v>
      </c>
      <c r="AM402">
        <f>intersection_ss_Lnight___surface[[#This Row],[Population totale 2024 ss]]*intersection_ss_Lnight___surface[[#This Row],[Part de la surface du qs dans le noise contour]]</f>
        <v>1268.7504174523153</v>
      </c>
    </row>
    <row r="403" spans="1:39" x14ac:dyDescent="0.3">
      <c r="A403">
        <v>415</v>
      </c>
      <c r="B403" t="s">
        <v>1146</v>
      </c>
      <c r="C403" t="s">
        <v>1147</v>
      </c>
      <c r="D403" t="s">
        <v>1148</v>
      </c>
      <c r="E403" t="s">
        <v>1148</v>
      </c>
      <c r="F403" t="s">
        <v>1136</v>
      </c>
      <c r="G403" t="s">
        <v>1079</v>
      </c>
      <c r="H403" t="s">
        <v>1080</v>
      </c>
      <c r="I403" t="s">
        <v>1081</v>
      </c>
      <c r="J403" t="s">
        <v>36</v>
      </c>
      <c r="K403">
        <v>21015</v>
      </c>
      <c r="L403" t="s">
        <v>1082</v>
      </c>
      <c r="M403" t="s">
        <v>1083</v>
      </c>
      <c r="N403" t="s">
        <v>1083</v>
      </c>
      <c r="O403">
        <v>21000</v>
      </c>
      <c r="P403" t="s">
        <v>46</v>
      </c>
      <c r="Q403" t="s">
        <v>47</v>
      </c>
      <c r="R403" t="s">
        <v>48</v>
      </c>
      <c r="T403" t="s">
        <v>36</v>
      </c>
      <c r="U403" t="s">
        <v>36</v>
      </c>
      <c r="V403" t="s">
        <v>36</v>
      </c>
      <c r="W403">
        <v>4000</v>
      </c>
      <c r="X403" t="s">
        <v>49</v>
      </c>
      <c r="Y403" t="s">
        <v>50</v>
      </c>
      <c r="Z403" t="s">
        <v>51</v>
      </c>
      <c r="AA403" t="s">
        <v>37</v>
      </c>
      <c r="AB403" t="s">
        <v>52</v>
      </c>
      <c r="AC403" t="s">
        <v>53</v>
      </c>
      <c r="AD403" t="s">
        <v>54</v>
      </c>
      <c r="AE403">
        <v>8.2675398923499994</v>
      </c>
      <c r="AF403">
        <v>1514</v>
      </c>
      <c r="AG403">
        <v>1514.02520379</v>
      </c>
      <c r="AH403">
        <v>82676.723309299996</v>
      </c>
      <c r="AI403">
        <v>41</v>
      </c>
      <c r="AJ403">
        <v>13489.442821877101</v>
      </c>
      <c r="AK403" s="1">
        <f>intersection_ss_Lnight___surface[[#This Row],[surf m2 bout ss]]/intersection_ss_Lnight___surface[[#This Row],[Shape_Area]]</f>
        <v>0.16315889505456155</v>
      </c>
      <c r="AL403">
        <v>1551</v>
      </c>
      <c r="AM403">
        <f>intersection_ss_Lnight___surface[[#This Row],[Population totale 2024 ss]]*intersection_ss_Lnight___surface[[#This Row],[Part de la surface du qs dans le noise contour]]</f>
        <v>253.05944622962497</v>
      </c>
    </row>
    <row r="404" spans="1:39" x14ac:dyDescent="0.3">
      <c r="A404">
        <v>416</v>
      </c>
      <c r="B404" t="s">
        <v>1149</v>
      </c>
      <c r="C404" t="s">
        <v>1150</v>
      </c>
      <c r="D404" t="s">
        <v>1151</v>
      </c>
      <c r="E404" t="s">
        <v>1151</v>
      </c>
      <c r="F404" t="s">
        <v>1136</v>
      </c>
      <c r="G404" t="s">
        <v>1079</v>
      </c>
      <c r="H404" t="s">
        <v>1080</v>
      </c>
      <c r="I404" t="s">
        <v>1081</v>
      </c>
      <c r="J404" t="s">
        <v>36</v>
      </c>
      <c r="K404">
        <v>21015</v>
      </c>
      <c r="L404" t="s">
        <v>1082</v>
      </c>
      <c r="M404" t="s">
        <v>1083</v>
      </c>
      <c r="N404" t="s">
        <v>1083</v>
      </c>
      <c r="O404">
        <v>21000</v>
      </c>
      <c r="P404" t="s">
        <v>46</v>
      </c>
      <c r="Q404" t="s">
        <v>47</v>
      </c>
      <c r="R404" t="s">
        <v>48</v>
      </c>
      <c r="T404" t="s">
        <v>36</v>
      </c>
      <c r="U404" t="s">
        <v>36</v>
      </c>
      <c r="V404" t="s">
        <v>36</v>
      </c>
      <c r="W404">
        <v>4000</v>
      </c>
      <c r="X404" t="s">
        <v>49</v>
      </c>
      <c r="Y404" t="s">
        <v>50</v>
      </c>
      <c r="Z404" t="s">
        <v>51</v>
      </c>
      <c r="AA404" t="s">
        <v>37</v>
      </c>
      <c r="AB404" t="s">
        <v>52</v>
      </c>
      <c r="AC404" t="s">
        <v>53</v>
      </c>
      <c r="AD404" t="s">
        <v>54</v>
      </c>
      <c r="AE404">
        <v>11.1626818674</v>
      </c>
      <c r="AF404">
        <v>1339</v>
      </c>
      <c r="AG404">
        <v>1339.0672257000001</v>
      </c>
      <c r="AH404">
        <v>111628.608188</v>
      </c>
      <c r="AI404">
        <v>40</v>
      </c>
      <c r="AJ404">
        <v>69504.193152017906</v>
      </c>
      <c r="AK404" s="1">
        <f>intersection_ss_Lnight___surface[[#This Row],[surf m2 bout ss]]/intersection_ss_Lnight___surface[[#This Row],[Shape_Area]]</f>
        <v>0.62263781910603055</v>
      </c>
      <c r="AL404">
        <v>2053</v>
      </c>
      <c r="AM404">
        <f>intersection_ss_Lnight___surface[[#This Row],[Population totale 2024 ss]]*intersection_ss_Lnight___surface[[#This Row],[Part de la surface du qs dans le noise contour]]</f>
        <v>1278.2754426246806</v>
      </c>
    </row>
    <row r="405" spans="1:39" x14ac:dyDescent="0.3">
      <c r="A405">
        <v>417</v>
      </c>
      <c r="B405" t="s">
        <v>1152</v>
      </c>
      <c r="C405" t="s">
        <v>1153</v>
      </c>
      <c r="D405" t="s">
        <v>1154</v>
      </c>
      <c r="E405" t="s">
        <v>1154</v>
      </c>
      <c r="F405" t="s">
        <v>1136</v>
      </c>
      <c r="G405" t="s">
        <v>1079</v>
      </c>
      <c r="H405" t="s">
        <v>1080</v>
      </c>
      <c r="I405" t="s">
        <v>1081</v>
      </c>
      <c r="J405" t="s">
        <v>36</v>
      </c>
      <c r="K405">
        <v>21015</v>
      </c>
      <c r="L405" t="s">
        <v>1082</v>
      </c>
      <c r="M405" t="s">
        <v>1083</v>
      </c>
      <c r="N405" t="s">
        <v>1083</v>
      </c>
      <c r="O405">
        <v>21000</v>
      </c>
      <c r="P405" t="s">
        <v>46</v>
      </c>
      <c r="Q405" t="s">
        <v>47</v>
      </c>
      <c r="R405" t="s">
        <v>48</v>
      </c>
      <c r="T405" t="s">
        <v>36</v>
      </c>
      <c r="U405" t="s">
        <v>36</v>
      </c>
      <c r="V405" t="s">
        <v>36</v>
      </c>
      <c r="W405">
        <v>4000</v>
      </c>
      <c r="X405" t="s">
        <v>49</v>
      </c>
      <c r="Y405" t="s">
        <v>50</v>
      </c>
      <c r="Z405" t="s">
        <v>51</v>
      </c>
      <c r="AA405" t="s">
        <v>37</v>
      </c>
      <c r="AB405" t="s">
        <v>52</v>
      </c>
      <c r="AC405" t="s">
        <v>53</v>
      </c>
      <c r="AD405" t="s">
        <v>54</v>
      </c>
      <c r="AE405">
        <v>16.273643702200001</v>
      </c>
      <c r="AF405">
        <v>2033</v>
      </c>
      <c r="AG405">
        <v>2032.5572573300001</v>
      </c>
      <c r="AH405">
        <v>162739.066746</v>
      </c>
      <c r="AI405">
        <v>40</v>
      </c>
      <c r="AJ405">
        <v>140994.600258363</v>
      </c>
      <c r="AK405" s="1">
        <f>intersection_ss_Lnight___surface[[#This Row],[surf m2 bout ss]]/intersection_ss_Lnight___surface[[#This Row],[Shape_Area]]</f>
        <v>0.86638447102824212</v>
      </c>
      <c r="AL405">
        <v>1895</v>
      </c>
      <c r="AM405">
        <f>intersection_ss_Lnight___surface[[#This Row],[Population totale 2024 ss]]*intersection_ss_Lnight___surface[[#This Row],[Part de la surface du qs dans le noise contour]]</f>
        <v>1641.7985725985188</v>
      </c>
    </row>
    <row r="406" spans="1:39" x14ac:dyDescent="0.3">
      <c r="A406">
        <v>418</v>
      </c>
      <c r="B406" t="s">
        <v>1152</v>
      </c>
      <c r="C406" t="s">
        <v>1153</v>
      </c>
      <c r="D406" t="s">
        <v>1154</v>
      </c>
      <c r="E406" t="s">
        <v>1154</v>
      </c>
      <c r="F406" t="s">
        <v>1136</v>
      </c>
      <c r="G406" t="s">
        <v>1079</v>
      </c>
      <c r="H406" t="s">
        <v>1080</v>
      </c>
      <c r="I406" t="s">
        <v>1081</v>
      </c>
      <c r="J406" t="s">
        <v>36</v>
      </c>
      <c r="K406">
        <v>21015</v>
      </c>
      <c r="L406" t="s">
        <v>1082</v>
      </c>
      <c r="M406" t="s">
        <v>1083</v>
      </c>
      <c r="N406" t="s">
        <v>1083</v>
      </c>
      <c r="O406">
        <v>21000</v>
      </c>
      <c r="P406" t="s">
        <v>46</v>
      </c>
      <c r="Q406" t="s">
        <v>47</v>
      </c>
      <c r="R406" t="s">
        <v>48</v>
      </c>
      <c r="T406" t="s">
        <v>36</v>
      </c>
      <c r="U406" t="s">
        <v>36</v>
      </c>
      <c r="V406" t="s">
        <v>36</v>
      </c>
      <c r="W406">
        <v>4000</v>
      </c>
      <c r="X406" t="s">
        <v>49</v>
      </c>
      <c r="Y406" t="s">
        <v>50</v>
      </c>
      <c r="Z406" t="s">
        <v>51</v>
      </c>
      <c r="AA406" t="s">
        <v>37</v>
      </c>
      <c r="AB406" t="s">
        <v>52</v>
      </c>
      <c r="AC406" t="s">
        <v>53</v>
      </c>
      <c r="AD406" t="s">
        <v>54</v>
      </c>
      <c r="AE406">
        <v>16.273643702200001</v>
      </c>
      <c r="AF406">
        <v>2033</v>
      </c>
      <c r="AG406">
        <v>2032.5572573300001</v>
      </c>
      <c r="AH406">
        <v>162739.066746</v>
      </c>
      <c r="AI406">
        <v>41</v>
      </c>
      <c r="AJ406">
        <v>9055.2137299049591</v>
      </c>
      <c r="AK406" s="1">
        <f>intersection_ss_Lnight___surface[[#This Row],[surf m2 bout ss]]/intersection_ss_Lnight___surface[[#This Row],[Shape_Area]]</f>
        <v>5.5642532005164821E-2</v>
      </c>
      <c r="AL406">
        <v>1895</v>
      </c>
      <c r="AM406">
        <f>intersection_ss_Lnight___surface[[#This Row],[Population totale 2024 ss]]*intersection_ss_Lnight___surface[[#This Row],[Part de la surface du qs dans le noise contour]]</f>
        <v>105.44259814978734</v>
      </c>
    </row>
    <row r="407" spans="1:39" x14ac:dyDescent="0.3">
      <c r="A407">
        <v>419</v>
      </c>
      <c r="B407" t="s">
        <v>1155</v>
      </c>
      <c r="C407" t="s">
        <v>1156</v>
      </c>
      <c r="D407" t="s">
        <v>1157</v>
      </c>
      <c r="E407" t="s">
        <v>1157</v>
      </c>
      <c r="F407" t="s">
        <v>1136</v>
      </c>
      <c r="G407" t="s">
        <v>1079</v>
      </c>
      <c r="H407" t="s">
        <v>1080</v>
      </c>
      <c r="I407" t="s">
        <v>1081</v>
      </c>
      <c r="J407" t="s">
        <v>36</v>
      </c>
      <c r="K407">
        <v>21015</v>
      </c>
      <c r="L407" t="s">
        <v>1082</v>
      </c>
      <c r="M407" t="s">
        <v>1083</v>
      </c>
      <c r="N407" t="s">
        <v>1083</v>
      </c>
      <c r="O407">
        <v>21000</v>
      </c>
      <c r="P407" t="s">
        <v>46</v>
      </c>
      <c r="Q407" t="s">
        <v>47</v>
      </c>
      <c r="R407" t="s">
        <v>48</v>
      </c>
      <c r="T407" t="s">
        <v>36</v>
      </c>
      <c r="U407" t="s">
        <v>36</v>
      </c>
      <c r="V407" t="s">
        <v>36</v>
      </c>
      <c r="W407">
        <v>4000</v>
      </c>
      <c r="X407" t="s">
        <v>49</v>
      </c>
      <c r="Y407" t="s">
        <v>50</v>
      </c>
      <c r="Z407" t="s">
        <v>51</v>
      </c>
      <c r="AA407" t="s">
        <v>37</v>
      </c>
      <c r="AB407" t="s">
        <v>52</v>
      </c>
      <c r="AC407" t="s">
        <v>53</v>
      </c>
      <c r="AD407" t="s">
        <v>54</v>
      </c>
      <c r="AE407">
        <v>38.224856510000002</v>
      </c>
      <c r="AF407">
        <v>3617</v>
      </c>
      <c r="AG407">
        <v>3617.1508090399998</v>
      </c>
      <c r="AH407">
        <v>382254.721984</v>
      </c>
      <c r="AI407">
        <v>40</v>
      </c>
      <c r="AJ407">
        <v>89813.440970620606</v>
      </c>
      <c r="AK407" s="1">
        <f>intersection_ss_Lnight___surface[[#This Row],[surf m2 bout ss]]/intersection_ss_Lnight___surface[[#This Row],[Shape_Area]]</f>
        <v>0.23495704776246013</v>
      </c>
      <c r="AL407">
        <v>8</v>
      </c>
      <c r="AM407">
        <f>intersection_ss_Lnight___surface[[#This Row],[Population totale 2024 ss]]*intersection_ss_Lnight___surface[[#This Row],[Part de la surface du qs dans le noise contour]]</f>
        <v>1.879656382099681</v>
      </c>
    </row>
    <row r="408" spans="1:39" x14ac:dyDescent="0.3">
      <c r="A408">
        <v>420</v>
      </c>
      <c r="B408" t="s">
        <v>1155</v>
      </c>
      <c r="C408" t="s">
        <v>1156</v>
      </c>
      <c r="D408" t="s">
        <v>1157</v>
      </c>
      <c r="E408" t="s">
        <v>1157</v>
      </c>
      <c r="F408" t="s">
        <v>1136</v>
      </c>
      <c r="G408" t="s">
        <v>1079</v>
      </c>
      <c r="H408" t="s">
        <v>1080</v>
      </c>
      <c r="I408" t="s">
        <v>1081</v>
      </c>
      <c r="J408" t="s">
        <v>36</v>
      </c>
      <c r="K408">
        <v>21015</v>
      </c>
      <c r="L408" t="s">
        <v>1082</v>
      </c>
      <c r="M408" t="s">
        <v>1083</v>
      </c>
      <c r="N408" t="s">
        <v>1083</v>
      </c>
      <c r="O408">
        <v>21000</v>
      </c>
      <c r="P408" t="s">
        <v>46</v>
      </c>
      <c r="Q408" t="s">
        <v>47</v>
      </c>
      <c r="R408" t="s">
        <v>48</v>
      </c>
      <c r="T408" t="s">
        <v>36</v>
      </c>
      <c r="U408" t="s">
        <v>36</v>
      </c>
      <c r="V408" t="s">
        <v>36</v>
      </c>
      <c r="W408">
        <v>4000</v>
      </c>
      <c r="X408" t="s">
        <v>49</v>
      </c>
      <c r="Y408" t="s">
        <v>50</v>
      </c>
      <c r="Z408" t="s">
        <v>51</v>
      </c>
      <c r="AA408" t="s">
        <v>37</v>
      </c>
      <c r="AB408" t="s">
        <v>52</v>
      </c>
      <c r="AC408" t="s">
        <v>53</v>
      </c>
      <c r="AD408" t="s">
        <v>54</v>
      </c>
      <c r="AE408">
        <v>38.224856510000002</v>
      </c>
      <c r="AF408">
        <v>3617</v>
      </c>
      <c r="AG408">
        <v>3617.1508090399998</v>
      </c>
      <c r="AH408">
        <v>382254.721984</v>
      </c>
      <c r="AI408">
        <v>41</v>
      </c>
      <c r="AJ408">
        <v>136471.076367403</v>
      </c>
      <c r="AK408" s="1">
        <f>intersection_ss_Lnight___surface[[#This Row],[surf m2 bout ss]]/intersection_ss_Lnight___surface[[#This Row],[Shape_Area]]</f>
        <v>0.35701606420735138</v>
      </c>
      <c r="AL408">
        <v>8</v>
      </c>
      <c r="AM408">
        <f>intersection_ss_Lnight___surface[[#This Row],[Population totale 2024 ss]]*intersection_ss_Lnight___surface[[#This Row],[Part de la surface du qs dans le noise contour]]</f>
        <v>2.856128513658811</v>
      </c>
    </row>
    <row r="409" spans="1:39" x14ac:dyDescent="0.3">
      <c r="A409">
        <v>421</v>
      </c>
      <c r="B409" t="s">
        <v>1155</v>
      </c>
      <c r="C409" t="s">
        <v>1156</v>
      </c>
      <c r="D409" t="s">
        <v>1157</v>
      </c>
      <c r="E409" t="s">
        <v>1157</v>
      </c>
      <c r="F409" t="s">
        <v>1136</v>
      </c>
      <c r="G409" t="s">
        <v>1079</v>
      </c>
      <c r="H409" t="s">
        <v>1080</v>
      </c>
      <c r="I409" t="s">
        <v>1081</v>
      </c>
      <c r="J409" t="s">
        <v>36</v>
      </c>
      <c r="K409">
        <v>21015</v>
      </c>
      <c r="L409" t="s">
        <v>1082</v>
      </c>
      <c r="M409" t="s">
        <v>1083</v>
      </c>
      <c r="N409" t="s">
        <v>1083</v>
      </c>
      <c r="O409">
        <v>21000</v>
      </c>
      <c r="P409" t="s">
        <v>46</v>
      </c>
      <c r="Q409" t="s">
        <v>47</v>
      </c>
      <c r="R409" t="s">
        <v>48</v>
      </c>
      <c r="T409" t="s">
        <v>36</v>
      </c>
      <c r="U409" t="s">
        <v>36</v>
      </c>
      <c r="V409" t="s">
        <v>36</v>
      </c>
      <c r="W409">
        <v>4000</v>
      </c>
      <c r="X409" t="s">
        <v>49</v>
      </c>
      <c r="Y409" t="s">
        <v>50</v>
      </c>
      <c r="Z409" t="s">
        <v>51</v>
      </c>
      <c r="AA409" t="s">
        <v>37</v>
      </c>
      <c r="AB409" t="s">
        <v>52</v>
      </c>
      <c r="AC409" t="s">
        <v>53</v>
      </c>
      <c r="AD409" t="s">
        <v>54</v>
      </c>
      <c r="AE409">
        <v>38.224856510000002</v>
      </c>
      <c r="AF409">
        <v>3617</v>
      </c>
      <c r="AG409">
        <v>3617.1508090399998</v>
      </c>
      <c r="AH409">
        <v>382254.721984</v>
      </c>
      <c r="AI409">
        <v>42</v>
      </c>
      <c r="AJ409">
        <v>73219.905660071003</v>
      </c>
      <c r="AK409" s="1">
        <f>intersection_ss_Lnight___surface[[#This Row],[surf m2 bout ss]]/intersection_ss_Lnight___surface[[#This Row],[Shape_Area]]</f>
        <v>0.19154741968926092</v>
      </c>
      <c r="AL409">
        <v>8</v>
      </c>
      <c r="AM409">
        <f>intersection_ss_Lnight___surface[[#This Row],[Population totale 2024 ss]]*intersection_ss_Lnight___surface[[#This Row],[Part de la surface du qs dans le noise contour]]</f>
        <v>1.5323793575140874</v>
      </c>
    </row>
    <row r="410" spans="1:39" x14ac:dyDescent="0.3">
      <c r="A410">
        <v>422</v>
      </c>
      <c r="B410" t="s">
        <v>1155</v>
      </c>
      <c r="C410" t="s">
        <v>1156</v>
      </c>
      <c r="D410" t="s">
        <v>1157</v>
      </c>
      <c r="E410" t="s">
        <v>1157</v>
      </c>
      <c r="F410" t="s">
        <v>1136</v>
      </c>
      <c r="G410" t="s">
        <v>1079</v>
      </c>
      <c r="H410" t="s">
        <v>1080</v>
      </c>
      <c r="I410" t="s">
        <v>1081</v>
      </c>
      <c r="J410" t="s">
        <v>36</v>
      </c>
      <c r="K410">
        <v>21015</v>
      </c>
      <c r="L410" t="s">
        <v>1082</v>
      </c>
      <c r="M410" t="s">
        <v>1083</v>
      </c>
      <c r="N410" t="s">
        <v>1083</v>
      </c>
      <c r="O410">
        <v>21000</v>
      </c>
      <c r="P410" t="s">
        <v>46</v>
      </c>
      <c r="Q410" t="s">
        <v>47</v>
      </c>
      <c r="R410" t="s">
        <v>48</v>
      </c>
      <c r="T410" t="s">
        <v>36</v>
      </c>
      <c r="U410" t="s">
        <v>36</v>
      </c>
      <c r="V410" t="s">
        <v>36</v>
      </c>
      <c r="W410">
        <v>4000</v>
      </c>
      <c r="X410" t="s">
        <v>49</v>
      </c>
      <c r="Y410" t="s">
        <v>50</v>
      </c>
      <c r="Z410" t="s">
        <v>51</v>
      </c>
      <c r="AA410" t="s">
        <v>37</v>
      </c>
      <c r="AB410" t="s">
        <v>52</v>
      </c>
      <c r="AC410" t="s">
        <v>53</v>
      </c>
      <c r="AD410" t="s">
        <v>54</v>
      </c>
      <c r="AE410">
        <v>38.224856510000002</v>
      </c>
      <c r="AF410">
        <v>3617</v>
      </c>
      <c r="AG410">
        <v>3617.1508090399998</v>
      </c>
      <c r="AH410">
        <v>382254.721984</v>
      </c>
      <c r="AI410">
        <v>43</v>
      </c>
      <c r="AJ410">
        <v>82786.666669646307</v>
      </c>
      <c r="AK410" s="1">
        <f>intersection_ss_Lnight___surface[[#This Row],[surf m2 bout ss]]/intersection_ss_Lnight___surface[[#This Row],[Shape_Area]]</f>
        <v>0.21657460826111521</v>
      </c>
      <c r="AL410">
        <v>8</v>
      </c>
      <c r="AM410">
        <f>intersection_ss_Lnight___surface[[#This Row],[Population totale 2024 ss]]*intersection_ss_Lnight___surface[[#This Row],[Part de la surface du qs dans le noise contour]]</f>
        <v>1.7325968660889217</v>
      </c>
    </row>
    <row r="411" spans="1:39" x14ac:dyDescent="0.3">
      <c r="A411">
        <v>423</v>
      </c>
      <c r="B411" t="s">
        <v>1158</v>
      </c>
      <c r="C411" t="s">
        <v>1159</v>
      </c>
      <c r="D411" t="s">
        <v>1160</v>
      </c>
      <c r="E411" t="s">
        <v>1160</v>
      </c>
      <c r="F411" t="s">
        <v>1161</v>
      </c>
      <c r="G411" t="s">
        <v>1079</v>
      </c>
      <c r="H411" t="s">
        <v>1080</v>
      </c>
      <c r="I411" t="s">
        <v>1081</v>
      </c>
      <c r="J411" t="s">
        <v>36</v>
      </c>
      <c r="K411">
        <v>21015</v>
      </c>
      <c r="L411" t="s">
        <v>1082</v>
      </c>
      <c r="M411" t="s">
        <v>1083</v>
      </c>
      <c r="N411" t="s">
        <v>1083</v>
      </c>
      <c r="O411">
        <v>21000</v>
      </c>
      <c r="P411" t="s">
        <v>46</v>
      </c>
      <c r="Q411" t="s">
        <v>47</v>
      </c>
      <c r="R411" t="s">
        <v>48</v>
      </c>
      <c r="T411" t="s">
        <v>36</v>
      </c>
      <c r="U411" t="s">
        <v>36</v>
      </c>
      <c r="V411" t="s">
        <v>36</v>
      </c>
      <c r="W411">
        <v>4000</v>
      </c>
      <c r="X411" t="s">
        <v>49</v>
      </c>
      <c r="Y411" t="s">
        <v>50</v>
      </c>
      <c r="Z411" t="s">
        <v>51</v>
      </c>
      <c r="AA411" t="s">
        <v>37</v>
      </c>
      <c r="AB411" t="s">
        <v>52</v>
      </c>
      <c r="AC411" t="s">
        <v>53</v>
      </c>
      <c r="AD411" t="s">
        <v>54</v>
      </c>
      <c r="AE411">
        <v>17.287028875299999</v>
      </c>
      <c r="AF411">
        <v>2028</v>
      </c>
      <c r="AG411">
        <v>2027.5229065000001</v>
      </c>
      <c r="AH411">
        <v>172873.079807</v>
      </c>
      <c r="AI411">
        <v>41</v>
      </c>
      <c r="AJ411">
        <v>44672.148470846201</v>
      </c>
      <c r="AK411" s="1">
        <f>intersection_ss_Lnight___surface[[#This Row],[surf m2 bout ss]]/intersection_ss_Lnight___surface[[#This Row],[Shape_Area]]</f>
        <v>0.25841009207864724</v>
      </c>
      <c r="AL411">
        <v>3594</v>
      </c>
      <c r="AM411">
        <f>intersection_ss_Lnight___surface[[#This Row],[Population totale 2024 ss]]*intersection_ss_Lnight___surface[[#This Row],[Part de la surface du qs dans le noise contour]]</f>
        <v>928.72587093065817</v>
      </c>
    </row>
    <row r="412" spans="1:39" x14ac:dyDescent="0.3">
      <c r="A412">
        <v>424</v>
      </c>
      <c r="B412" t="s">
        <v>1158</v>
      </c>
      <c r="C412" t="s">
        <v>1159</v>
      </c>
      <c r="D412" t="s">
        <v>1160</v>
      </c>
      <c r="E412" t="s">
        <v>1160</v>
      </c>
      <c r="F412" t="s">
        <v>1161</v>
      </c>
      <c r="G412" t="s">
        <v>1079</v>
      </c>
      <c r="H412" t="s">
        <v>1080</v>
      </c>
      <c r="I412" t="s">
        <v>1081</v>
      </c>
      <c r="J412" t="s">
        <v>36</v>
      </c>
      <c r="K412">
        <v>21015</v>
      </c>
      <c r="L412" t="s">
        <v>1082</v>
      </c>
      <c r="M412" t="s">
        <v>1083</v>
      </c>
      <c r="N412" t="s">
        <v>1083</v>
      </c>
      <c r="O412">
        <v>21000</v>
      </c>
      <c r="P412" t="s">
        <v>46</v>
      </c>
      <c r="Q412" t="s">
        <v>47</v>
      </c>
      <c r="R412" t="s">
        <v>48</v>
      </c>
      <c r="T412" t="s">
        <v>36</v>
      </c>
      <c r="U412" t="s">
        <v>36</v>
      </c>
      <c r="V412" t="s">
        <v>36</v>
      </c>
      <c r="W412">
        <v>4000</v>
      </c>
      <c r="X412" t="s">
        <v>49</v>
      </c>
      <c r="Y412" t="s">
        <v>50</v>
      </c>
      <c r="Z412" t="s">
        <v>51</v>
      </c>
      <c r="AA412" t="s">
        <v>37</v>
      </c>
      <c r="AB412" t="s">
        <v>52</v>
      </c>
      <c r="AC412" t="s">
        <v>53</v>
      </c>
      <c r="AD412" t="s">
        <v>54</v>
      </c>
      <c r="AE412">
        <v>17.287028875299999</v>
      </c>
      <c r="AF412">
        <v>2028</v>
      </c>
      <c r="AG412">
        <v>2027.5229065000001</v>
      </c>
      <c r="AH412">
        <v>172873.079807</v>
      </c>
      <c r="AI412">
        <v>42</v>
      </c>
      <c r="AJ412">
        <v>128217.416940579</v>
      </c>
      <c r="AK412" s="1">
        <f>intersection_ss_Lnight___surface[[#This Row],[surf m2 bout ss]]/intersection_ss_Lnight___surface[[#This Row],[Shape_Area]]</f>
        <v>0.74168527039446663</v>
      </c>
      <c r="AL412">
        <v>3594</v>
      </c>
      <c r="AM412">
        <f>intersection_ss_Lnight___surface[[#This Row],[Population totale 2024 ss]]*intersection_ss_Lnight___surface[[#This Row],[Part de la surface du qs dans le noise contour]]</f>
        <v>2665.6168617977132</v>
      </c>
    </row>
    <row r="413" spans="1:39" x14ac:dyDescent="0.3">
      <c r="A413">
        <v>425</v>
      </c>
      <c r="B413" t="s">
        <v>1162</v>
      </c>
      <c r="C413" t="s">
        <v>1163</v>
      </c>
      <c r="D413" t="s">
        <v>1164</v>
      </c>
      <c r="E413" t="s">
        <v>1164</v>
      </c>
      <c r="F413" t="s">
        <v>1161</v>
      </c>
      <c r="G413" t="s">
        <v>1079</v>
      </c>
      <c r="H413" t="s">
        <v>1080</v>
      </c>
      <c r="I413" t="s">
        <v>1081</v>
      </c>
      <c r="J413" t="s">
        <v>36</v>
      </c>
      <c r="K413">
        <v>21015</v>
      </c>
      <c r="L413" t="s">
        <v>1082</v>
      </c>
      <c r="M413" t="s">
        <v>1083</v>
      </c>
      <c r="N413" t="s">
        <v>1083</v>
      </c>
      <c r="O413">
        <v>21000</v>
      </c>
      <c r="P413" t="s">
        <v>46</v>
      </c>
      <c r="Q413" t="s">
        <v>47</v>
      </c>
      <c r="R413" t="s">
        <v>48</v>
      </c>
      <c r="T413" t="s">
        <v>36</v>
      </c>
      <c r="U413" t="s">
        <v>36</v>
      </c>
      <c r="V413" t="s">
        <v>36</v>
      </c>
      <c r="W413">
        <v>4000</v>
      </c>
      <c r="X413" t="s">
        <v>49</v>
      </c>
      <c r="Y413" t="s">
        <v>50</v>
      </c>
      <c r="Z413" t="s">
        <v>51</v>
      </c>
      <c r="AA413" t="s">
        <v>37</v>
      </c>
      <c r="AB413" t="s">
        <v>52</v>
      </c>
      <c r="AC413" t="s">
        <v>53</v>
      </c>
      <c r="AD413" t="s">
        <v>54</v>
      </c>
      <c r="AE413">
        <v>16.7741664212</v>
      </c>
      <c r="AF413">
        <v>1850</v>
      </c>
      <c r="AG413">
        <v>1849.96800117</v>
      </c>
      <c r="AH413">
        <v>167744.354074</v>
      </c>
      <c r="AI413">
        <v>42</v>
      </c>
      <c r="AJ413">
        <v>167760.141674299</v>
      </c>
      <c r="AK413" s="1">
        <f>intersection_ss_Lnight___surface[[#This Row],[surf m2 bout ss]]/intersection_ss_Lnight___surface[[#This Row],[Shape_Area]]</f>
        <v>1.0000941170293698</v>
      </c>
      <c r="AL413">
        <v>3416</v>
      </c>
      <c r="AM413">
        <f>intersection_ss_Lnight___surface[[#This Row],[Population totale 2024 ss]]*intersection_ss_Lnight___surface[[#This Row],[Part de la surface du qs dans le noise contour]]</f>
        <v>3416.3215037723271</v>
      </c>
    </row>
    <row r="414" spans="1:39" x14ac:dyDescent="0.3">
      <c r="A414">
        <v>426</v>
      </c>
      <c r="B414" t="s">
        <v>1165</v>
      </c>
      <c r="C414" t="s">
        <v>1166</v>
      </c>
      <c r="D414" t="s">
        <v>1167</v>
      </c>
      <c r="E414" t="s">
        <v>1167</v>
      </c>
      <c r="F414" t="s">
        <v>1161</v>
      </c>
      <c r="G414" t="s">
        <v>1079</v>
      </c>
      <c r="H414" t="s">
        <v>1080</v>
      </c>
      <c r="I414" t="s">
        <v>1081</v>
      </c>
      <c r="J414" t="s">
        <v>36</v>
      </c>
      <c r="K414">
        <v>21015</v>
      </c>
      <c r="L414" t="s">
        <v>1082</v>
      </c>
      <c r="M414" t="s">
        <v>1083</v>
      </c>
      <c r="N414" t="s">
        <v>1083</v>
      </c>
      <c r="O414">
        <v>21000</v>
      </c>
      <c r="P414" t="s">
        <v>46</v>
      </c>
      <c r="Q414" t="s">
        <v>47</v>
      </c>
      <c r="R414" t="s">
        <v>48</v>
      </c>
      <c r="T414" t="s">
        <v>36</v>
      </c>
      <c r="U414" t="s">
        <v>36</v>
      </c>
      <c r="V414" t="s">
        <v>36</v>
      </c>
      <c r="W414">
        <v>4000</v>
      </c>
      <c r="X414" t="s">
        <v>49</v>
      </c>
      <c r="Y414" t="s">
        <v>50</v>
      </c>
      <c r="Z414" t="s">
        <v>51</v>
      </c>
      <c r="AA414" t="s">
        <v>37</v>
      </c>
      <c r="AB414" t="s">
        <v>52</v>
      </c>
      <c r="AC414" t="s">
        <v>53</v>
      </c>
      <c r="AD414" t="s">
        <v>54</v>
      </c>
      <c r="AE414">
        <v>8.8923599445499999</v>
      </c>
      <c r="AF414">
        <v>1488</v>
      </c>
      <c r="AG414">
        <v>1487.9869981899999</v>
      </c>
      <c r="AH414">
        <v>88925.035369899997</v>
      </c>
      <c r="AI414">
        <v>40</v>
      </c>
      <c r="AJ414">
        <v>10318.270273476801</v>
      </c>
      <c r="AK414" s="1">
        <f>intersection_ss_Lnight___surface[[#This Row],[surf m2 bout ss]]/intersection_ss_Lnight___surface[[#This Row],[Shape_Area]]</f>
        <v>0.11603335585480583</v>
      </c>
      <c r="AL414">
        <v>1805</v>
      </c>
      <c r="AM414">
        <f>intersection_ss_Lnight___surface[[#This Row],[Population totale 2024 ss]]*intersection_ss_Lnight___surface[[#This Row],[Part de la surface du qs dans le noise contour]]</f>
        <v>209.44020731792452</v>
      </c>
    </row>
    <row r="415" spans="1:39" x14ac:dyDescent="0.3">
      <c r="A415">
        <v>427</v>
      </c>
      <c r="B415" t="s">
        <v>1165</v>
      </c>
      <c r="C415" t="s">
        <v>1166</v>
      </c>
      <c r="D415" t="s">
        <v>1167</v>
      </c>
      <c r="E415" t="s">
        <v>1167</v>
      </c>
      <c r="F415" t="s">
        <v>1161</v>
      </c>
      <c r="G415" t="s">
        <v>1079</v>
      </c>
      <c r="H415" t="s">
        <v>1080</v>
      </c>
      <c r="I415" t="s">
        <v>1081</v>
      </c>
      <c r="J415" t="s">
        <v>36</v>
      </c>
      <c r="K415">
        <v>21015</v>
      </c>
      <c r="L415" t="s">
        <v>1082</v>
      </c>
      <c r="M415" t="s">
        <v>1083</v>
      </c>
      <c r="N415" t="s">
        <v>1083</v>
      </c>
      <c r="O415">
        <v>21000</v>
      </c>
      <c r="P415" t="s">
        <v>46</v>
      </c>
      <c r="Q415" t="s">
        <v>47</v>
      </c>
      <c r="R415" t="s">
        <v>48</v>
      </c>
      <c r="T415" t="s">
        <v>36</v>
      </c>
      <c r="U415" t="s">
        <v>36</v>
      </c>
      <c r="V415" t="s">
        <v>36</v>
      </c>
      <c r="W415">
        <v>4000</v>
      </c>
      <c r="X415" t="s">
        <v>49</v>
      </c>
      <c r="Y415" t="s">
        <v>50</v>
      </c>
      <c r="Z415" t="s">
        <v>51</v>
      </c>
      <c r="AA415" t="s">
        <v>37</v>
      </c>
      <c r="AB415" t="s">
        <v>52</v>
      </c>
      <c r="AC415" t="s">
        <v>53</v>
      </c>
      <c r="AD415" t="s">
        <v>54</v>
      </c>
      <c r="AE415">
        <v>8.8923599445499999</v>
      </c>
      <c r="AF415">
        <v>1488</v>
      </c>
      <c r="AG415">
        <v>1487.9869981899999</v>
      </c>
      <c r="AH415">
        <v>88925.035369899997</v>
      </c>
      <c r="AI415">
        <v>41</v>
      </c>
      <c r="AJ415">
        <v>58461.636775091101</v>
      </c>
      <c r="AK415" s="1">
        <f>intersection_ss_Lnight___surface[[#This Row],[surf m2 bout ss]]/intersection_ss_Lnight___surface[[#This Row],[Shape_Area]]</f>
        <v>0.65742607278039533</v>
      </c>
      <c r="AL415">
        <v>1805</v>
      </c>
      <c r="AM415">
        <f>intersection_ss_Lnight___surface[[#This Row],[Population totale 2024 ss]]*intersection_ss_Lnight___surface[[#This Row],[Part de la surface du qs dans le noise contour]]</f>
        <v>1186.6540613686136</v>
      </c>
    </row>
    <row r="416" spans="1:39" x14ac:dyDescent="0.3">
      <c r="A416">
        <v>428</v>
      </c>
      <c r="B416" t="s">
        <v>1165</v>
      </c>
      <c r="C416" t="s">
        <v>1166</v>
      </c>
      <c r="D416" t="s">
        <v>1167</v>
      </c>
      <c r="E416" t="s">
        <v>1167</v>
      </c>
      <c r="F416" t="s">
        <v>1161</v>
      </c>
      <c r="G416" t="s">
        <v>1079</v>
      </c>
      <c r="H416" t="s">
        <v>1080</v>
      </c>
      <c r="I416" t="s">
        <v>1081</v>
      </c>
      <c r="J416" t="s">
        <v>36</v>
      </c>
      <c r="K416">
        <v>21015</v>
      </c>
      <c r="L416" t="s">
        <v>1082</v>
      </c>
      <c r="M416" t="s">
        <v>1083</v>
      </c>
      <c r="N416" t="s">
        <v>1083</v>
      </c>
      <c r="O416">
        <v>21000</v>
      </c>
      <c r="P416" t="s">
        <v>46</v>
      </c>
      <c r="Q416" t="s">
        <v>47</v>
      </c>
      <c r="R416" t="s">
        <v>48</v>
      </c>
      <c r="T416" t="s">
        <v>36</v>
      </c>
      <c r="U416" t="s">
        <v>36</v>
      </c>
      <c r="V416" t="s">
        <v>36</v>
      </c>
      <c r="W416">
        <v>4000</v>
      </c>
      <c r="X416" t="s">
        <v>49</v>
      </c>
      <c r="Y416" t="s">
        <v>50</v>
      </c>
      <c r="Z416" t="s">
        <v>51</v>
      </c>
      <c r="AA416" t="s">
        <v>37</v>
      </c>
      <c r="AB416" t="s">
        <v>52</v>
      </c>
      <c r="AC416" t="s">
        <v>53</v>
      </c>
      <c r="AD416" t="s">
        <v>54</v>
      </c>
      <c r="AE416">
        <v>8.8923599445499999</v>
      </c>
      <c r="AF416">
        <v>1488</v>
      </c>
      <c r="AG416">
        <v>1487.9869981899999</v>
      </c>
      <c r="AH416">
        <v>88925.035369899997</v>
      </c>
      <c r="AI416">
        <v>42</v>
      </c>
      <c r="AJ416">
        <v>20153.639417392202</v>
      </c>
      <c r="AK416" s="1">
        <f>intersection_ss_Lnight___surface[[#This Row],[surf m2 bout ss]]/intersection_ss_Lnight___surface[[#This Row],[Shape_Area]]</f>
        <v>0.22663628227483343</v>
      </c>
      <c r="AL416">
        <v>1805</v>
      </c>
      <c r="AM416">
        <f>intersection_ss_Lnight___surface[[#This Row],[Population totale 2024 ss]]*intersection_ss_Lnight___surface[[#This Row],[Part de la surface du qs dans le noise contour]]</f>
        <v>409.07848950607433</v>
      </c>
    </row>
    <row r="417" spans="1:39" x14ac:dyDescent="0.3">
      <c r="A417">
        <v>429</v>
      </c>
      <c r="B417" t="s">
        <v>1168</v>
      </c>
      <c r="C417" t="s">
        <v>1169</v>
      </c>
      <c r="D417" t="s">
        <v>1170</v>
      </c>
      <c r="E417" t="s">
        <v>1170</v>
      </c>
      <c r="F417" t="s">
        <v>1161</v>
      </c>
      <c r="G417" t="s">
        <v>1079</v>
      </c>
      <c r="H417" t="s">
        <v>1080</v>
      </c>
      <c r="I417" t="s">
        <v>1081</v>
      </c>
      <c r="J417" t="s">
        <v>36</v>
      </c>
      <c r="K417">
        <v>21015</v>
      </c>
      <c r="L417" t="s">
        <v>1082</v>
      </c>
      <c r="M417" t="s">
        <v>1083</v>
      </c>
      <c r="N417" t="s">
        <v>1083</v>
      </c>
      <c r="O417">
        <v>21000</v>
      </c>
      <c r="P417" t="s">
        <v>46</v>
      </c>
      <c r="Q417" t="s">
        <v>47</v>
      </c>
      <c r="R417" t="s">
        <v>48</v>
      </c>
      <c r="T417" t="s">
        <v>36</v>
      </c>
      <c r="U417" t="s">
        <v>36</v>
      </c>
      <c r="V417" t="s">
        <v>36</v>
      </c>
      <c r="W417">
        <v>4000</v>
      </c>
      <c r="X417" t="s">
        <v>49</v>
      </c>
      <c r="Y417" t="s">
        <v>50</v>
      </c>
      <c r="Z417" t="s">
        <v>51</v>
      </c>
      <c r="AA417" t="s">
        <v>37</v>
      </c>
      <c r="AB417" t="s">
        <v>52</v>
      </c>
      <c r="AC417" t="s">
        <v>53</v>
      </c>
      <c r="AD417" t="s">
        <v>54</v>
      </c>
      <c r="AE417">
        <v>19.801078533399998</v>
      </c>
      <c r="AF417">
        <v>1997</v>
      </c>
      <c r="AG417">
        <v>1996.6737167000001</v>
      </c>
      <c r="AH417">
        <v>198013.96574399999</v>
      </c>
      <c r="AI417">
        <v>41</v>
      </c>
      <c r="AJ417">
        <v>1503.8884870708</v>
      </c>
      <c r="AK417" s="1">
        <f>intersection_ss_Lnight___surface[[#This Row],[surf m2 bout ss]]/intersection_ss_Lnight___surface[[#This Row],[Shape_Area]]</f>
        <v>7.5948607029823565E-3</v>
      </c>
      <c r="AL417">
        <v>1767</v>
      </c>
      <c r="AM417">
        <f>intersection_ss_Lnight___surface[[#This Row],[Population totale 2024 ss]]*intersection_ss_Lnight___surface[[#This Row],[Part de la surface du qs dans le noise contour]]</f>
        <v>13.420118862169824</v>
      </c>
    </row>
    <row r="418" spans="1:39" x14ac:dyDescent="0.3">
      <c r="A418">
        <v>430</v>
      </c>
      <c r="B418" t="s">
        <v>1168</v>
      </c>
      <c r="C418" t="s">
        <v>1169</v>
      </c>
      <c r="D418" t="s">
        <v>1170</v>
      </c>
      <c r="E418" t="s">
        <v>1170</v>
      </c>
      <c r="F418" t="s">
        <v>1161</v>
      </c>
      <c r="G418" t="s">
        <v>1079</v>
      </c>
      <c r="H418" t="s">
        <v>1080</v>
      </c>
      <c r="I418" t="s">
        <v>1081</v>
      </c>
      <c r="J418" t="s">
        <v>36</v>
      </c>
      <c r="K418">
        <v>21015</v>
      </c>
      <c r="L418" t="s">
        <v>1082</v>
      </c>
      <c r="M418" t="s">
        <v>1083</v>
      </c>
      <c r="N418" t="s">
        <v>1083</v>
      </c>
      <c r="O418">
        <v>21000</v>
      </c>
      <c r="P418" t="s">
        <v>46</v>
      </c>
      <c r="Q418" t="s">
        <v>47</v>
      </c>
      <c r="R418" t="s">
        <v>48</v>
      </c>
      <c r="T418" t="s">
        <v>36</v>
      </c>
      <c r="U418" t="s">
        <v>36</v>
      </c>
      <c r="V418" t="s">
        <v>36</v>
      </c>
      <c r="W418">
        <v>4000</v>
      </c>
      <c r="X418" t="s">
        <v>49</v>
      </c>
      <c r="Y418" t="s">
        <v>50</v>
      </c>
      <c r="Z418" t="s">
        <v>51</v>
      </c>
      <c r="AA418" t="s">
        <v>37</v>
      </c>
      <c r="AB418" t="s">
        <v>52</v>
      </c>
      <c r="AC418" t="s">
        <v>53</v>
      </c>
      <c r="AD418" t="s">
        <v>54</v>
      </c>
      <c r="AE418">
        <v>19.801078533399998</v>
      </c>
      <c r="AF418">
        <v>1997</v>
      </c>
      <c r="AG418">
        <v>1996.6737167000001</v>
      </c>
      <c r="AH418">
        <v>198013.96574399999</v>
      </c>
      <c r="AI418">
        <v>42</v>
      </c>
      <c r="AJ418">
        <v>196528.92117991301</v>
      </c>
      <c r="AK418" s="1">
        <f>intersection_ss_Lnight___surface[[#This Row],[surf m2 bout ss]]/intersection_ss_Lnight___surface[[#This Row],[Shape_Area]]</f>
        <v>0.99250030391287203</v>
      </c>
      <c r="AL418">
        <v>1767</v>
      </c>
      <c r="AM418">
        <f>intersection_ss_Lnight___surface[[#This Row],[Population totale 2024 ss]]*intersection_ss_Lnight___surface[[#This Row],[Part de la surface du qs dans le noise contour]]</f>
        <v>1753.7480370140449</v>
      </c>
    </row>
    <row r="419" spans="1:39" x14ac:dyDescent="0.3">
      <c r="A419">
        <v>431</v>
      </c>
      <c r="B419" t="s">
        <v>1171</v>
      </c>
      <c r="C419" t="s">
        <v>1172</v>
      </c>
      <c r="D419" t="s">
        <v>1173</v>
      </c>
      <c r="E419" t="s">
        <v>1173</v>
      </c>
      <c r="F419" t="s">
        <v>1161</v>
      </c>
      <c r="G419" t="s">
        <v>1079</v>
      </c>
      <c r="H419" t="s">
        <v>1080</v>
      </c>
      <c r="I419" t="s">
        <v>1081</v>
      </c>
      <c r="J419" t="s">
        <v>36</v>
      </c>
      <c r="K419">
        <v>21015</v>
      </c>
      <c r="L419" t="s">
        <v>1082</v>
      </c>
      <c r="M419" t="s">
        <v>1083</v>
      </c>
      <c r="N419" t="s">
        <v>1083</v>
      </c>
      <c r="O419">
        <v>21000</v>
      </c>
      <c r="P419" t="s">
        <v>46</v>
      </c>
      <c r="Q419" t="s">
        <v>47</v>
      </c>
      <c r="R419" t="s">
        <v>48</v>
      </c>
      <c r="T419" t="s">
        <v>36</v>
      </c>
      <c r="U419" t="s">
        <v>36</v>
      </c>
      <c r="V419" t="s">
        <v>36</v>
      </c>
      <c r="W419">
        <v>4000</v>
      </c>
      <c r="X419" t="s">
        <v>49</v>
      </c>
      <c r="Y419" t="s">
        <v>50</v>
      </c>
      <c r="Z419" t="s">
        <v>51</v>
      </c>
      <c r="AA419" t="s">
        <v>37</v>
      </c>
      <c r="AB419" t="s">
        <v>52</v>
      </c>
      <c r="AC419" t="s">
        <v>53</v>
      </c>
      <c r="AD419" t="s">
        <v>54</v>
      </c>
      <c r="AE419">
        <v>15.4961632666</v>
      </c>
      <c r="AF419">
        <v>1754</v>
      </c>
      <c r="AG419">
        <v>1754.17067653</v>
      </c>
      <c r="AH419">
        <v>154964.13486699999</v>
      </c>
      <c r="AI419">
        <v>42</v>
      </c>
      <c r="AJ419">
        <v>154978.70235293801</v>
      </c>
      <c r="AK419" s="1">
        <f>intersection_ss_Lnight___surface[[#This Row],[surf m2 bout ss]]/intersection_ss_Lnight___surface[[#This Row],[Shape_Area]]</f>
        <v>1.0000940055319931</v>
      </c>
      <c r="AL419">
        <v>3694</v>
      </c>
      <c r="AM419">
        <f>intersection_ss_Lnight___surface[[#This Row],[Population totale 2024 ss]]*intersection_ss_Lnight___surface[[#This Row],[Part de la surface du qs dans le noise contour]]</f>
        <v>3694.3472564351828</v>
      </c>
    </row>
    <row r="420" spans="1:39" x14ac:dyDescent="0.3">
      <c r="A420">
        <v>432</v>
      </c>
      <c r="B420" t="s">
        <v>1174</v>
      </c>
      <c r="C420" t="s">
        <v>1175</v>
      </c>
      <c r="D420" t="s">
        <v>1176</v>
      </c>
      <c r="E420" t="s">
        <v>1176</v>
      </c>
      <c r="F420" t="s">
        <v>1161</v>
      </c>
      <c r="G420" t="s">
        <v>1079</v>
      </c>
      <c r="H420" t="s">
        <v>1080</v>
      </c>
      <c r="I420" t="s">
        <v>1081</v>
      </c>
      <c r="J420" t="s">
        <v>36</v>
      </c>
      <c r="K420">
        <v>21015</v>
      </c>
      <c r="L420" t="s">
        <v>1082</v>
      </c>
      <c r="M420" t="s">
        <v>1083</v>
      </c>
      <c r="N420" t="s">
        <v>1083</v>
      </c>
      <c r="O420">
        <v>21000</v>
      </c>
      <c r="P420" t="s">
        <v>46</v>
      </c>
      <c r="Q420" t="s">
        <v>47</v>
      </c>
      <c r="R420" t="s">
        <v>48</v>
      </c>
      <c r="T420" t="s">
        <v>36</v>
      </c>
      <c r="U420" t="s">
        <v>36</v>
      </c>
      <c r="V420" t="s">
        <v>36</v>
      </c>
      <c r="W420">
        <v>4000</v>
      </c>
      <c r="X420" t="s">
        <v>49</v>
      </c>
      <c r="Y420" t="s">
        <v>50</v>
      </c>
      <c r="Z420" t="s">
        <v>51</v>
      </c>
      <c r="AA420" t="s">
        <v>37</v>
      </c>
      <c r="AB420" t="s">
        <v>52</v>
      </c>
      <c r="AC420" t="s">
        <v>53</v>
      </c>
      <c r="AD420" t="s">
        <v>54</v>
      </c>
      <c r="AE420">
        <v>4.8020029199299996</v>
      </c>
      <c r="AF420">
        <v>993</v>
      </c>
      <c r="AG420">
        <v>993.22072457000002</v>
      </c>
      <c r="AH420">
        <v>48020.803281200002</v>
      </c>
      <c r="AI420">
        <v>42</v>
      </c>
      <c r="AJ420">
        <v>48025.289976121901</v>
      </c>
      <c r="AK420" s="1">
        <f>intersection_ss_Lnight___surface[[#This Row],[surf m2 bout ss]]/intersection_ss_Lnight___surface[[#This Row],[Shape_Area]]</f>
        <v>1.0000934323171486</v>
      </c>
      <c r="AL420">
        <v>1529</v>
      </c>
      <c r="AM420">
        <f>intersection_ss_Lnight___surface[[#This Row],[Population totale 2024 ss]]*intersection_ss_Lnight___surface[[#This Row],[Part de la surface du qs dans le noise contour]]</f>
        <v>1529.1428580129202</v>
      </c>
    </row>
    <row r="421" spans="1:39" x14ac:dyDescent="0.3">
      <c r="A421">
        <v>433</v>
      </c>
      <c r="B421" t="s">
        <v>1181</v>
      </c>
      <c r="C421" t="s">
        <v>1182</v>
      </c>
      <c r="D421" t="s">
        <v>1183</v>
      </c>
      <c r="E421" t="s">
        <v>1183</v>
      </c>
      <c r="F421" t="s">
        <v>1180</v>
      </c>
      <c r="G421" t="s">
        <v>1079</v>
      </c>
      <c r="H421" t="s">
        <v>1080</v>
      </c>
      <c r="I421" t="s">
        <v>1081</v>
      </c>
      <c r="J421" t="s">
        <v>36</v>
      </c>
      <c r="K421">
        <v>21015</v>
      </c>
      <c r="L421" t="s">
        <v>1082</v>
      </c>
      <c r="M421" t="s">
        <v>1083</v>
      </c>
      <c r="N421" t="s">
        <v>1083</v>
      </c>
      <c r="O421">
        <v>21000</v>
      </c>
      <c r="P421" t="s">
        <v>46</v>
      </c>
      <c r="Q421" t="s">
        <v>47</v>
      </c>
      <c r="R421" t="s">
        <v>48</v>
      </c>
      <c r="T421" t="s">
        <v>36</v>
      </c>
      <c r="U421" t="s">
        <v>36</v>
      </c>
      <c r="V421" t="s">
        <v>36</v>
      </c>
      <c r="W421">
        <v>4000</v>
      </c>
      <c r="X421" t="s">
        <v>49</v>
      </c>
      <c r="Y421" t="s">
        <v>50</v>
      </c>
      <c r="Z421" t="s">
        <v>51</v>
      </c>
      <c r="AA421" t="s">
        <v>37</v>
      </c>
      <c r="AB421" t="s">
        <v>52</v>
      </c>
      <c r="AC421" t="s">
        <v>53</v>
      </c>
      <c r="AD421" t="s">
        <v>54</v>
      </c>
      <c r="AE421">
        <v>15.747530103200001</v>
      </c>
      <c r="AF421">
        <v>1710</v>
      </c>
      <c r="AG421">
        <v>1710.4796744800001</v>
      </c>
      <c r="AH421">
        <v>157477.85107599999</v>
      </c>
      <c r="AI421">
        <v>40</v>
      </c>
      <c r="AJ421">
        <v>56142.784733722001</v>
      </c>
      <c r="AK421" s="1">
        <f>intersection_ss_Lnight___surface[[#This Row],[surf m2 bout ss]]/intersection_ss_Lnight___surface[[#This Row],[Shape_Area]]</f>
        <v>0.35651226093139327</v>
      </c>
      <c r="AL421">
        <v>1778</v>
      </c>
      <c r="AM421">
        <f>intersection_ss_Lnight___surface[[#This Row],[Population totale 2024 ss]]*intersection_ss_Lnight___surface[[#This Row],[Part de la surface du qs dans le noise contour]]</f>
        <v>633.87879993601723</v>
      </c>
    </row>
    <row r="422" spans="1:39" x14ac:dyDescent="0.3">
      <c r="A422">
        <v>434</v>
      </c>
      <c r="B422" t="s">
        <v>1190</v>
      </c>
      <c r="C422" t="s">
        <v>1191</v>
      </c>
      <c r="D422" t="s">
        <v>1192</v>
      </c>
      <c r="E422" t="s">
        <v>1192</v>
      </c>
      <c r="F422" t="s">
        <v>1180</v>
      </c>
      <c r="G422" t="s">
        <v>1079</v>
      </c>
      <c r="H422" t="s">
        <v>1080</v>
      </c>
      <c r="I422" t="s">
        <v>1081</v>
      </c>
      <c r="J422" t="s">
        <v>36</v>
      </c>
      <c r="K422">
        <v>21015</v>
      </c>
      <c r="L422" t="s">
        <v>1082</v>
      </c>
      <c r="M422" t="s">
        <v>1083</v>
      </c>
      <c r="N422" t="s">
        <v>1083</v>
      </c>
      <c r="O422">
        <v>21000</v>
      </c>
      <c r="P422" t="s">
        <v>46</v>
      </c>
      <c r="Q422" t="s">
        <v>47</v>
      </c>
      <c r="R422" t="s">
        <v>48</v>
      </c>
      <c r="T422" t="s">
        <v>36</v>
      </c>
      <c r="U422" t="s">
        <v>36</v>
      </c>
      <c r="V422" t="s">
        <v>36</v>
      </c>
      <c r="W422">
        <v>4000</v>
      </c>
      <c r="X422" t="s">
        <v>49</v>
      </c>
      <c r="Y422" t="s">
        <v>50</v>
      </c>
      <c r="Z422" t="s">
        <v>51</v>
      </c>
      <c r="AA422" t="s">
        <v>37</v>
      </c>
      <c r="AB422" t="s">
        <v>52</v>
      </c>
      <c r="AC422" t="s">
        <v>53</v>
      </c>
      <c r="AD422" t="s">
        <v>54</v>
      </c>
      <c r="AE422">
        <v>24.141655185000001</v>
      </c>
      <c r="AF422">
        <v>2343</v>
      </c>
      <c r="AG422">
        <v>2342.8915831200002</v>
      </c>
      <c r="AH422">
        <v>241420.43637499999</v>
      </c>
      <c r="AI422">
        <v>40</v>
      </c>
      <c r="AJ422">
        <v>28029.5292989714</v>
      </c>
      <c r="AK422" s="1">
        <f>intersection_ss_Lnight___surface[[#This Row],[surf m2 bout ss]]/intersection_ss_Lnight___surface[[#This Row],[Shape_Area]]</f>
        <v>0.11610255419898646</v>
      </c>
      <c r="AL422">
        <v>5055</v>
      </c>
      <c r="AM422">
        <f>intersection_ss_Lnight___surface[[#This Row],[Population totale 2024 ss]]*intersection_ss_Lnight___surface[[#This Row],[Part de la surface du qs dans le noise contour]]</f>
        <v>586.89841147587651</v>
      </c>
    </row>
    <row r="423" spans="1:39" x14ac:dyDescent="0.3">
      <c r="A423">
        <v>435</v>
      </c>
      <c r="B423" t="s">
        <v>1193</v>
      </c>
      <c r="C423" t="s">
        <v>1194</v>
      </c>
      <c r="D423" t="s">
        <v>1195</v>
      </c>
      <c r="E423" t="s">
        <v>1195</v>
      </c>
      <c r="F423" t="s">
        <v>1196</v>
      </c>
      <c r="G423" t="s">
        <v>1079</v>
      </c>
      <c r="H423" t="s">
        <v>1080</v>
      </c>
      <c r="I423" t="s">
        <v>1081</v>
      </c>
      <c r="J423" t="s">
        <v>36</v>
      </c>
      <c r="K423">
        <v>21015</v>
      </c>
      <c r="L423" t="s">
        <v>1082</v>
      </c>
      <c r="M423" t="s">
        <v>1083</v>
      </c>
      <c r="N423" t="s">
        <v>1083</v>
      </c>
      <c r="O423">
        <v>21000</v>
      </c>
      <c r="P423" t="s">
        <v>46</v>
      </c>
      <c r="Q423" t="s">
        <v>47</v>
      </c>
      <c r="R423" t="s">
        <v>48</v>
      </c>
      <c r="T423" t="s">
        <v>36</v>
      </c>
      <c r="U423" t="s">
        <v>36</v>
      </c>
      <c r="V423" t="s">
        <v>36</v>
      </c>
      <c r="W423">
        <v>4000</v>
      </c>
      <c r="X423" t="s">
        <v>49</v>
      </c>
      <c r="Y423" t="s">
        <v>50</v>
      </c>
      <c r="Z423" t="s">
        <v>51</v>
      </c>
      <c r="AA423" t="s">
        <v>37</v>
      </c>
      <c r="AB423" t="s">
        <v>52</v>
      </c>
      <c r="AC423" t="s">
        <v>53</v>
      </c>
      <c r="AD423" t="s">
        <v>54</v>
      </c>
      <c r="AE423">
        <v>13.665942915800001</v>
      </c>
      <c r="AF423">
        <v>1770</v>
      </c>
      <c r="AG423">
        <v>1769.90625411</v>
      </c>
      <c r="AH423">
        <v>136661.63813199999</v>
      </c>
      <c r="AI423">
        <v>41</v>
      </c>
      <c r="AJ423">
        <v>1364.25456131995</v>
      </c>
      <c r="AK423" s="1">
        <f>intersection_ss_Lnight___surface[[#This Row],[surf m2 bout ss]]/intersection_ss_Lnight___surface[[#This Row],[Shape_Area]]</f>
        <v>9.9827177543578925E-3</v>
      </c>
      <c r="AL423">
        <v>4124</v>
      </c>
      <c r="AM423">
        <f>intersection_ss_Lnight___surface[[#This Row],[Population totale 2024 ss]]*intersection_ss_Lnight___surface[[#This Row],[Part de la surface du qs dans le noise contour]]</f>
        <v>41.168728018971947</v>
      </c>
    </row>
    <row r="424" spans="1:39" x14ac:dyDescent="0.3">
      <c r="A424">
        <v>436</v>
      </c>
      <c r="B424" t="s">
        <v>1193</v>
      </c>
      <c r="C424" t="s">
        <v>1194</v>
      </c>
      <c r="D424" t="s">
        <v>1195</v>
      </c>
      <c r="E424" t="s">
        <v>1195</v>
      </c>
      <c r="F424" t="s">
        <v>1196</v>
      </c>
      <c r="G424" t="s">
        <v>1079</v>
      </c>
      <c r="H424" t="s">
        <v>1080</v>
      </c>
      <c r="I424" t="s">
        <v>1081</v>
      </c>
      <c r="J424" t="s">
        <v>36</v>
      </c>
      <c r="K424">
        <v>21015</v>
      </c>
      <c r="L424" t="s">
        <v>1082</v>
      </c>
      <c r="M424" t="s">
        <v>1083</v>
      </c>
      <c r="N424" t="s">
        <v>1083</v>
      </c>
      <c r="O424">
        <v>21000</v>
      </c>
      <c r="P424" t="s">
        <v>46</v>
      </c>
      <c r="Q424" t="s">
        <v>47</v>
      </c>
      <c r="R424" t="s">
        <v>48</v>
      </c>
      <c r="T424" t="s">
        <v>36</v>
      </c>
      <c r="U424" t="s">
        <v>36</v>
      </c>
      <c r="V424" t="s">
        <v>36</v>
      </c>
      <c r="W424">
        <v>4000</v>
      </c>
      <c r="X424" t="s">
        <v>49</v>
      </c>
      <c r="Y424" t="s">
        <v>50</v>
      </c>
      <c r="Z424" t="s">
        <v>51</v>
      </c>
      <c r="AA424" t="s">
        <v>37</v>
      </c>
      <c r="AB424" t="s">
        <v>52</v>
      </c>
      <c r="AC424" t="s">
        <v>53</v>
      </c>
      <c r="AD424" t="s">
        <v>54</v>
      </c>
      <c r="AE424">
        <v>13.665942915800001</v>
      </c>
      <c r="AF424">
        <v>1770</v>
      </c>
      <c r="AG424">
        <v>1769.90625411</v>
      </c>
      <c r="AH424">
        <v>136661.63813199999</v>
      </c>
      <c r="AI424">
        <v>42</v>
      </c>
      <c r="AJ424">
        <v>135310.33678811</v>
      </c>
      <c r="AK424" s="1">
        <f>intersection_ss_Lnight___surface[[#This Row],[surf m2 bout ss]]/intersection_ss_Lnight___surface[[#This Row],[Shape_Area]]</f>
        <v>0.99011206537283869</v>
      </c>
      <c r="AL424">
        <v>4124</v>
      </c>
      <c r="AM424">
        <f>intersection_ss_Lnight___surface[[#This Row],[Population totale 2024 ss]]*intersection_ss_Lnight___surface[[#This Row],[Part de la surface du qs dans le noise contour]]</f>
        <v>4083.2221575975868</v>
      </c>
    </row>
    <row r="425" spans="1:39" x14ac:dyDescent="0.3">
      <c r="A425">
        <v>437</v>
      </c>
      <c r="B425" t="s">
        <v>1197</v>
      </c>
      <c r="C425" t="s">
        <v>1198</v>
      </c>
      <c r="D425" t="s">
        <v>1198</v>
      </c>
      <c r="E425" t="s">
        <v>1198</v>
      </c>
      <c r="F425" t="s">
        <v>1196</v>
      </c>
      <c r="G425" t="s">
        <v>1079</v>
      </c>
      <c r="H425" t="s">
        <v>1080</v>
      </c>
      <c r="I425" t="s">
        <v>1081</v>
      </c>
      <c r="J425" t="s">
        <v>36</v>
      </c>
      <c r="K425">
        <v>21015</v>
      </c>
      <c r="L425" t="s">
        <v>1082</v>
      </c>
      <c r="M425" t="s">
        <v>1083</v>
      </c>
      <c r="N425" t="s">
        <v>1083</v>
      </c>
      <c r="O425">
        <v>21000</v>
      </c>
      <c r="P425" t="s">
        <v>46</v>
      </c>
      <c r="Q425" t="s">
        <v>47</v>
      </c>
      <c r="R425" t="s">
        <v>48</v>
      </c>
      <c r="T425" t="s">
        <v>36</v>
      </c>
      <c r="U425" t="s">
        <v>36</v>
      </c>
      <c r="V425" t="s">
        <v>36</v>
      </c>
      <c r="W425">
        <v>4000</v>
      </c>
      <c r="X425" t="s">
        <v>49</v>
      </c>
      <c r="Y425" t="s">
        <v>50</v>
      </c>
      <c r="Z425" t="s">
        <v>51</v>
      </c>
      <c r="AA425" t="s">
        <v>37</v>
      </c>
      <c r="AB425" t="s">
        <v>52</v>
      </c>
      <c r="AC425" t="s">
        <v>53</v>
      </c>
      <c r="AD425" t="s">
        <v>54</v>
      </c>
      <c r="AE425">
        <v>6.7102021298199999</v>
      </c>
      <c r="AF425">
        <v>1317</v>
      </c>
      <c r="AG425">
        <v>1317.4202156599999</v>
      </c>
      <c r="AH425">
        <v>67103.107887100006</v>
      </c>
      <c r="AI425">
        <v>41</v>
      </c>
      <c r="AJ425">
        <v>634.84109970647796</v>
      </c>
      <c r="AK425" s="1">
        <f>intersection_ss_Lnight___surface[[#This Row],[surf m2 bout ss]]/intersection_ss_Lnight___surface[[#This Row],[Shape_Area]]</f>
        <v>9.4606810279873887E-3</v>
      </c>
      <c r="AL425">
        <v>953</v>
      </c>
      <c r="AM425">
        <f>intersection_ss_Lnight___surface[[#This Row],[Population totale 2024 ss]]*intersection_ss_Lnight___surface[[#This Row],[Part de la surface du qs dans le noise contour]]</f>
        <v>9.016029019671981</v>
      </c>
    </row>
    <row r="426" spans="1:39" x14ac:dyDescent="0.3">
      <c r="A426">
        <v>438</v>
      </c>
      <c r="B426" t="s">
        <v>1197</v>
      </c>
      <c r="C426" t="s">
        <v>1198</v>
      </c>
      <c r="D426" t="s">
        <v>1198</v>
      </c>
      <c r="E426" t="s">
        <v>1198</v>
      </c>
      <c r="F426" t="s">
        <v>1196</v>
      </c>
      <c r="G426" t="s">
        <v>1079</v>
      </c>
      <c r="H426" t="s">
        <v>1080</v>
      </c>
      <c r="I426" t="s">
        <v>1081</v>
      </c>
      <c r="J426" t="s">
        <v>36</v>
      </c>
      <c r="K426">
        <v>21015</v>
      </c>
      <c r="L426" t="s">
        <v>1082</v>
      </c>
      <c r="M426" t="s">
        <v>1083</v>
      </c>
      <c r="N426" t="s">
        <v>1083</v>
      </c>
      <c r="O426">
        <v>21000</v>
      </c>
      <c r="P426" t="s">
        <v>46</v>
      </c>
      <c r="Q426" t="s">
        <v>47</v>
      </c>
      <c r="R426" t="s">
        <v>48</v>
      </c>
      <c r="T426" t="s">
        <v>36</v>
      </c>
      <c r="U426" t="s">
        <v>36</v>
      </c>
      <c r="V426" t="s">
        <v>36</v>
      </c>
      <c r="W426">
        <v>4000</v>
      </c>
      <c r="X426" t="s">
        <v>49</v>
      </c>
      <c r="Y426" t="s">
        <v>50</v>
      </c>
      <c r="Z426" t="s">
        <v>51</v>
      </c>
      <c r="AA426" t="s">
        <v>37</v>
      </c>
      <c r="AB426" t="s">
        <v>52</v>
      </c>
      <c r="AC426" t="s">
        <v>53</v>
      </c>
      <c r="AD426" t="s">
        <v>54</v>
      </c>
      <c r="AE426">
        <v>6.7102021298199999</v>
      </c>
      <c r="AF426">
        <v>1317</v>
      </c>
      <c r="AG426">
        <v>1317.4202156599999</v>
      </c>
      <c r="AH426">
        <v>67103.107887100006</v>
      </c>
      <c r="AI426">
        <v>42</v>
      </c>
      <c r="AJ426">
        <v>44210.499861252501</v>
      </c>
      <c r="AK426" s="1">
        <f>intersection_ss_Lnight___surface[[#This Row],[surf m2 bout ss]]/intersection_ss_Lnight___surface[[#This Row],[Shape_Area]]</f>
        <v>0.65884429579083015</v>
      </c>
      <c r="AL426">
        <v>953</v>
      </c>
      <c r="AM426">
        <f>intersection_ss_Lnight___surface[[#This Row],[Population totale 2024 ss]]*intersection_ss_Lnight___surface[[#This Row],[Part de la surface du qs dans le noise contour]]</f>
        <v>627.87861388866111</v>
      </c>
    </row>
    <row r="427" spans="1:39" x14ac:dyDescent="0.3">
      <c r="A427">
        <v>439</v>
      </c>
      <c r="B427" t="s">
        <v>1197</v>
      </c>
      <c r="C427" t="s">
        <v>1198</v>
      </c>
      <c r="D427" t="s">
        <v>1198</v>
      </c>
      <c r="E427" t="s">
        <v>1198</v>
      </c>
      <c r="F427" t="s">
        <v>1196</v>
      </c>
      <c r="G427" t="s">
        <v>1079</v>
      </c>
      <c r="H427" t="s">
        <v>1080</v>
      </c>
      <c r="I427" t="s">
        <v>1081</v>
      </c>
      <c r="J427" t="s">
        <v>36</v>
      </c>
      <c r="K427">
        <v>21015</v>
      </c>
      <c r="L427" t="s">
        <v>1082</v>
      </c>
      <c r="M427" t="s">
        <v>1083</v>
      </c>
      <c r="N427" t="s">
        <v>1083</v>
      </c>
      <c r="O427">
        <v>21000</v>
      </c>
      <c r="P427" t="s">
        <v>46</v>
      </c>
      <c r="Q427" t="s">
        <v>47</v>
      </c>
      <c r="R427" t="s">
        <v>48</v>
      </c>
      <c r="T427" t="s">
        <v>36</v>
      </c>
      <c r="U427" t="s">
        <v>36</v>
      </c>
      <c r="V427" t="s">
        <v>36</v>
      </c>
      <c r="W427">
        <v>4000</v>
      </c>
      <c r="X427" t="s">
        <v>49</v>
      </c>
      <c r="Y427" t="s">
        <v>50</v>
      </c>
      <c r="Z427" t="s">
        <v>51</v>
      </c>
      <c r="AA427" t="s">
        <v>37</v>
      </c>
      <c r="AB427" t="s">
        <v>52</v>
      </c>
      <c r="AC427" t="s">
        <v>53</v>
      </c>
      <c r="AD427" t="s">
        <v>54</v>
      </c>
      <c r="AE427">
        <v>6.7102021298199999</v>
      </c>
      <c r="AF427">
        <v>1317</v>
      </c>
      <c r="AG427">
        <v>1317.4202156599999</v>
      </c>
      <c r="AH427">
        <v>67103.107887100006</v>
      </c>
      <c r="AI427">
        <v>43</v>
      </c>
      <c r="AJ427">
        <v>22264.1190499</v>
      </c>
      <c r="AK427" s="1">
        <f>intersection_ss_Lnight___surface[[#This Row],[surf m2 bout ss]]/intersection_ss_Lnight___surface[[#This Row],[Shape_Area]]</f>
        <v>0.33178968532067177</v>
      </c>
      <c r="AL427">
        <v>953</v>
      </c>
      <c r="AM427">
        <f>intersection_ss_Lnight___surface[[#This Row],[Population totale 2024 ss]]*intersection_ss_Lnight___surface[[#This Row],[Part de la surface du qs dans le noise contour]]</f>
        <v>316.19557011060022</v>
      </c>
    </row>
    <row r="428" spans="1:39" x14ac:dyDescent="0.3">
      <c r="A428">
        <v>440</v>
      </c>
      <c r="B428" t="s">
        <v>1199</v>
      </c>
      <c r="C428" t="s">
        <v>1200</v>
      </c>
      <c r="D428" t="s">
        <v>1201</v>
      </c>
      <c r="E428" t="s">
        <v>1201</v>
      </c>
      <c r="F428" t="s">
        <v>1196</v>
      </c>
      <c r="G428" t="s">
        <v>1079</v>
      </c>
      <c r="H428" t="s">
        <v>1080</v>
      </c>
      <c r="I428" t="s">
        <v>1081</v>
      </c>
      <c r="J428" t="s">
        <v>36</v>
      </c>
      <c r="K428">
        <v>21015</v>
      </c>
      <c r="L428" t="s">
        <v>1082</v>
      </c>
      <c r="M428" t="s">
        <v>1083</v>
      </c>
      <c r="N428" t="s">
        <v>1083</v>
      </c>
      <c r="O428">
        <v>21000</v>
      </c>
      <c r="P428" t="s">
        <v>46</v>
      </c>
      <c r="Q428" t="s">
        <v>47</v>
      </c>
      <c r="R428" t="s">
        <v>48</v>
      </c>
      <c r="T428" t="s">
        <v>36</v>
      </c>
      <c r="U428" t="s">
        <v>36</v>
      </c>
      <c r="V428" t="s">
        <v>36</v>
      </c>
      <c r="W428">
        <v>4000</v>
      </c>
      <c r="X428" t="s">
        <v>49</v>
      </c>
      <c r="Y428" t="s">
        <v>50</v>
      </c>
      <c r="Z428" t="s">
        <v>51</v>
      </c>
      <c r="AA428" t="s">
        <v>37</v>
      </c>
      <c r="AB428" t="s">
        <v>52</v>
      </c>
      <c r="AC428" t="s">
        <v>53</v>
      </c>
      <c r="AD428" t="s">
        <v>54</v>
      </c>
      <c r="AE428">
        <v>8.5843871196899997</v>
      </c>
      <c r="AF428">
        <v>1260</v>
      </c>
      <c r="AG428">
        <v>1259.85625289</v>
      </c>
      <c r="AH428">
        <v>85845.264895600005</v>
      </c>
      <c r="AI428">
        <v>40</v>
      </c>
      <c r="AJ428">
        <v>52101.474656881801</v>
      </c>
      <c r="AK428" s="1">
        <f>intersection_ss_Lnight___surface[[#This Row],[surf m2 bout ss]]/intersection_ss_Lnight___surface[[#This Row],[Shape_Area]]</f>
        <v>0.60692310426491858</v>
      </c>
      <c r="AL428">
        <v>1779</v>
      </c>
      <c r="AM428">
        <f>intersection_ss_Lnight___surface[[#This Row],[Population totale 2024 ss]]*intersection_ss_Lnight___surface[[#This Row],[Part de la surface du qs dans le noise contour]]</f>
        <v>1079.71620248729</v>
      </c>
    </row>
    <row r="429" spans="1:39" x14ac:dyDescent="0.3">
      <c r="A429">
        <v>441</v>
      </c>
      <c r="B429" t="s">
        <v>1199</v>
      </c>
      <c r="C429" t="s">
        <v>1200</v>
      </c>
      <c r="D429" t="s">
        <v>1201</v>
      </c>
      <c r="E429" t="s">
        <v>1201</v>
      </c>
      <c r="F429" t="s">
        <v>1196</v>
      </c>
      <c r="G429" t="s">
        <v>1079</v>
      </c>
      <c r="H429" t="s">
        <v>1080</v>
      </c>
      <c r="I429" t="s">
        <v>1081</v>
      </c>
      <c r="J429" t="s">
        <v>36</v>
      </c>
      <c r="K429">
        <v>21015</v>
      </c>
      <c r="L429" t="s">
        <v>1082</v>
      </c>
      <c r="M429" t="s">
        <v>1083</v>
      </c>
      <c r="N429" t="s">
        <v>1083</v>
      </c>
      <c r="O429">
        <v>21000</v>
      </c>
      <c r="P429" t="s">
        <v>46</v>
      </c>
      <c r="Q429" t="s">
        <v>47</v>
      </c>
      <c r="R429" t="s">
        <v>48</v>
      </c>
      <c r="T429" t="s">
        <v>36</v>
      </c>
      <c r="U429" t="s">
        <v>36</v>
      </c>
      <c r="V429" t="s">
        <v>36</v>
      </c>
      <c r="W429">
        <v>4000</v>
      </c>
      <c r="X429" t="s">
        <v>49</v>
      </c>
      <c r="Y429" t="s">
        <v>50</v>
      </c>
      <c r="Z429" t="s">
        <v>51</v>
      </c>
      <c r="AA429" t="s">
        <v>37</v>
      </c>
      <c r="AB429" t="s">
        <v>52</v>
      </c>
      <c r="AC429" t="s">
        <v>53</v>
      </c>
      <c r="AD429" t="s">
        <v>54</v>
      </c>
      <c r="AE429">
        <v>8.5843871196899997</v>
      </c>
      <c r="AF429">
        <v>1260</v>
      </c>
      <c r="AG429">
        <v>1259.85625289</v>
      </c>
      <c r="AH429">
        <v>85845.264895600005</v>
      </c>
      <c r="AI429">
        <v>41</v>
      </c>
      <c r="AJ429">
        <v>32802.621511960402</v>
      </c>
      <c r="AK429" s="1">
        <f>intersection_ss_Lnight___surface[[#This Row],[surf m2 bout ss]]/intersection_ss_Lnight___surface[[#This Row],[Shape_Area]]</f>
        <v>0.3821133472166815</v>
      </c>
      <c r="AL429">
        <v>1779</v>
      </c>
      <c r="AM429">
        <f>intersection_ss_Lnight___surface[[#This Row],[Population totale 2024 ss]]*intersection_ss_Lnight___surface[[#This Row],[Part de la surface du qs dans le noise contour]]</f>
        <v>679.77964469847643</v>
      </c>
    </row>
    <row r="430" spans="1:39" x14ac:dyDescent="0.3">
      <c r="A430">
        <v>442</v>
      </c>
      <c r="B430" t="s">
        <v>1199</v>
      </c>
      <c r="C430" t="s">
        <v>1200</v>
      </c>
      <c r="D430" t="s">
        <v>1201</v>
      </c>
      <c r="E430" t="s">
        <v>1201</v>
      </c>
      <c r="F430" t="s">
        <v>1196</v>
      </c>
      <c r="G430" t="s">
        <v>1079</v>
      </c>
      <c r="H430" t="s">
        <v>1080</v>
      </c>
      <c r="I430" t="s">
        <v>1081</v>
      </c>
      <c r="J430" t="s">
        <v>36</v>
      </c>
      <c r="K430">
        <v>21015</v>
      </c>
      <c r="L430" t="s">
        <v>1082</v>
      </c>
      <c r="M430" t="s">
        <v>1083</v>
      </c>
      <c r="N430" t="s">
        <v>1083</v>
      </c>
      <c r="O430">
        <v>21000</v>
      </c>
      <c r="P430" t="s">
        <v>46</v>
      </c>
      <c r="Q430" t="s">
        <v>47</v>
      </c>
      <c r="R430" t="s">
        <v>48</v>
      </c>
      <c r="T430" t="s">
        <v>36</v>
      </c>
      <c r="U430" t="s">
        <v>36</v>
      </c>
      <c r="V430" t="s">
        <v>36</v>
      </c>
      <c r="W430">
        <v>4000</v>
      </c>
      <c r="X430" t="s">
        <v>49</v>
      </c>
      <c r="Y430" t="s">
        <v>50</v>
      </c>
      <c r="Z430" t="s">
        <v>51</v>
      </c>
      <c r="AA430" t="s">
        <v>37</v>
      </c>
      <c r="AB430" t="s">
        <v>52</v>
      </c>
      <c r="AC430" t="s">
        <v>53</v>
      </c>
      <c r="AD430" t="s">
        <v>54</v>
      </c>
      <c r="AE430">
        <v>8.5843871196899997</v>
      </c>
      <c r="AF430">
        <v>1260</v>
      </c>
      <c r="AG430">
        <v>1259.85625289</v>
      </c>
      <c r="AH430">
        <v>85845.264895600005</v>
      </c>
      <c r="AI430">
        <v>42</v>
      </c>
      <c r="AJ430">
        <v>0.18835585564374899</v>
      </c>
      <c r="AK430" s="1">
        <f>intersection_ss_Lnight___surface[[#This Row],[surf m2 bout ss]]/intersection_ss_Lnight___surface[[#This Row],[Shape_Area]]</f>
        <v>2.1941321501286806E-6</v>
      </c>
      <c r="AL430">
        <v>1779</v>
      </c>
      <c r="AM430">
        <f>intersection_ss_Lnight___surface[[#This Row],[Population totale 2024 ss]]*intersection_ss_Lnight___surface[[#This Row],[Part de la surface du qs dans le noise contour]]</f>
        <v>3.9033610950789228E-3</v>
      </c>
    </row>
    <row r="431" spans="1:39" x14ac:dyDescent="0.3">
      <c r="A431">
        <v>443</v>
      </c>
      <c r="B431" t="s">
        <v>1202</v>
      </c>
      <c r="C431" t="s">
        <v>1203</v>
      </c>
      <c r="D431" t="s">
        <v>1203</v>
      </c>
      <c r="E431" t="s">
        <v>1203</v>
      </c>
      <c r="F431" t="s">
        <v>1196</v>
      </c>
      <c r="G431" t="s">
        <v>1079</v>
      </c>
      <c r="H431" t="s">
        <v>1080</v>
      </c>
      <c r="I431" t="s">
        <v>1081</v>
      </c>
      <c r="J431" t="s">
        <v>36</v>
      </c>
      <c r="K431">
        <v>21015</v>
      </c>
      <c r="L431" t="s">
        <v>1082</v>
      </c>
      <c r="M431" t="s">
        <v>1083</v>
      </c>
      <c r="N431" t="s">
        <v>1083</v>
      </c>
      <c r="O431">
        <v>21000</v>
      </c>
      <c r="P431" t="s">
        <v>46</v>
      </c>
      <c r="Q431" t="s">
        <v>47</v>
      </c>
      <c r="R431" t="s">
        <v>48</v>
      </c>
      <c r="T431" t="s">
        <v>36</v>
      </c>
      <c r="U431" t="s">
        <v>36</v>
      </c>
      <c r="V431" t="s">
        <v>36</v>
      </c>
      <c r="W431">
        <v>4000</v>
      </c>
      <c r="X431" t="s">
        <v>49</v>
      </c>
      <c r="Y431" t="s">
        <v>50</v>
      </c>
      <c r="Z431" t="s">
        <v>51</v>
      </c>
      <c r="AA431" t="s">
        <v>37</v>
      </c>
      <c r="AB431" t="s">
        <v>52</v>
      </c>
      <c r="AC431" t="s">
        <v>53</v>
      </c>
      <c r="AD431" t="s">
        <v>54</v>
      </c>
      <c r="AE431">
        <v>12.2686701484</v>
      </c>
      <c r="AF431">
        <v>1570</v>
      </c>
      <c r="AG431">
        <v>1569.8383781099999</v>
      </c>
      <c r="AH431">
        <v>122688.66933</v>
      </c>
      <c r="AI431">
        <v>40</v>
      </c>
      <c r="AJ431">
        <v>6255.9878786690497</v>
      </c>
      <c r="AK431" s="1">
        <f>intersection_ss_Lnight___surface[[#This Row],[surf m2 bout ss]]/intersection_ss_Lnight___surface[[#This Row],[Shape_Area]]</f>
        <v>5.0990754996633803E-2</v>
      </c>
      <c r="AL431">
        <v>2904</v>
      </c>
      <c r="AM431">
        <f>intersection_ss_Lnight___surface[[#This Row],[Population totale 2024 ss]]*intersection_ss_Lnight___surface[[#This Row],[Part de la surface du qs dans le noise contour]]</f>
        <v>148.07715251022455</v>
      </c>
    </row>
    <row r="432" spans="1:39" x14ac:dyDescent="0.3">
      <c r="A432">
        <v>444</v>
      </c>
      <c r="B432" t="s">
        <v>1204</v>
      </c>
      <c r="C432" t="s">
        <v>1205</v>
      </c>
      <c r="D432" t="s">
        <v>1206</v>
      </c>
      <c r="E432" t="s">
        <v>1206</v>
      </c>
      <c r="F432" t="s">
        <v>1207</v>
      </c>
      <c r="G432" t="s">
        <v>1079</v>
      </c>
      <c r="H432" t="s">
        <v>1080</v>
      </c>
      <c r="I432" t="s">
        <v>1081</v>
      </c>
      <c r="J432" t="s">
        <v>36</v>
      </c>
      <c r="K432">
        <v>21015</v>
      </c>
      <c r="L432" t="s">
        <v>1082</v>
      </c>
      <c r="M432" t="s">
        <v>1083</v>
      </c>
      <c r="N432" t="s">
        <v>1083</v>
      </c>
      <c r="O432">
        <v>21000</v>
      </c>
      <c r="P432" t="s">
        <v>46</v>
      </c>
      <c r="Q432" t="s">
        <v>47</v>
      </c>
      <c r="R432" t="s">
        <v>48</v>
      </c>
      <c r="T432" t="s">
        <v>36</v>
      </c>
      <c r="U432" t="s">
        <v>36</v>
      </c>
      <c r="V432" t="s">
        <v>36</v>
      </c>
      <c r="W432">
        <v>4000</v>
      </c>
      <c r="X432" t="s">
        <v>49</v>
      </c>
      <c r="Y432" t="s">
        <v>50</v>
      </c>
      <c r="Z432" t="s">
        <v>51</v>
      </c>
      <c r="AA432" t="s">
        <v>37</v>
      </c>
      <c r="AB432" t="s">
        <v>52</v>
      </c>
      <c r="AC432" t="s">
        <v>53</v>
      </c>
      <c r="AD432" t="s">
        <v>54</v>
      </c>
      <c r="AE432">
        <v>8.5325561067399995</v>
      </c>
      <c r="AF432">
        <v>1361</v>
      </c>
      <c r="AG432">
        <v>1361.1957489199999</v>
      </c>
      <c r="AH432">
        <v>85326.936488299994</v>
      </c>
      <c r="AI432">
        <v>40</v>
      </c>
      <c r="AJ432">
        <v>25085.523289324701</v>
      </c>
      <c r="AK432" s="1">
        <f>intersection_ss_Lnight___surface[[#This Row],[surf m2 bout ss]]/intersection_ss_Lnight___surface[[#This Row],[Shape_Area]]</f>
        <v>0.29399301465328503</v>
      </c>
      <c r="AL432">
        <v>1878</v>
      </c>
      <c r="AM432">
        <f>intersection_ss_Lnight___surface[[#This Row],[Population totale 2024 ss]]*intersection_ss_Lnight___surface[[#This Row],[Part de la surface du qs dans le noise contour]]</f>
        <v>552.11888151886933</v>
      </c>
    </row>
    <row r="433" spans="1:39" x14ac:dyDescent="0.3">
      <c r="A433">
        <v>445</v>
      </c>
      <c r="B433" t="s">
        <v>1204</v>
      </c>
      <c r="C433" t="s">
        <v>1205</v>
      </c>
      <c r="D433" t="s">
        <v>1206</v>
      </c>
      <c r="E433" t="s">
        <v>1206</v>
      </c>
      <c r="F433" t="s">
        <v>1207</v>
      </c>
      <c r="G433" t="s">
        <v>1079</v>
      </c>
      <c r="H433" t="s">
        <v>1080</v>
      </c>
      <c r="I433" t="s">
        <v>1081</v>
      </c>
      <c r="J433" t="s">
        <v>36</v>
      </c>
      <c r="K433">
        <v>21015</v>
      </c>
      <c r="L433" t="s">
        <v>1082</v>
      </c>
      <c r="M433" t="s">
        <v>1083</v>
      </c>
      <c r="N433" t="s">
        <v>1083</v>
      </c>
      <c r="O433">
        <v>21000</v>
      </c>
      <c r="P433" t="s">
        <v>46</v>
      </c>
      <c r="Q433" t="s">
        <v>47</v>
      </c>
      <c r="R433" t="s">
        <v>48</v>
      </c>
      <c r="T433" t="s">
        <v>36</v>
      </c>
      <c r="U433" t="s">
        <v>36</v>
      </c>
      <c r="V433" t="s">
        <v>36</v>
      </c>
      <c r="W433">
        <v>4000</v>
      </c>
      <c r="X433" t="s">
        <v>49</v>
      </c>
      <c r="Y433" t="s">
        <v>50</v>
      </c>
      <c r="Z433" t="s">
        <v>51</v>
      </c>
      <c r="AA433" t="s">
        <v>37</v>
      </c>
      <c r="AB433" t="s">
        <v>52</v>
      </c>
      <c r="AC433" t="s">
        <v>53</v>
      </c>
      <c r="AD433" t="s">
        <v>54</v>
      </c>
      <c r="AE433">
        <v>8.5325561067399995</v>
      </c>
      <c r="AF433">
        <v>1361</v>
      </c>
      <c r="AG433">
        <v>1361.1957489199999</v>
      </c>
      <c r="AH433">
        <v>85326.936488299994</v>
      </c>
      <c r="AI433">
        <v>41</v>
      </c>
      <c r="AJ433">
        <v>60249.640645796397</v>
      </c>
      <c r="AK433" s="1">
        <f>intersection_ss_Lnight___surface[[#This Row],[surf m2 bout ss]]/intersection_ss_Lnight___surface[[#This Row],[Shape_Area]]</f>
        <v>0.70610340796728133</v>
      </c>
      <c r="AL433">
        <v>1878</v>
      </c>
      <c r="AM433">
        <f>intersection_ss_Lnight___surface[[#This Row],[Population totale 2024 ss]]*intersection_ss_Lnight___surface[[#This Row],[Part de la surface du qs dans le noise contour]]</f>
        <v>1326.0622001625543</v>
      </c>
    </row>
    <row r="434" spans="1:39" x14ac:dyDescent="0.3">
      <c r="A434">
        <v>446</v>
      </c>
      <c r="B434" t="s">
        <v>1208</v>
      </c>
      <c r="C434" t="s">
        <v>1209</v>
      </c>
      <c r="D434" t="s">
        <v>1210</v>
      </c>
      <c r="E434" t="s">
        <v>1210</v>
      </c>
      <c r="F434" t="s">
        <v>1207</v>
      </c>
      <c r="G434" t="s">
        <v>1079</v>
      </c>
      <c r="H434" t="s">
        <v>1080</v>
      </c>
      <c r="I434" t="s">
        <v>1081</v>
      </c>
      <c r="J434" t="s">
        <v>36</v>
      </c>
      <c r="K434">
        <v>21015</v>
      </c>
      <c r="L434" t="s">
        <v>1082</v>
      </c>
      <c r="M434" t="s">
        <v>1083</v>
      </c>
      <c r="N434" t="s">
        <v>1083</v>
      </c>
      <c r="O434">
        <v>21000</v>
      </c>
      <c r="P434" t="s">
        <v>46</v>
      </c>
      <c r="Q434" t="s">
        <v>47</v>
      </c>
      <c r="R434" t="s">
        <v>48</v>
      </c>
      <c r="T434" t="s">
        <v>36</v>
      </c>
      <c r="U434" t="s">
        <v>36</v>
      </c>
      <c r="V434" t="s">
        <v>36</v>
      </c>
      <c r="W434">
        <v>4000</v>
      </c>
      <c r="X434" t="s">
        <v>49</v>
      </c>
      <c r="Y434" t="s">
        <v>50</v>
      </c>
      <c r="Z434" t="s">
        <v>51</v>
      </c>
      <c r="AA434" t="s">
        <v>37</v>
      </c>
      <c r="AB434" t="s">
        <v>52</v>
      </c>
      <c r="AC434" t="s">
        <v>53</v>
      </c>
      <c r="AD434" t="s">
        <v>54</v>
      </c>
      <c r="AE434">
        <v>12.3867071365</v>
      </c>
      <c r="AF434">
        <v>2377</v>
      </c>
      <c r="AG434">
        <v>2376.7617924000001</v>
      </c>
      <c r="AH434">
        <v>123869.053451</v>
      </c>
      <c r="AI434">
        <v>40</v>
      </c>
      <c r="AJ434">
        <v>247.21103927493101</v>
      </c>
      <c r="AK434" s="1">
        <f>intersection_ss_Lnight___surface[[#This Row],[surf m2 bout ss]]/intersection_ss_Lnight___surface[[#This Row],[Shape_Area]]</f>
        <v>1.9957449612119827E-3</v>
      </c>
      <c r="AL434">
        <v>1637</v>
      </c>
      <c r="AM434">
        <f>intersection_ss_Lnight___surface[[#This Row],[Population totale 2024 ss]]*intersection_ss_Lnight___surface[[#This Row],[Part de la surface du qs dans le noise contour]]</f>
        <v>3.2670345015040154</v>
      </c>
    </row>
    <row r="435" spans="1:39" x14ac:dyDescent="0.3">
      <c r="A435">
        <v>447</v>
      </c>
      <c r="B435" t="s">
        <v>1208</v>
      </c>
      <c r="C435" t="s">
        <v>1209</v>
      </c>
      <c r="D435" t="s">
        <v>1210</v>
      </c>
      <c r="E435" t="s">
        <v>1210</v>
      </c>
      <c r="F435" t="s">
        <v>1207</v>
      </c>
      <c r="G435" t="s">
        <v>1079</v>
      </c>
      <c r="H435" t="s">
        <v>1080</v>
      </c>
      <c r="I435" t="s">
        <v>1081</v>
      </c>
      <c r="J435" t="s">
        <v>36</v>
      </c>
      <c r="K435">
        <v>21015</v>
      </c>
      <c r="L435" t="s">
        <v>1082</v>
      </c>
      <c r="M435" t="s">
        <v>1083</v>
      </c>
      <c r="N435" t="s">
        <v>1083</v>
      </c>
      <c r="O435">
        <v>21000</v>
      </c>
      <c r="P435" t="s">
        <v>46</v>
      </c>
      <c r="Q435" t="s">
        <v>47</v>
      </c>
      <c r="R435" t="s">
        <v>48</v>
      </c>
      <c r="T435" t="s">
        <v>36</v>
      </c>
      <c r="U435" t="s">
        <v>36</v>
      </c>
      <c r="V435" t="s">
        <v>36</v>
      </c>
      <c r="W435">
        <v>4000</v>
      </c>
      <c r="X435" t="s">
        <v>49</v>
      </c>
      <c r="Y435" t="s">
        <v>50</v>
      </c>
      <c r="Z435" t="s">
        <v>51</v>
      </c>
      <c r="AA435" t="s">
        <v>37</v>
      </c>
      <c r="AB435" t="s">
        <v>52</v>
      </c>
      <c r="AC435" t="s">
        <v>53</v>
      </c>
      <c r="AD435" t="s">
        <v>54</v>
      </c>
      <c r="AE435">
        <v>12.3867071365</v>
      </c>
      <c r="AF435">
        <v>2377</v>
      </c>
      <c r="AG435">
        <v>2376.7617924000001</v>
      </c>
      <c r="AH435">
        <v>123869.053451</v>
      </c>
      <c r="AI435">
        <v>41</v>
      </c>
      <c r="AJ435">
        <v>74922.6760439426</v>
      </c>
      <c r="AK435" s="1">
        <f>intersection_ss_Lnight___surface[[#This Row],[surf m2 bout ss]]/intersection_ss_Lnight___surface[[#This Row],[Shape_Area]]</f>
        <v>0.60485386750436776</v>
      </c>
      <c r="AL435">
        <v>1637</v>
      </c>
      <c r="AM435">
        <f>intersection_ss_Lnight___surface[[#This Row],[Population totale 2024 ss]]*intersection_ss_Lnight___surface[[#This Row],[Part de la surface du qs dans le noise contour]]</f>
        <v>990.14578110465004</v>
      </c>
    </row>
    <row r="436" spans="1:39" x14ac:dyDescent="0.3">
      <c r="A436">
        <v>448</v>
      </c>
      <c r="B436" t="s">
        <v>1208</v>
      </c>
      <c r="C436" t="s">
        <v>1209</v>
      </c>
      <c r="D436" t="s">
        <v>1210</v>
      </c>
      <c r="E436" t="s">
        <v>1210</v>
      </c>
      <c r="F436" t="s">
        <v>1207</v>
      </c>
      <c r="G436" t="s">
        <v>1079</v>
      </c>
      <c r="H436" t="s">
        <v>1080</v>
      </c>
      <c r="I436" t="s">
        <v>1081</v>
      </c>
      <c r="J436" t="s">
        <v>36</v>
      </c>
      <c r="K436">
        <v>21015</v>
      </c>
      <c r="L436" t="s">
        <v>1082</v>
      </c>
      <c r="M436" t="s">
        <v>1083</v>
      </c>
      <c r="N436" t="s">
        <v>1083</v>
      </c>
      <c r="O436">
        <v>21000</v>
      </c>
      <c r="P436" t="s">
        <v>46</v>
      </c>
      <c r="Q436" t="s">
        <v>47</v>
      </c>
      <c r="R436" t="s">
        <v>48</v>
      </c>
      <c r="T436" t="s">
        <v>36</v>
      </c>
      <c r="U436" t="s">
        <v>36</v>
      </c>
      <c r="V436" t="s">
        <v>36</v>
      </c>
      <c r="W436">
        <v>4000</v>
      </c>
      <c r="X436" t="s">
        <v>49</v>
      </c>
      <c r="Y436" t="s">
        <v>50</v>
      </c>
      <c r="Z436" t="s">
        <v>51</v>
      </c>
      <c r="AA436" t="s">
        <v>37</v>
      </c>
      <c r="AB436" t="s">
        <v>52</v>
      </c>
      <c r="AC436" t="s">
        <v>53</v>
      </c>
      <c r="AD436" t="s">
        <v>54</v>
      </c>
      <c r="AE436">
        <v>12.3867071365</v>
      </c>
      <c r="AF436">
        <v>2377</v>
      </c>
      <c r="AG436">
        <v>2376.7617924000001</v>
      </c>
      <c r="AH436">
        <v>123869.053451</v>
      </c>
      <c r="AI436">
        <v>42</v>
      </c>
      <c r="AJ436">
        <v>47496.6312819831</v>
      </c>
      <c r="AK436" s="1">
        <f>intersection_ss_Lnight___surface[[#This Row],[surf m2 bout ss]]/intersection_ss_Lnight___surface[[#This Row],[Shape_Area]]</f>
        <v>0.3834422719696633</v>
      </c>
      <c r="AL436">
        <v>1637</v>
      </c>
      <c r="AM436">
        <f>intersection_ss_Lnight___surface[[#This Row],[Population totale 2024 ss]]*intersection_ss_Lnight___surface[[#This Row],[Part de la surface du qs dans le noise contour]]</f>
        <v>627.69499921433885</v>
      </c>
    </row>
    <row r="437" spans="1:39" x14ac:dyDescent="0.3">
      <c r="A437">
        <v>449</v>
      </c>
      <c r="B437" t="s">
        <v>1208</v>
      </c>
      <c r="C437" t="s">
        <v>1209</v>
      </c>
      <c r="D437" t="s">
        <v>1210</v>
      </c>
      <c r="E437" t="s">
        <v>1210</v>
      </c>
      <c r="F437" t="s">
        <v>1207</v>
      </c>
      <c r="G437" t="s">
        <v>1079</v>
      </c>
      <c r="H437" t="s">
        <v>1080</v>
      </c>
      <c r="I437" t="s">
        <v>1081</v>
      </c>
      <c r="J437" t="s">
        <v>36</v>
      </c>
      <c r="K437">
        <v>21015</v>
      </c>
      <c r="L437" t="s">
        <v>1082</v>
      </c>
      <c r="M437" t="s">
        <v>1083</v>
      </c>
      <c r="N437" t="s">
        <v>1083</v>
      </c>
      <c r="O437">
        <v>21000</v>
      </c>
      <c r="P437" t="s">
        <v>46</v>
      </c>
      <c r="Q437" t="s">
        <v>47</v>
      </c>
      <c r="R437" t="s">
        <v>48</v>
      </c>
      <c r="T437" t="s">
        <v>36</v>
      </c>
      <c r="U437" t="s">
        <v>36</v>
      </c>
      <c r="V437" t="s">
        <v>36</v>
      </c>
      <c r="W437">
        <v>4000</v>
      </c>
      <c r="X437" t="s">
        <v>49</v>
      </c>
      <c r="Y437" t="s">
        <v>50</v>
      </c>
      <c r="Z437" t="s">
        <v>51</v>
      </c>
      <c r="AA437" t="s">
        <v>37</v>
      </c>
      <c r="AB437" t="s">
        <v>52</v>
      </c>
      <c r="AC437" t="s">
        <v>53</v>
      </c>
      <c r="AD437" t="s">
        <v>54</v>
      </c>
      <c r="AE437">
        <v>12.3867071365</v>
      </c>
      <c r="AF437">
        <v>2377</v>
      </c>
      <c r="AG437">
        <v>2376.7617924000001</v>
      </c>
      <c r="AH437">
        <v>123869.053451</v>
      </c>
      <c r="AI437">
        <v>43</v>
      </c>
      <c r="AJ437">
        <v>1214.3952230699399</v>
      </c>
      <c r="AK437" s="1">
        <f>intersection_ss_Lnight___surface[[#This Row],[surf m2 bout ss]]/intersection_ss_Lnight___surface[[#This Row],[Shape_Area]]</f>
        <v>9.8038629442690397E-3</v>
      </c>
      <c r="AL437">
        <v>1637</v>
      </c>
      <c r="AM437">
        <f>intersection_ss_Lnight___surface[[#This Row],[Population totale 2024 ss]]*intersection_ss_Lnight___surface[[#This Row],[Part de la surface du qs dans le noise contour]]</f>
        <v>16.048923639768418</v>
      </c>
    </row>
    <row r="438" spans="1:39" x14ac:dyDescent="0.3">
      <c r="A438">
        <v>450</v>
      </c>
      <c r="B438" t="s">
        <v>1211</v>
      </c>
      <c r="C438" t="s">
        <v>1212</v>
      </c>
      <c r="D438" t="s">
        <v>1213</v>
      </c>
      <c r="E438" t="s">
        <v>1213</v>
      </c>
      <c r="F438" t="s">
        <v>1207</v>
      </c>
      <c r="G438" t="s">
        <v>1079</v>
      </c>
      <c r="H438" t="s">
        <v>1080</v>
      </c>
      <c r="I438" t="s">
        <v>1081</v>
      </c>
      <c r="J438" t="s">
        <v>36</v>
      </c>
      <c r="K438">
        <v>21015</v>
      </c>
      <c r="L438" t="s">
        <v>1082</v>
      </c>
      <c r="M438" t="s">
        <v>1083</v>
      </c>
      <c r="N438" t="s">
        <v>1083</v>
      </c>
      <c r="O438">
        <v>21000</v>
      </c>
      <c r="P438" t="s">
        <v>46</v>
      </c>
      <c r="Q438" t="s">
        <v>47</v>
      </c>
      <c r="R438" t="s">
        <v>48</v>
      </c>
      <c r="T438" t="s">
        <v>36</v>
      </c>
      <c r="U438" t="s">
        <v>36</v>
      </c>
      <c r="V438" t="s">
        <v>36</v>
      </c>
      <c r="W438">
        <v>4000</v>
      </c>
      <c r="X438" t="s">
        <v>49</v>
      </c>
      <c r="Y438" t="s">
        <v>50</v>
      </c>
      <c r="Z438" t="s">
        <v>51</v>
      </c>
      <c r="AA438" t="s">
        <v>37</v>
      </c>
      <c r="AB438" t="s">
        <v>52</v>
      </c>
      <c r="AC438" t="s">
        <v>53</v>
      </c>
      <c r="AD438" t="s">
        <v>54</v>
      </c>
      <c r="AE438">
        <v>9.0087096822900001</v>
      </c>
      <c r="AF438">
        <v>1507</v>
      </c>
      <c r="AG438">
        <v>1506.67676822</v>
      </c>
      <c r="AH438">
        <v>90088.557340900006</v>
      </c>
      <c r="AI438">
        <v>41</v>
      </c>
      <c r="AJ438">
        <v>14062.097683595</v>
      </c>
      <c r="AK438" s="1">
        <f>intersection_ss_Lnight___surface[[#This Row],[surf m2 bout ss]]/intersection_ss_Lnight___surface[[#This Row],[Shape_Area]]</f>
        <v>0.15609193996062404</v>
      </c>
      <c r="AL438">
        <v>989</v>
      </c>
      <c r="AM438">
        <f>intersection_ss_Lnight___surface[[#This Row],[Population totale 2024 ss]]*intersection_ss_Lnight___surface[[#This Row],[Part de la surface du qs dans le noise contour]]</f>
        <v>154.37492862105717</v>
      </c>
    </row>
    <row r="439" spans="1:39" x14ac:dyDescent="0.3">
      <c r="A439">
        <v>451</v>
      </c>
      <c r="B439" t="s">
        <v>1211</v>
      </c>
      <c r="C439" t="s">
        <v>1212</v>
      </c>
      <c r="D439" t="s">
        <v>1213</v>
      </c>
      <c r="E439" t="s">
        <v>1213</v>
      </c>
      <c r="F439" t="s">
        <v>1207</v>
      </c>
      <c r="G439" t="s">
        <v>1079</v>
      </c>
      <c r="H439" t="s">
        <v>1080</v>
      </c>
      <c r="I439" t="s">
        <v>1081</v>
      </c>
      <c r="J439" t="s">
        <v>36</v>
      </c>
      <c r="K439">
        <v>21015</v>
      </c>
      <c r="L439" t="s">
        <v>1082</v>
      </c>
      <c r="M439" t="s">
        <v>1083</v>
      </c>
      <c r="N439" t="s">
        <v>1083</v>
      </c>
      <c r="O439">
        <v>21000</v>
      </c>
      <c r="P439" t="s">
        <v>46</v>
      </c>
      <c r="Q439" t="s">
        <v>47</v>
      </c>
      <c r="R439" t="s">
        <v>48</v>
      </c>
      <c r="T439" t="s">
        <v>36</v>
      </c>
      <c r="U439" t="s">
        <v>36</v>
      </c>
      <c r="V439" t="s">
        <v>36</v>
      </c>
      <c r="W439">
        <v>4000</v>
      </c>
      <c r="X439" t="s">
        <v>49</v>
      </c>
      <c r="Y439" t="s">
        <v>50</v>
      </c>
      <c r="Z439" t="s">
        <v>51</v>
      </c>
      <c r="AA439" t="s">
        <v>37</v>
      </c>
      <c r="AB439" t="s">
        <v>52</v>
      </c>
      <c r="AC439" t="s">
        <v>53</v>
      </c>
      <c r="AD439" t="s">
        <v>54</v>
      </c>
      <c r="AE439">
        <v>9.0087096822900001</v>
      </c>
      <c r="AF439">
        <v>1507</v>
      </c>
      <c r="AG439">
        <v>1506.67676822</v>
      </c>
      <c r="AH439">
        <v>90088.557340900006</v>
      </c>
      <c r="AI439">
        <v>42</v>
      </c>
      <c r="AJ439">
        <v>76035.099654800302</v>
      </c>
      <c r="AK439" s="1">
        <f>intersection_ss_Lnight___surface[[#This Row],[surf m2 bout ss]]/intersection_ss_Lnight___surface[[#This Row],[Shape_Area]]</f>
        <v>0.8440039656432653</v>
      </c>
      <c r="AL439">
        <v>989</v>
      </c>
      <c r="AM439">
        <f>intersection_ss_Lnight___surface[[#This Row],[Population totale 2024 ss]]*intersection_ss_Lnight___surface[[#This Row],[Part de la surface du qs dans le noise contour]]</f>
        <v>834.7199220211894</v>
      </c>
    </row>
    <row r="440" spans="1:39" x14ac:dyDescent="0.3">
      <c r="A440">
        <v>452</v>
      </c>
      <c r="B440" t="s">
        <v>1214</v>
      </c>
      <c r="C440" t="s">
        <v>1215</v>
      </c>
      <c r="D440" t="s">
        <v>1216</v>
      </c>
      <c r="E440" t="s">
        <v>1216</v>
      </c>
      <c r="F440" t="s">
        <v>1207</v>
      </c>
      <c r="G440" t="s">
        <v>1079</v>
      </c>
      <c r="H440" t="s">
        <v>1080</v>
      </c>
      <c r="I440" t="s">
        <v>1081</v>
      </c>
      <c r="J440" t="s">
        <v>36</v>
      </c>
      <c r="K440">
        <v>21015</v>
      </c>
      <c r="L440" t="s">
        <v>1082</v>
      </c>
      <c r="M440" t="s">
        <v>1083</v>
      </c>
      <c r="N440" t="s">
        <v>1083</v>
      </c>
      <c r="O440">
        <v>21000</v>
      </c>
      <c r="P440" t="s">
        <v>46</v>
      </c>
      <c r="Q440" t="s">
        <v>47</v>
      </c>
      <c r="R440" t="s">
        <v>48</v>
      </c>
      <c r="T440" t="s">
        <v>36</v>
      </c>
      <c r="U440" t="s">
        <v>36</v>
      </c>
      <c r="V440" t="s">
        <v>36</v>
      </c>
      <c r="W440">
        <v>4000</v>
      </c>
      <c r="X440" t="s">
        <v>49</v>
      </c>
      <c r="Y440" t="s">
        <v>50</v>
      </c>
      <c r="Z440" t="s">
        <v>51</v>
      </c>
      <c r="AA440" t="s">
        <v>37</v>
      </c>
      <c r="AB440" t="s">
        <v>52</v>
      </c>
      <c r="AC440" t="s">
        <v>53</v>
      </c>
      <c r="AD440" t="s">
        <v>54</v>
      </c>
      <c r="AE440">
        <v>11.048045786099999</v>
      </c>
      <c r="AF440">
        <v>1716</v>
      </c>
      <c r="AG440">
        <v>1716.3664403800001</v>
      </c>
      <c r="AH440">
        <v>110482.237807</v>
      </c>
      <c r="AI440">
        <v>40</v>
      </c>
      <c r="AJ440">
        <v>36671.767710312299</v>
      </c>
      <c r="AK440" s="1">
        <f>intersection_ss_Lnight___surface[[#This Row],[surf m2 bout ss]]/intersection_ss_Lnight___surface[[#This Row],[Shape_Area]]</f>
        <v>0.3319245558220294</v>
      </c>
      <c r="AL440">
        <v>1461</v>
      </c>
      <c r="AM440">
        <f>intersection_ss_Lnight___surface[[#This Row],[Population totale 2024 ss]]*intersection_ss_Lnight___surface[[#This Row],[Part de la surface du qs dans le noise contour]]</f>
        <v>484.94177605598497</v>
      </c>
    </row>
    <row r="441" spans="1:39" x14ac:dyDescent="0.3">
      <c r="A441">
        <v>453</v>
      </c>
      <c r="B441" t="s">
        <v>1214</v>
      </c>
      <c r="C441" t="s">
        <v>1215</v>
      </c>
      <c r="D441" t="s">
        <v>1216</v>
      </c>
      <c r="E441" t="s">
        <v>1216</v>
      </c>
      <c r="F441" t="s">
        <v>1207</v>
      </c>
      <c r="G441" t="s">
        <v>1079</v>
      </c>
      <c r="H441" t="s">
        <v>1080</v>
      </c>
      <c r="I441" t="s">
        <v>1081</v>
      </c>
      <c r="J441" t="s">
        <v>36</v>
      </c>
      <c r="K441">
        <v>21015</v>
      </c>
      <c r="L441" t="s">
        <v>1082</v>
      </c>
      <c r="M441" t="s">
        <v>1083</v>
      </c>
      <c r="N441" t="s">
        <v>1083</v>
      </c>
      <c r="O441">
        <v>21000</v>
      </c>
      <c r="P441" t="s">
        <v>46</v>
      </c>
      <c r="Q441" t="s">
        <v>47</v>
      </c>
      <c r="R441" t="s">
        <v>48</v>
      </c>
      <c r="T441" t="s">
        <v>36</v>
      </c>
      <c r="U441" t="s">
        <v>36</v>
      </c>
      <c r="V441" t="s">
        <v>36</v>
      </c>
      <c r="W441">
        <v>4000</v>
      </c>
      <c r="X441" t="s">
        <v>49</v>
      </c>
      <c r="Y441" t="s">
        <v>50</v>
      </c>
      <c r="Z441" t="s">
        <v>51</v>
      </c>
      <c r="AA441" t="s">
        <v>37</v>
      </c>
      <c r="AB441" t="s">
        <v>52</v>
      </c>
      <c r="AC441" t="s">
        <v>53</v>
      </c>
      <c r="AD441" t="s">
        <v>54</v>
      </c>
      <c r="AE441">
        <v>11.048045786099999</v>
      </c>
      <c r="AF441">
        <v>1716</v>
      </c>
      <c r="AG441">
        <v>1716.3664403800001</v>
      </c>
      <c r="AH441">
        <v>110482.237807</v>
      </c>
      <c r="AI441">
        <v>41</v>
      </c>
      <c r="AJ441">
        <v>53857.471376158297</v>
      </c>
      <c r="AK441" s="1">
        <f>intersection_ss_Lnight___surface[[#This Row],[surf m2 bout ss]]/intersection_ss_Lnight___surface[[#This Row],[Shape_Area]]</f>
        <v>0.48747628981086738</v>
      </c>
      <c r="AL441">
        <v>1461</v>
      </c>
      <c r="AM441">
        <f>intersection_ss_Lnight___surface[[#This Row],[Population totale 2024 ss]]*intersection_ss_Lnight___surface[[#This Row],[Part de la surface du qs dans le noise contour]]</f>
        <v>712.20285941367729</v>
      </c>
    </row>
    <row r="442" spans="1:39" x14ac:dyDescent="0.3">
      <c r="A442">
        <v>454</v>
      </c>
      <c r="B442" t="s">
        <v>1214</v>
      </c>
      <c r="C442" t="s">
        <v>1215</v>
      </c>
      <c r="D442" t="s">
        <v>1216</v>
      </c>
      <c r="E442" t="s">
        <v>1216</v>
      </c>
      <c r="F442" t="s">
        <v>1207</v>
      </c>
      <c r="G442" t="s">
        <v>1079</v>
      </c>
      <c r="H442" t="s">
        <v>1080</v>
      </c>
      <c r="I442" t="s">
        <v>1081</v>
      </c>
      <c r="J442" t="s">
        <v>36</v>
      </c>
      <c r="K442">
        <v>21015</v>
      </c>
      <c r="L442" t="s">
        <v>1082</v>
      </c>
      <c r="M442" t="s">
        <v>1083</v>
      </c>
      <c r="N442" t="s">
        <v>1083</v>
      </c>
      <c r="O442">
        <v>21000</v>
      </c>
      <c r="P442" t="s">
        <v>46</v>
      </c>
      <c r="Q442" t="s">
        <v>47</v>
      </c>
      <c r="R442" t="s">
        <v>48</v>
      </c>
      <c r="T442" t="s">
        <v>36</v>
      </c>
      <c r="U442" t="s">
        <v>36</v>
      </c>
      <c r="V442" t="s">
        <v>36</v>
      </c>
      <c r="W442">
        <v>4000</v>
      </c>
      <c r="X442" t="s">
        <v>49</v>
      </c>
      <c r="Y442" t="s">
        <v>50</v>
      </c>
      <c r="Z442" t="s">
        <v>51</v>
      </c>
      <c r="AA442" t="s">
        <v>37</v>
      </c>
      <c r="AB442" t="s">
        <v>52</v>
      </c>
      <c r="AC442" t="s">
        <v>53</v>
      </c>
      <c r="AD442" t="s">
        <v>54</v>
      </c>
      <c r="AE442">
        <v>11.048045786099999</v>
      </c>
      <c r="AF442">
        <v>1716</v>
      </c>
      <c r="AG442">
        <v>1716.3664403800001</v>
      </c>
      <c r="AH442">
        <v>110482.237807</v>
      </c>
      <c r="AI442">
        <v>42</v>
      </c>
      <c r="AJ442">
        <v>19963.687985181299</v>
      </c>
      <c r="AK442" s="1">
        <f>intersection_ss_Lnight___surface[[#This Row],[surf m2 bout ss]]/intersection_ss_Lnight___surface[[#This Row],[Shape_Area]]</f>
        <v>0.18069590534593993</v>
      </c>
      <c r="AL442">
        <v>1461</v>
      </c>
      <c r="AM442">
        <f>intersection_ss_Lnight___surface[[#This Row],[Population totale 2024 ss]]*intersection_ss_Lnight___surface[[#This Row],[Part de la surface du qs dans le noise contour]]</f>
        <v>263.99671771041824</v>
      </c>
    </row>
    <row r="443" spans="1:39" x14ac:dyDescent="0.3">
      <c r="A443">
        <v>455</v>
      </c>
      <c r="B443" t="s">
        <v>1217</v>
      </c>
      <c r="C443" t="s">
        <v>1218</v>
      </c>
      <c r="D443" t="s">
        <v>1219</v>
      </c>
      <c r="E443" t="s">
        <v>1219</v>
      </c>
      <c r="F443" t="s">
        <v>1207</v>
      </c>
      <c r="G443" t="s">
        <v>1079</v>
      </c>
      <c r="H443" t="s">
        <v>1080</v>
      </c>
      <c r="I443" t="s">
        <v>1081</v>
      </c>
      <c r="J443" t="s">
        <v>36</v>
      </c>
      <c r="K443">
        <v>21015</v>
      </c>
      <c r="L443" t="s">
        <v>1082</v>
      </c>
      <c r="M443" t="s">
        <v>1083</v>
      </c>
      <c r="N443" t="s">
        <v>1083</v>
      </c>
      <c r="O443">
        <v>21000</v>
      </c>
      <c r="P443" t="s">
        <v>46</v>
      </c>
      <c r="Q443" t="s">
        <v>47</v>
      </c>
      <c r="R443" t="s">
        <v>48</v>
      </c>
      <c r="T443" t="s">
        <v>36</v>
      </c>
      <c r="U443" t="s">
        <v>36</v>
      </c>
      <c r="V443" t="s">
        <v>36</v>
      </c>
      <c r="W443">
        <v>4000</v>
      </c>
      <c r="X443" t="s">
        <v>49</v>
      </c>
      <c r="Y443" t="s">
        <v>50</v>
      </c>
      <c r="Z443" t="s">
        <v>51</v>
      </c>
      <c r="AA443" t="s">
        <v>37</v>
      </c>
      <c r="AB443" t="s">
        <v>52</v>
      </c>
      <c r="AC443" t="s">
        <v>53</v>
      </c>
      <c r="AD443" t="s">
        <v>54</v>
      </c>
      <c r="AE443">
        <v>48.606326647099998</v>
      </c>
      <c r="AF443">
        <v>3144</v>
      </c>
      <c r="AG443">
        <v>3143.9912109000002</v>
      </c>
      <c r="AH443">
        <v>486071.11758899997</v>
      </c>
      <c r="AI443">
        <v>40</v>
      </c>
      <c r="AJ443">
        <v>190042.5919305</v>
      </c>
      <c r="AK443" s="1">
        <f>intersection_ss_Lnight___surface[[#This Row],[surf m2 bout ss]]/intersection_ss_Lnight___surface[[#This Row],[Shape_Area]]</f>
        <v>0.39097692714832633</v>
      </c>
      <c r="AL443">
        <v>2270</v>
      </c>
      <c r="AM443">
        <f>intersection_ss_Lnight___surface[[#This Row],[Population totale 2024 ss]]*intersection_ss_Lnight___surface[[#This Row],[Part de la surface du qs dans le noise contour]]</f>
        <v>887.51762462670081</v>
      </c>
    </row>
    <row r="444" spans="1:39" x14ac:dyDescent="0.3">
      <c r="A444">
        <v>456</v>
      </c>
      <c r="B444" t="s">
        <v>1217</v>
      </c>
      <c r="C444" t="s">
        <v>1218</v>
      </c>
      <c r="D444" t="s">
        <v>1219</v>
      </c>
      <c r="E444" t="s">
        <v>1219</v>
      </c>
      <c r="F444" t="s">
        <v>1207</v>
      </c>
      <c r="G444" t="s">
        <v>1079</v>
      </c>
      <c r="H444" t="s">
        <v>1080</v>
      </c>
      <c r="I444" t="s">
        <v>1081</v>
      </c>
      <c r="J444" t="s">
        <v>36</v>
      </c>
      <c r="K444">
        <v>21015</v>
      </c>
      <c r="L444" t="s">
        <v>1082</v>
      </c>
      <c r="M444" t="s">
        <v>1083</v>
      </c>
      <c r="N444" t="s">
        <v>1083</v>
      </c>
      <c r="O444">
        <v>21000</v>
      </c>
      <c r="P444" t="s">
        <v>46</v>
      </c>
      <c r="Q444" t="s">
        <v>47</v>
      </c>
      <c r="R444" t="s">
        <v>48</v>
      </c>
      <c r="T444" t="s">
        <v>36</v>
      </c>
      <c r="U444" t="s">
        <v>36</v>
      </c>
      <c r="V444" t="s">
        <v>36</v>
      </c>
      <c r="W444">
        <v>4000</v>
      </c>
      <c r="X444" t="s">
        <v>49</v>
      </c>
      <c r="Y444" t="s">
        <v>50</v>
      </c>
      <c r="Z444" t="s">
        <v>51</v>
      </c>
      <c r="AA444" t="s">
        <v>37</v>
      </c>
      <c r="AB444" t="s">
        <v>52</v>
      </c>
      <c r="AC444" t="s">
        <v>53</v>
      </c>
      <c r="AD444" t="s">
        <v>54</v>
      </c>
      <c r="AE444">
        <v>48.606326647099998</v>
      </c>
      <c r="AF444">
        <v>3144</v>
      </c>
      <c r="AG444">
        <v>3143.9912109000002</v>
      </c>
      <c r="AH444">
        <v>486071.11758899997</v>
      </c>
      <c r="AI444">
        <v>41</v>
      </c>
      <c r="AJ444">
        <v>168845.778298755</v>
      </c>
      <c r="AK444" s="1">
        <f>intersection_ss_Lnight___surface[[#This Row],[surf m2 bout ss]]/intersection_ss_Lnight___surface[[#This Row],[Shape_Area]]</f>
        <v>0.34736846561931178</v>
      </c>
      <c r="AL444">
        <v>2270</v>
      </c>
      <c r="AM444">
        <f>intersection_ss_Lnight___surface[[#This Row],[Population totale 2024 ss]]*intersection_ss_Lnight___surface[[#This Row],[Part de la surface du qs dans le noise contour]]</f>
        <v>788.5264169558377</v>
      </c>
    </row>
    <row r="445" spans="1:39" x14ac:dyDescent="0.3">
      <c r="A445">
        <v>457</v>
      </c>
      <c r="B445" t="s">
        <v>1217</v>
      </c>
      <c r="C445" t="s">
        <v>1218</v>
      </c>
      <c r="D445" t="s">
        <v>1219</v>
      </c>
      <c r="E445" t="s">
        <v>1219</v>
      </c>
      <c r="F445" t="s">
        <v>1207</v>
      </c>
      <c r="G445" t="s">
        <v>1079</v>
      </c>
      <c r="H445" t="s">
        <v>1080</v>
      </c>
      <c r="I445" t="s">
        <v>1081</v>
      </c>
      <c r="J445" t="s">
        <v>36</v>
      </c>
      <c r="K445">
        <v>21015</v>
      </c>
      <c r="L445" t="s">
        <v>1082</v>
      </c>
      <c r="M445" t="s">
        <v>1083</v>
      </c>
      <c r="N445" t="s">
        <v>1083</v>
      </c>
      <c r="O445">
        <v>21000</v>
      </c>
      <c r="P445" t="s">
        <v>46</v>
      </c>
      <c r="Q445" t="s">
        <v>47</v>
      </c>
      <c r="R445" t="s">
        <v>48</v>
      </c>
      <c r="T445" t="s">
        <v>36</v>
      </c>
      <c r="U445" t="s">
        <v>36</v>
      </c>
      <c r="V445" t="s">
        <v>36</v>
      </c>
      <c r="W445">
        <v>4000</v>
      </c>
      <c r="X445" t="s">
        <v>49</v>
      </c>
      <c r="Y445" t="s">
        <v>50</v>
      </c>
      <c r="Z445" t="s">
        <v>51</v>
      </c>
      <c r="AA445" t="s">
        <v>37</v>
      </c>
      <c r="AB445" t="s">
        <v>52</v>
      </c>
      <c r="AC445" t="s">
        <v>53</v>
      </c>
      <c r="AD445" t="s">
        <v>54</v>
      </c>
      <c r="AE445">
        <v>48.606326647099998</v>
      </c>
      <c r="AF445">
        <v>3144</v>
      </c>
      <c r="AG445">
        <v>3143.9912109000002</v>
      </c>
      <c r="AH445">
        <v>486071.11758899997</v>
      </c>
      <c r="AI445">
        <v>42</v>
      </c>
      <c r="AJ445">
        <v>74897.638761996801</v>
      </c>
      <c r="AK445" s="1">
        <f>intersection_ss_Lnight___surface[[#This Row],[surf m2 bout ss]]/intersection_ss_Lnight___surface[[#This Row],[Shape_Area]]</f>
        <v>0.15408781976905467</v>
      </c>
      <c r="AL445">
        <v>2270</v>
      </c>
      <c r="AM445">
        <f>intersection_ss_Lnight___surface[[#This Row],[Population totale 2024 ss]]*intersection_ss_Lnight___surface[[#This Row],[Part de la surface du qs dans le noise contour]]</f>
        <v>349.77935087575412</v>
      </c>
    </row>
    <row r="446" spans="1:39" x14ac:dyDescent="0.3">
      <c r="A446">
        <v>458</v>
      </c>
      <c r="B446" t="s">
        <v>1220</v>
      </c>
      <c r="C446" t="s">
        <v>1221</v>
      </c>
      <c r="D446" t="s">
        <v>1222</v>
      </c>
      <c r="E446" t="s">
        <v>1222</v>
      </c>
      <c r="F446" t="s">
        <v>1207</v>
      </c>
      <c r="G446" t="s">
        <v>1079</v>
      </c>
      <c r="H446" t="s">
        <v>1080</v>
      </c>
      <c r="I446" t="s">
        <v>1081</v>
      </c>
      <c r="J446" t="s">
        <v>36</v>
      </c>
      <c r="K446">
        <v>21015</v>
      </c>
      <c r="L446" t="s">
        <v>1082</v>
      </c>
      <c r="M446" t="s">
        <v>1083</v>
      </c>
      <c r="N446" t="s">
        <v>1083</v>
      </c>
      <c r="O446">
        <v>21000</v>
      </c>
      <c r="P446" t="s">
        <v>46</v>
      </c>
      <c r="Q446" t="s">
        <v>47</v>
      </c>
      <c r="R446" t="s">
        <v>48</v>
      </c>
      <c r="T446" t="s">
        <v>36</v>
      </c>
      <c r="U446" t="s">
        <v>36</v>
      </c>
      <c r="V446" t="s">
        <v>36</v>
      </c>
      <c r="W446">
        <v>4000</v>
      </c>
      <c r="X446" t="s">
        <v>49</v>
      </c>
      <c r="Y446" t="s">
        <v>50</v>
      </c>
      <c r="Z446" t="s">
        <v>51</v>
      </c>
      <c r="AA446" t="s">
        <v>37</v>
      </c>
      <c r="AB446" t="s">
        <v>52</v>
      </c>
      <c r="AC446" t="s">
        <v>53</v>
      </c>
      <c r="AD446" t="s">
        <v>54</v>
      </c>
      <c r="AE446">
        <v>7.2718296046399997</v>
      </c>
      <c r="AF446">
        <v>1240</v>
      </c>
      <c r="AG446">
        <v>1240.1432742300001</v>
      </c>
      <c r="AH446">
        <v>72719.4563165</v>
      </c>
      <c r="AI446">
        <v>41</v>
      </c>
      <c r="AJ446">
        <v>38100.2594553491</v>
      </c>
      <c r="AK446" s="1">
        <f>intersection_ss_Lnight___surface[[#This Row],[surf m2 bout ss]]/intersection_ss_Lnight___surface[[#This Row],[Shape_Area]]</f>
        <v>0.52393487775161174</v>
      </c>
      <c r="AL446">
        <v>338</v>
      </c>
      <c r="AM446">
        <f>intersection_ss_Lnight___surface[[#This Row],[Population totale 2024 ss]]*intersection_ss_Lnight___surface[[#This Row],[Part de la surface du qs dans le noise contour]]</f>
        <v>177.08998868004477</v>
      </c>
    </row>
    <row r="447" spans="1:39" x14ac:dyDescent="0.3">
      <c r="A447">
        <v>459</v>
      </c>
      <c r="B447" t="s">
        <v>1220</v>
      </c>
      <c r="C447" t="s">
        <v>1221</v>
      </c>
      <c r="D447" t="s">
        <v>1222</v>
      </c>
      <c r="E447" t="s">
        <v>1222</v>
      </c>
      <c r="F447" t="s">
        <v>1207</v>
      </c>
      <c r="G447" t="s">
        <v>1079</v>
      </c>
      <c r="H447" t="s">
        <v>1080</v>
      </c>
      <c r="I447" t="s">
        <v>1081</v>
      </c>
      <c r="J447" t="s">
        <v>36</v>
      </c>
      <c r="K447">
        <v>21015</v>
      </c>
      <c r="L447" t="s">
        <v>1082</v>
      </c>
      <c r="M447" t="s">
        <v>1083</v>
      </c>
      <c r="N447" t="s">
        <v>1083</v>
      </c>
      <c r="O447">
        <v>21000</v>
      </c>
      <c r="P447" t="s">
        <v>46</v>
      </c>
      <c r="Q447" t="s">
        <v>47</v>
      </c>
      <c r="R447" t="s">
        <v>48</v>
      </c>
      <c r="T447" t="s">
        <v>36</v>
      </c>
      <c r="U447" t="s">
        <v>36</v>
      </c>
      <c r="V447" t="s">
        <v>36</v>
      </c>
      <c r="W447">
        <v>4000</v>
      </c>
      <c r="X447" t="s">
        <v>49</v>
      </c>
      <c r="Y447" t="s">
        <v>50</v>
      </c>
      <c r="Z447" t="s">
        <v>51</v>
      </c>
      <c r="AA447" t="s">
        <v>37</v>
      </c>
      <c r="AB447" t="s">
        <v>52</v>
      </c>
      <c r="AC447" t="s">
        <v>53</v>
      </c>
      <c r="AD447" t="s">
        <v>54</v>
      </c>
      <c r="AE447">
        <v>7.2718296046399997</v>
      </c>
      <c r="AF447">
        <v>1240</v>
      </c>
      <c r="AG447">
        <v>1240.1432742300001</v>
      </c>
      <c r="AH447">
        <v>72719.4563165</v>
      </c>
      <c r="AI447">
        <v>42</v>
      </c>
      <c r="AJ447">
        <v>34626.201932136202</v>
      </c>
      <c r="AK447" s="1">
        <f>intersection_ss_Lnight___surface[[#This Row],[surf m2 bout ss]]/intersection_ss_Lnight___surface[[#This Row],[Shape_Area]]</f>
        <v>0.47616145232757384</v>
      </c>
      <c r="AL447">
        <v>338</v>
      </c>
      <c r="AM447">
        <f>intersection_ss_Lnight___surface[[#This Row],[Population totale 2024 ss]]*intersection_ss_Lnight___surface[[#This Row],[Part de la surface du qs dans le noise contour]]</f>
        <v>160.94257088671995</v>
      </c>
    </row>
    <row r="448" spans="1:39" x14ac:dyDescent="0.3">
      <c r="A448">
        <v>460</v>
      </c>
      <c r="B448" t="s">
        <v>1223</v>
      </c>
      <c r="C448" t="s">
        <v>1224</v>
      </c>
      <c r="D448" t="s">
        <v>1225</v>
      </c>
      <c r="E448" t="s">
        <v>1225</v>
      </c>
      <c r="F448" t="s">
        <v>1207</v>
      </c>
      <c r="G448" t="s">
        <v>1079</v>
      </c>
      <c r="H448" t="s">
        <v>1080</v>
      </c>
      <c r="I448" t="s">
        <v>1081</v>
      </c>
      <c r="J448" t="s">
        <v>36</v>
      </c>
      <c r="K448">
        <v>21015</v>
      </c>
      <c r="L448" t="s">
        <v>1082</v>
      </c>
      <c r="M448" t="s">
        <v>1083</v>
      </c>
      <c r="N448" t="s">
        <v>1083</v>
      </c>
      <c r="O448">
        <v>21000</v>
      </c>
      <c r="P448" t="s">
        <v>46</v>
      </c>
      <c r="Q448" t="s">
        <v>47</v>
      </c>
      <c r="R448" t="s">
        <v>48</v>
      </c>
      <c r="T448" t="s">
        <v>36</v>
      </c>
      <c r="U448" t="s">
        <v>36</v>
      </c>
      <c r="V448" t="s">
        <v>36</v>
      </c>
      <c r="W448">
        <v>4000</v>
      </c>
      <c r="X448" t="s">
        <v>49</v>
      </c>
      <c r="Y448" t="s">
        <v>50</v>
      </c>
      <c r="Z448" t="s">
        <v>51</v>
      </c>
      <c r="AA448" t="s">
        <v>37</v>
      </c>
      <c r="AB448" t="s">
        <v>52</v>
      </c>
      <c r="AC448" t="s">
        <v>53</v>
      </c>
      <c r="AD448" t="s">
        <v>54</v>
      </c>
      <c r="AE448">
        <v>23.3174403479</v>
      </c>
      <c r="AF448">
        <v>2079</v>
      </c>
      <c r="AG448">
        <v>2079.1086226000002</v>
      </c>
      <c r="AH448">
        <v>233178.16910500001</v>
      </c>
      <c r="AI448">
        <v>41</v>
      </c>
      <c r="AJ448">
        <v>63675.659107893698</v>
      </c>
      <c r="AK448" s="1">
        <f>intersection_ss_Lnight___surface[[#This Row],[surf m2 bout ss]]/intersection_ss_Lnight___surface[[#This Row],[Shape_Area]]</f>
        <v>0.27307727542547339</v>
      </c>
      <c r="AL448">
        <v>4</v>
      </c>
      <c r="AM448">
        <f>intersection_ss_Lnight___surface[[#This Row],[Population totale 2024 ss]]*intersection_ss_Lnight___surface[[#This Row],[Part de la surface du qs dans le noise contour]]</f>
        <v>1.0923091017018935</v>
      </c>
    </row>
    <row r="449" spans="1:39" x14ac:dyDescent="0.3">
      <c r="A449">
        <v>461</v>
      </c>
      <c r="B449" t="s">
        <v>1223</v>
      </c>
      <c r="C449" t="s">
        <v>1224</v>
      </c>
      <c r="D449" t="s">
        <v>1225</v>
      </c>
      <c r="E449" t="s">
        <v>1225</v>
      </c>
      <c r="F449" t="s">
        <v>1207</v>
      </c>
      <c r="G449" t="s">
        <v>1079</v>
      </c>
      <c r="H449" t="s">
        <v>1080</v>
      </c>
      <c r="I449" t="s">
        <v>1081</v>
      </c>
      <c r="J449" t="s">
        <v>36</v>
      </c>
      <c r="K449">
        <v>21015</v>
      </c>
      <c r="L449" t="s">
        <v>1082</v>
      </c>
      <c r="M449" t="s">
        <v>1083</v>
      </c>
      <c r="N449" t="s">
        <v>1083</v>
      </c>
      <c r="O449">
        <v>21000</v>
      </c>
      <c r="P449" t="s">
        <v>46</v>
      </c>
      <c r="Q449" t="s">
        <v>47</v>
      </c>
      <c r="R449" t="s">
        <v>48</v>
      </c>
      <c r="T449" t="s">
        <v>36</v>
      </c>
      <c r="U449" t="s">
        <v>36</v>
      </c>
      <c r="V449" t="s">
        <v>36</v>
      </c>
      <c r="W449">
        <v>4000</v>
      </c>
      <c r="X449" t="s">
        <v>49</v>
      </c>
      <c r="Y449" t="s">
        <v>50</v>
      </c>
      <c r="Z449" t="s">
        <v>51</v>
      </c>
      <c r="AA449" t="s">
        <v>37</v>
      </c>
      <c r="AB449" t="s">
        <v>52</v>
      </c>
      <c r="AC449" t="s">
        <v>53</v>
      </c>
      <c r="AD449" t="s">
        <v>54</v>
      </c>
      <c r="AE449">
        <v>23.3174403479</v>
      </c>
      <c r="AF449">
        <v>2079</v>
      </c>
      <c r="AG449">
        <v>2079.1086226000002</v>
      </c>
      <c r="AH449">
        <v>233178.16910500001</v>
      </c>
      <c r="AI449">
        <v>42</v>
      </c>
      <c r="AJ449">
        <v>122161.12690315201</v>
      </c>
      <c r="AK449" s="1">
        <f>intersection_ss_Lnight___surface[[#This Row],[surf m2 bout ss]]/intersection_ss_Lnight___surface[[#This Row],[Shape_Area]]</f>
        <v>0.52389607214105416</v>
      </c>
      <c r="AL449">
        <v>4</v>
      </c>
      <c r="AM449">
        <f>intersection_ss_Lnight___surface[[#This Row],[Population totale 2024 ss]]*intersection_ss_Lnight___surface[[#This Row],[Part de la surface du qs dans le noise contour]]</f>
        <v>2.0955842885642166</v>
      </c>
    </row>
    <row r="450" spans="1:39" x14ac:dyDescent="0.3">
      <c r="A450">
        <v>462</v>
      </c>
      <c r="B450" t="s">
        <v>1223</v>
      </c>
      <c r="C450" t="s">
        <v>1224</v>
      </c>
      <c r="D450" t="s">
        <v>1225</v>
      </c>
      <c r="E450" t="s">
        <v>1225</v>
      </c>
      <c r="F450" t="s">
        <v>1207</v>
      </c>
      <c r="G450" t="s">
        <v>1079</v>
      </c>
      <c r="H450" t="s">
        <v>1080</v>
      </c>
      <c r="I450" t="s">
        <v>1081</v>
      </c>
      <c r="J450" t="s">
        <v>36</v>
      </c>
      <c r="K450">
        <v>21015</v>
      </c>
      <c r="L450" t="s">
        <v>1082</v>
      </c>
      <c r="M450" t="s">
        <v>1083</v>
      </c>
      <c r="N450" t="s">
        <v>1083</v>
      </c>
      <c r="O450">
        <v>21000</v>
      </c>
      <c r="P450" t="s">
        <v>46</v>
      </c>
      <c r="Q450" t="s">
        <v>47</v>
      </c>
      <c r="R450" t="s">
        <v>48</v>
      </c>
      <c r="T450" t="s">
        <v>36</v>
      </c>
      <c r="U450" t="s">
        <v>36</v>
      </c>
      <c r="V450" t="s">
        <v>36</v>
      </c>
      <c r="W450">
        <v>4000</v>
      </c>
      <c r="X450" t="s">
        <v>49</v>
      </c>
      <c r="Y450" t="s">
        <v>50</v>
      </c>
      <c r="Z450" t="s">
        <v>51</v>
      </c>
      <c r="AA450" t="s">
        <v>37</v>
      </c>
      <c r="AB450" t="s">
        <v>52</v>
      </c>
      <c r="AC450" t="s">
        <v>53</v>
      </c>
      <c r="AD450" t="s">
        <v>54</v>
      </c>
      <c r="AE450">
        <v>23.3174403479</v>
      </c>
      <c r="AF450">
        <v>2079</v>
      </c>
      <c r="AG450">
        <v>2079.1086226000002</v>
      </c>
      <c r="AH450">
        <v>233178.16910500001</v>
      </c>
      <c r="AI450">
        <v>43</v>
      </c>
      <c r="AJ450">
        <v>47297.033342340997</v>
      </c>
      <c r="AK450" s="1">
        <f>intersection_ss_Lnight___surface[[#This Row],[surf m2 bout ss]]/intersection_ss_Lnight___surface[[#This Row],[Shape_Area]]</f>
        <v>0.20283645559050242</v>
      </c>
      <c r="AL450">
        <v>4</v>
      </c>
      <c r="AM450">
        <f>intersection_ss_Lnight___surface[[#This Row],[Population totale 2024 ss]]*intersection_ss_Lnight___surface[[#This Row],[Part de la surface du qs dans le noise contour]]</f>
        <v>0.81134582236200969</v>
      </c>
    </row>
    <row r="451" spans="1:39" x14ac:dyDescent="0.3">
      <c r="A451">
        <v>463</v>
      </c>
      <c r="B451" t="s">
        <v>1223</v>
      </c>
      <c r="C451" t="s">
        <v>1224</v>
      </c>
      <c r="D451" t="s">
        <v>1225</v>
      </c>
      <c r="E451" t="s">
        <v>1225</v>
      </c>
      <c r="F451" t="s">
        <v>1207</v>
      </c>
      <c r="G451" t="s">
        <v>1079</v>
      </c>
      <c r="H451" t="s">
        <v>1080</v>
      </c>
      <c r="I451" t="s">
        <v>1081</v>
      </c>
      <c r="J451" t="s">
        <v>36</v>
      </c>
      <c r="K451">
        <v>21015</v>
      </c>
      <c r="L451" t="s">
        <v>1082</v>
      </c>
      <c r="M451" t="s">
        <v>1083</v>
      </c>
      <c r="N451" t="s">
        <v>1083</v>
      </c>
      <c r="O451">
        <v>21000</v>
      </c>
      <c r="P451" t="s">
        <v>46</v>
      </c>
      <c r="Q451" t="s">
        <v>47</v>
      </c>
      <c r="R451" t="s">
        <v>48</v>
      </c>
      <c r="T451" t="s">
        <v>36</v>
      </c>
      <c r="U451" t="s">
        <v>36</v>
      </c>
      <c r="V451" t="s">
        <v>36</v>
      </c>
      <c r="W451">
        <v>4000</v>
      </c>
      <c r="X451" t="s">
        <v>49</v>
      </c>
      <c r="Y451" t="s">
        <v>50</v>
      </c>
      <c r="Z451" t="s">
        <v>51</v>
      </c>
      <c r="AA451" t="s">
        <v>37</v>
      </c>
      <c r="AB451" t="s">
        <v>52</v>
      </c>
      <c r="AC451" t="s">
        <v>53</v>
      </c>
      <c r="AD451" t="s">
        <v>54</v>
      </c>
      <c r="AE451">
        <v>23.3174403479</v>
      </c>
      <c r="AF451">
        <v>2079</v>
      </c>
      <c r="AG451">
        <v>2079.1086226000002</v>
      </c>
      <c r="AH451">
        <v>233178.16910500001</v>
      </c>
      <c r="AI451">
        <v>44</v>
      </c>
      <c r="AJ451">
        <v>66.556106993928594</v>
      </c>
      <c r="AK451" s="1">
        <f>intersection_ss_Lnight___surface[[#This Row],[surf m2 bout ss]]/intersection_ss_Lnight___surface[[#This Row],[Shape_Area]]</f>
        <v>2.8543026669001082E-4</v>
      </c>
      <c r="AL451">
        <v>4</v>
      </c>
      <c r="AM451">
        <f>intersection_ss_Lnight___surface[[#This Row],[Population totale 2024 ss]]*intersection_ss_Lnight___surface[[#This Row],[Part de la surface du qs dans le noise contour]]</f>
        <v>1.1417210667600433E-3</v>
      </c>
    </row>
    <row r="452" spans="1:39" x14ac:dyDescent="0.3">
      <c r="A452">
        <v>464</v>
      </c>
      <c r="B452" t="s">
        <v>1226</v>
      </c>
      <c r="C452" t="s">
        <v>1227</v>
      </c>
      <c r="D452" t="s">
        <v>1227</v>
      </c>
      <c r="E452" t="s">
        <v>1227</v>
      </c>
      <c r="F452" t="s">
        <v>1228</v>
      </c>
      <c r="G452" t="s">
        <v>1079</v>
      </c>
      <c r="H452" t="s">
        <v>1080</v>
      </c>
      <c r="I452" t="s">
        <v>1081</v>
      </c>
      <c r="J452" t="s">
        <v>36</v>
      </c>
      <c r="K452">
        <v>21015</v>
      </c>
      <c r="L452" t="s">
        <v>1082</v>
      </c>
      <c r="M452" t="s">
        <v>1083</v>
      </c>
      <c r="N452" t="s">
        <v>1083</v>
      </c>
      <c r="O452">
        <v>21000</v>
      </c>
      <c r="P452" t="s">
        <v>46</v>
      </c>
      <c r="Q452" t="s">
        <v>47</v>
      </c>
      <c r="R452" t="s">
        <v>48</v>
      </c>
      <c r="T452" t="s">
        <v>36</v>
      </c>
      <c r="U452" t="s">
        <v>36</v>
      </c>
      <c r="V452" t="s">
        <v>36</v>
      </c>
      <c r="W452">
        <v>4000</v>
      </c>
      <c r="X452" t="s">
        <v>49</v>
      </c>
      <c r="Y452" t="s">
        <v>50</v>
      </c>
      <c r="Z452" t="s">
        <v>51</v>
      </c>
      <c r="AA452" t="s">
        <v>37</v>
      </c>
      <c r="AB452" t="s">
        <v>52</v>
      </c>
      <c r="AC452" t="s">
        <v>53</v>
      </c>
      <c r="AD452" t="s">
        <v>54</v>
      </c>
      <c r="AE452">
        <v>11.089882665499999</v>
      </c>
      <c r="AF452">
        <v>1340</v>
      </c>
      <c r="AG452">
        <v>1339.9068800699999</v>
      </c>
      <c r="AH452">
        <v>110900.607928</v>
      </c>
      <c r="AI452">
        <v>42</v>
      </c>
      <c r="AJ452">
        <v>169.61507694050701</v>
      </c>
      <c r="AK452" s="1">
        <f>intersection_ss_Lnight___surface[[#This Row],[surf m2 bout ss]]/intersection_ss_Lnight___surface[[#This Row],[Shape_Area]]</f>
        <v>1.529433247567283E-3</v>
      </c>
      <c r="AL452">
        <v>1134</v>
      </c>
      <c r="AM452">
        <f>intersection_ss_Lnight___surface[[#This Row],[Population totale 2024 ss]]*intersection_ss_Lnight___surface[[#This Row],[Part de la surface du qs dans le noise contour]]</f>
        <v>1.734377302741299</v>
      </c>
    </row>
    <row r="453" spans="1:39" x14ac:dyDescent="0.3">
      <c r="A453">
        <v>465</v>
      </c>
      <c r="B453" t="s">
        <v>1226</v>
      </c>
      <c r="C453" t="s">
        <v>1227</v>
      </c>
      <c r="D453" t="s">
        <v>1227</v>
      </c>
      <c r="E453" t="s">
        <v>1227</v>
      </c>
      <c r="F453" t="s">
        <v>1228</v>
      </c>
      <c r="G453" t="s">
        <v>1079</v>
      </c>
      <c r="H453" t="s">
        <v>1080</v>
      </c>
      <c r="I453" t="s">
        <v>1081</v>
      </c>
      <c r="J453" t="s">
        <v>36</v>
      </c>
      <c r="K453">
        <v>21015</v>
      </c>
      <c r="L453" t="s">
        <v>1082</v>
      </c>
      <c r="M453" t="s">
        <v>1083</v>
      </c>
      <c r="N453" t="s">
        <v>1083</v>
      </c>
      <c r="O453">
        <v>21000</v>
      </c>
      <c r="P453" t="s">
        <v>46</v>
      </c>
      <c r="Q453" t="s">
        <v>47</v>
      </c>
      <c r="R453" t="s">
        <v>48</v>
      </c>
      <c r="T453" t="s">
        <v>36</v>
      </c>
      <c r="U453" t="s">
        <v>36</v>
      </c>
      <c r="V453" t="s">
        <v>36</v>
      </c>
      <c r="W453">
        <v>4000</v>
      </c>
      <c r="X453" t="s">
        <v>49</v>
      </c>
      <c r="Y453" t="s">
        <v>50</v>
      </c>
      <c r="Z453" t="s">
        <v>51</v>
      </c>
      <c r="AA453" t="s">
        <v>37</v>
      </c>
      <c r="AB453" t="s">
        <v>52</v>
      </c>
      <c r="AC453" t="s">
        <v>53</v>
      </c>
      <c r="AD453" t="s">
        <v>54</v>
      </c>
      <c r="AE453">
        <v>11.089882665499999</v>
      </c>
      <c r="AF453">
        <v>1340</v>
      </c>
      <c r="AG453">
        <v>1339.9068800699999</v>
      </c>
      <c r="AH453">
        <v>110900.607928</v>
      </c>
      <c r="AI453">
        <v>43</v>
      </c>
      <c r="AJ453">
        <v>43803.650968326299</v>
      </c>
      <c r="AK453" s="1">
        <f>intersection_ss_Lnight___surface[[#This Row],[surf m2 bout ss]]/intersection_ss_Lnight___surface[[#This Row],[Shape_Area]]</f>
        <v>0.3949811618414657</v>
      </c>
      <c r="AL453">
        <v>1134</v>
      </c>
      <c r="AM453">
        <f>intersection_ss_Lnight___surface[[#This Row],[Population totale 2024 ss]]*intersection_ss_Lnight___surface[[#This Row],[Part de la surface du qs dans le noise contour]]</f>
        <v>447.90863752822213</v>
      </c>
    </row>
    <row r="454" spans="1:39" x14ac:dyDescent="0.3">
      <c r="A454">
        <v>466</v>
      </c>
      <c r="B454" t="s">
        <v>1226</v>
      </c>
      <c r="C454" t="s">
        <v>1227</v>
      </c>
      <c r="D454" t="s">
        <v>1227</v>
      </c>
      <c r="E454" t="s">
        <v>1227</v>
      </c>
      <c r="F454" t="s">
        <v>1228</v>
      </c>
      <c r="G454" t="s">
        <v>1079</v>
      </c>
      <c r="H454" t="s">
        <v>1080</v>
      </c>
      <c r="I454" t="s">
        <v>1081</v>
      </c>
      <c r="J454" t="s">
        <v>36</v>
      </c>
      <c r="K454">
        <v>21015</v>
      </c>
      <c r="L454" t="s">
        <v>1082</v>
      </c>
      <c r="M454" t="s">
        <v>1083</v>
      </c>
      <c r="N454" t="s">
        <v>1083</v>
      </c>
      <c r="O454">
        <v>21000</v>
      </c>
      <c r="P454" t="s">
        <v>46</v>
      </c>
      <c r="Q454" t="s">
        <v>47</v>
      </c>
      <c r="R454" t="s">
        <v>48</v>
      </c>
      <c r="T454" t="s">
        <v>36</v>
      </c>
      <c r="U454" t="s">
        <v>36</v>
      </c>
      <c r="V454" t="s">
        <v>36</v>
      </c>
      <c r="W454">
        <v>4000</v>
      </c>
      <c r="X454" t="s">
        <v>49</v>
      </c>
      <c r="Y454" t="s">
        <v>50</v>
      </c>
      <c r="Z454" t="s">
        <v>51</v>
      </c>
      <c r="AA454" t="s">
        <v>37</v>
      </c>
      <c r="AB454" t="s">
        <v>52</v>
      </c>
      <c r="AC454" t="s">
        <v>53</v>
      </c>
      <c r="AD454" t="s">
        <v>54</v>
      </c>
      <c r="AE454">
        <v>11.089882665499999</v>
      </c>
      <c r="AF454">
        <v>1340</v>
      </c>
      <c r="AG454">
        <v>1339.9068800699999</v>
      </c>
      <c r="AH454">
        <v>110900.607928</v>
      </c>
      <c r="AI454">
        <v>44</v>
      </c>
      <c r="AJ454">
        <v>66663.056187620896</v>
      </c>
      <c r="AK454" s="1">
        <f>intersection_ss_Lnight___surface[[#This Row],[surf m2 bout ss]]/intersection_ss_Lnight___surface[[#This Row],[Shape_Area]]</f>
        <v>0.60110631883010557</v>
      </c>
      <c r="AL454">
        <v>1134</v>
      </c>
      <c r="AM454">
        <f>intersection_ss_Lnight___surface[[#This Row],[Population totale 2024 ss]]*intersection_ss_Lnight___surface[[#This Row],[Part de la surface du qs dans le noise contour]]</f>
        <v>681.65456555333969</v>
      </c>
    </row>
    <row r="455" spans="1:39" x14ac:dyDescent="0.3">
      <c r="A455">
        <v>467</v>
      </c>
      <c r="B455" t="s">
        <v>1226</v>
      </c>
      <c r="C455" t="s">
        <v>1227</v>
      </c>
      <c r="D455" t="s">
        <v>1227</v>
      </c>
      <c r="E455" t="s">
        <v>1227</v>
      </c>
      <c r="F455" t="s">
        <v>1228</v>
      </c>
      <c r="G455" t="s">
        <v>1079</v>
      </c>
      <c r="H455" t="s">
        <v>1080</v>
      </c>
      <c r="I455" t="s">
        <v>1081</v>
      </c>
      <c r="J455" t="s">
        <v>36</v>
      </c>
      <c r="K455">
        <v>21015</v>
      </c>
      <c r="L455" t="s">
        <v>1082</v>
      </c>
      <c r="M455" t="s">
        <v>1083</v>
      </c>
      <c r="N455" t="s">
        <v>1083</v>
      </c>
      <c r="O455">
        <v>21000</v>
      </c>
      <c r="P455" t="s">
        <v>46</v>
      </c>
      <c r="Q455" t="s">
        <v>47</v>
      </c>
      <c r="R455" t="s">
        <v>48</v>
      </c>
      <c r="T455" t="s">
        <v>36</v>
      </c>
      <c r="U455" t="s">
        <v>36</v>
      </c>
      <c r="V455" t="s">
        <v>36</v>
      </c>
      <c r="W455">
        <v>4000</v>
      </c>
      <c r="X455" t="s">
        <v>49</v>
      </c>
      <c r="Y455" t="s">
        <v>50</v>
      </c>
      <c r="Z455" t="s">
        <v>51</v>
      </c>
      <c r="AA455" t="s">
        <v>37</v>
      </c>
      <c r="AB455" t="s">
        <v>52</v>
      </c>
      <c r="AC455" t="s">
        <v>53</v>
      </c>
      <c r="AD455" t="s">
        <v>54</v>
      </c>
      <c r="AE455">
        <v>11.089882665499999</v>
      </c>
      <c r="AF455">
        <v>1340</v>
      </c>
      <c r="AG455">
        <v>1339.9068800699999</v>
      </c>
      <c r="AH455">
        <v>110900.607928</v>
      </c>
      <c r="AI455">
        <v>45</v>
      </c>
      <c r="AJ455">
        <v>274.73802626691798</v>
      </c>
      <c r="AK455" s="1">
        <f>intersection_ss_Lnight___surface[[#This Row],[surf m2 bout ss]]/intersection_ss_Lnight___surface[[#This Row],[Shape_Area]]</f>
        <v>2.4773356197045028E-3</v>
      </c>
      <c r="AL455">
        <v>1134</v>
      </c>
      <c r="AM455">
        <f>intersection_ss_Lnight___surface[[#This Row],[Population totale 2024 ss]]*intersection_ss_Lnight___surface[[#This Row],[Part de la surface du qs dans le noise contour]]</f>
        <v>2.8092985927449061</v>
      </c>
    </row>
    <row r="456" spans="1:39" x14ac:dyDescent="0.3">
      <c r="A456">
        <v>468</v>
      </c>
      <c r="B456" t="s">
        <v>1229</v>
      </c>
      <c r="C456" t="s">
        <v>1230</v>
      </c>
      <c r="D456" t="s">
        <v>1231</v>
      </c>
      <c r="E456" t="s">
        <v>1231</v>
      </c>
      <c r="F456" t="s">
        <v>1228</v>
      </c>
      <c r="G456" t="s">
        <v>1079</v>
      </c>
      <c r="H456" t="s">
        <v>1080</v>
      </c>
      <c r="I456" t="s">
        <v>1081</v>
      </c>
      <c r="J456" t="s">
        <v>36</v>
      </c>
      <c r="K456">
        <v>21015</v>
      </c>
      <c r="L456" t="s">
        <v>1082</v>
      </c>
      <c r="M456" t="s">
        <v>1083</v>
      </c>
      <c r="N456" t="s">
        <v>1083</v>
      </c>
      <c r="O456">
        <v>21000</v>
      </c>
      <c r="P456" t="s">
        <v>46</v>
      </c>
      <c r="Q456" t="s">
        <v>47</v>
      </c>
      <c r="R456" t="s">
        <v>48</v>
      </c>
      <c r="T456" t="s">
        <v>36</v>
      </c>
      <c r="U456" t="s">
        <v>36</v>
      </c>
      <c r="V456" t="s">
        <v>36</v>
      </c>
      <c r="W456">
        <v>4000</v>
      </c>
      <c r="X456" t="s">
        <v>49</v>
      </c>
      <c r="Y456" t="s">
        <v>50</v>
      </c>
      <c r="Z456" t="s">
        <v>51</v>
      </c>
      <c r="AA456" t="s">
        <v>37</v>
      </c>
      <c r="AB456" t="s">
        <v>52</v>
      </c>
      <c r="AC456" t="s">
        <v>53</v>
      </c>
      <c r="AD456" t="s">
        <v>54</v>
      </c>
      <c r="AE456">
        <v>2.7867567014299999</v>
      </c>
      <c r="AF456">
        <v>1360</v>
      </c>
      <c r="AG456">
        <v>1359.8532379400001</v>
      </c>
      <c r="AH456">
        <v>27868.009884700001</v>
      </c>
      <c r="AI456">
        <v>41</v>
      </c>
      <c r="AJ456">
        <v>2289.8498118221801</v>
      </c>
      <c r="AK456" s="1">
        <f>intersection_ss_Lnight___surface[[#This Row],[surf m2 bout ss]]/intersection_ss_Lnight___surface[[#This Row],[Shape_Area]]</f>
        <v>8.2167683350770793E-2</v>
      </c>
      <c r="AL456">
        <v>412</v>
      </c>
      <c r="AM456">
        <f>intersection_ss_Lnight___surface[[#This Row],[Population totale 2024 ss]]*intersection_ss_Lnight___surface[[#This Row],[Part de la surface du qs dans le noise contour]]</f>
        <v>33.853085540517569</v>
      </c>
    </row>
    <row r="457" spans="1:39" x14ac:dyDescent="0.3">
      <c r="A457">
        <v>469</v>
      </c>
      <c r="B457" t="s">
        <v>1229</v>
      </c>
      <c r="C457" t="s">
        <v>1230</v>
      </c>
      <c r="D457" t="s">
        <v>1231</v>
      </c>
      <c r="E457" t="s">
        <v>1231</v>
      </c>
      <c r="F457" t="s">
        <v>1228</v>
      </c>
      <c r="G457" t="s">
        <v>1079</v>
      </c>
      <c r="H457" t="s">
        <v>1080</v>
      </c>
      <c r="I457" t="s">
        <v>1081</v>
      </c>
      <c r="J457" t="s">
        <v>36</v>
      </c>
      <c r="K457">
        <v>21015</v>
      </c>
      <c r="L457" t="s">
        <v>1082</v>
      </c>
      <c r="M457" t="s">
        <v>1083</v>
      </c>
      <c r="N457" t="s">
        <v>1083</v>
      </c>
      <c r="O457">
        <v>21000</v>
      </c>
      <c r="P457" t="s">
        <v>46</v>
      </c>
      <c r="Q457" t="s">
        <v>47</v>
      </c>
      <c r="R457" t="s">
        <v>48</v>
      </c>
      <c r="T457" t="s">
        <v>36</v>
      </c>
      <c r="U457" t="s">
        <v>36</v>
      </c>
      <c r="V457" t="s">
        <v>36</v>
      </c>
      <c r="W457">
        <v>4000</v>
      </c>
      <c r="X457" t="s">
        <v>49</v>
      </c>
      <c r="Y457" t="s">
        <v>50</v>
      </c>
      <c r="Z457" t="s">
        <v>51</v>
      </c>
      <c r="AA457" t="s">
        <v>37</v>
      </c>
      <c r="AB457" t="s">
        <v>52</v>
      </c>
      <c r="AC457" t="s">
        <v>53</v>
      </c>
      <c r="AD457" t="s">
        <v>54</v>
      </c>
      <c r="AE457">
        <v>2.7867567014299999</v>
      </c>
      <c r="AF457">
        <v>1360</v>
      </c>
      <c r="AG457">
        <v>1359.8532379400001</v>
      </c>
      <c r="AH457">
        <v>27868.009884700001</v>
      </c>
      <c r="AI457">
        <v>42</v>
      </c>
      <c r="AJ457">
        <v>12566.894539564801</v>
      </c>
      <c r="AK457" s="1">
        <f>intersection_ss_Lnight___surface[[#This Row],[surf m2 bout ss]]/intersection_ss_Lnight___surface[[#This Row],[Shape_Area]]</f>
        <v>0.45094337886194857</v>
      </c>
      <c r="AL457">
        <v>412</v>
      </c>
      <c r="AM457">
        <f>intersection_ss_Lnight___surface[[#This Row],[Population totale 2024 ss]]*intersection_ss_Lnight___surface[[#This Row],[Part de la surface du qs dans le noise contour]]</f>
        <v>185.78867209112281</v>
      </c>
    </row>
    <row r="458" spans="1:39" x14ac:dyDescent="0.3">
      <c r="A458">
        <v>470</v>
      </c>
      <c r="B458" t="s">
        <v>1229</v>
      </c>
      <c r="C458" t="s">
        <v>1230</v>
      </c>
      <c r="D458" t="s">
        <v>1231</v>
      </c>
      <c r="E458" t="s">
        <v>1231</v>
      </c>
      <c r="F458" t="s">
        <v>1228</v>
      </c>
      <c r="G458" t="s">
        <v>1079</v>
      </c>
      <c r="H458" t="s">
        <v>1080</v>
      </c>
      <c r="I458" t="s">
        <v>1081</v>
      </c>
      <c r="J458" t="s">
        <v>36</v>
      </c>
      <c r="K458">
        <v>21015</v>
      </c>
      <c r="L458" t="s">
        <v>1082</v>
      </c>
      <c r="M458" t="s">
        <v>1083</v>
      </c>
      <c r="N458" t="s">
        <v>1083</v>
      </c>
      <c r="O458">
        <v>21000</v>
      </c>
      <c r="P458" t="s">
        <v>46</v>
      </c>
      <c r="Q458" t="s">
        <v>47</v>
      </c>
      <c r="R458" t="s">
        <v>48</v>
      </c>
      <c r="T458" t="s">
        <v>36</v>
      </c>
      <c r="U458" t="s">
        <v>36</v>
      </c>
      <c r="V458" t="s">
        <v>36</v>
      </c>
      <c r="W458">
        <v>4000</v>
      </c>
      <c r="X458" t="s">
        <v>49</v>
      </c>
      <c r="Y458" t="s">
        <v>50</v>
      </c>
      <c r="Z458" t="s">
        <v>51</v>
      </c>
      <c r="AA458" t="s">
        <v>37</v>
      </c>
      <c r="AB458" t="s">
        <v>52</v>
      </c>
      <c r="AC458" t="s">
        <v>53</v>
      </c>
      <c r="AD458" t="s">
        <v>54</v>
      </c>
      <c r="AE458">
        <v>2.7867567014299999</v>
      </c>
      <c r="AF458">
        <v>1360</v>
      </c>
      <c r="AG458">
        <v>1359.8532379400001</v>
      </c>
      <c r="AH458">
        <v>27868.009884700001</v>
      </c>
      <c r="AI458">
        <v>43</v>
      </c>
      <c r="AJ458">
        <v>12399.6467581093</v>
      </c>
      <c r="AK458" s="1">
        <f>intersection_ss_Lnight___surface[[#This Row],[surf m2 bout ss]]/intersection_ss_Lnight___surface[[#This Row],[Shape_Area]]</f>
        <v>0.44494195349474569</v>
      </c>
      <c r="AL458">
        <v>412</v>
      </c>
      <c r="AM458">
        <f>intersection_ss_Lnight___surface[[#This Row],[Population totale 2024 ss]]*intersection_ss_Lnight___surface[[#This Row],[Part de la surface du qs dans le noise contour]]</f>
        <v>183.31608483983521</v>
      </c>
    </row>
    <row r="459" spans="1:39" x14ac:dyDescent="0.3">
      <c r="A459">
        <v>471</v>
      </c>
      <c r="B459" t="s">
        <v>1229</v>
      </c>
      <c r="C459" t="s">
        <v>1230</v>
      </c>
      <c r="D459" t="s">
        <v>1231</v>
      </c>
      <c r="E459" t="s">
        <v>1231</v>
      </c>
      <c r="F459" t="s">
        <v>1228</v>
      </c>
      <c r="G459" t="s">
        <v>1079</v>
      </c>
      <c r="H459" t="s">
        <v>1080</v>
      </c>
      <c r="I459" t="s">
        <v>1081</v>
      </c>
      <c r="J459" t="s">
        <v>36</v>
      </c>
      <c r="K459">
        <v>21015</v>
      </c>
      <c r="L459" t="s">
        <v>1082</v>
      </c>
      <c r="M459" t="s">
        <v>1083</v>
      </c>
      <c r="N459" t="s">
        <v>1083</v>
      </c>
      <c r="O459">
        <v>21000</v>
      </c>
      <c r="P459" t="s">
        <v>46</v>
      </c>
      <c r="Q459" t="s">
        <v>47</v>
      </c>
      <c r="R459" t="s">
        <v>48</v>
      </c>
      <c r="T459" t="s">
        <v>36</v>
      </c>
      <c r="U459" t="s">
        <v>36</v>
      </c>
      <c r="V459" t="s">
        <v>36</v>
      </c>
      <c r="W459">
        <v>4000</v>
      </c>
      <c r="X459" t="s">
        <v>49</v>
      </c>
      <c r="Y459" t="s">
        <v>50</v>
      </c>
      <c r="Z459" t="s">
        <v>51</v>
      </c>
      <c r="AA459" t="s">
        <v>37</v>
      </c>
      <c r="AB459" t="s">
        <v>52</v>
      </c>
      <c r="AC459" t="s">
        <v>53</v>
      </c>
      <c r="AD459" t="s">
        <v>54</v>
      </c>
      <c r="AE459">
        <v>2.7867567014299999</v>
      </c>
      <c r="AF459">
        <v>1360</v>
      </c>
      <c r="AG459">
        <v>1359.8532379400001</v>
      </c>
      <c r="AH459">
        <v>27868.009884700001</v>
      </c>
      <c r="AI459">
        <v>44</v>
      </c>
      <c r="AJ459">
        <v>614.26160430815105</v>
      </c>
      <c r="AK459" s="1">
        <f>intersection_ss_Lnight___surface[[#This Row],[surf m2 bout ss]]/intersection_ss_Lnight___surface[[#This Row],[Shape_Area]]</f>
        <v>2.2041818086385525E-2</v>
      </c>
      <c r="AL459">
        <v>412</v>
      </c>
      <c r="AM459">
        <f>intersection_ss_Lnight___surface[[#This Row],[Population totale 2024 ss]]*intersection_ss_Lnight___surface[[#This Row],[Part de la surface du qs dans le noise contour]]</f>
        <v>9.0812290515908369</v>
      </c>
    </row>
    <row r="460" spans="1:39" x14ac:dyDescent="0.3">
      <c r="A460">
        <v>472</v>
      </c>
      <c r="B460" t="s">
        <v>1232</v>
      </c>
      <c r="C460" t="s">
        <v>1233</v>
      </c>
      <c r="D460" t="s">
        <v>1234</v>
      </c>
      <c r="E460" t="s">
        <v>1234</v>
      </c>
      <c r="F460" t="s">
        <v>1228</v>
      </c>
      <c r="G460" t="s">
        <v>1079</v>
      </c>
      <c r="H460" t="s">
        <v>1080</v>
      </c>
      <c r="I460" t="s">
        <v>1081</v>
      </c>
      <c r="J460" t="s">
        <v>36</v>
      </c>
      <c r="K460">
        <v>21015</v>
      </c>
      <c r="L460" t="s">
        <v>1082</v>
      </c>
      <c r="M460" t="s">
        <v>1083</v>
      </c>
      <c r="N460" t="s">
        <v>1083</v>
      </c>
      <c r="O460">
        <v>21000</v>
      </c>
      <c r="P460" t="s">
        <v>46</v>
      </c>
      <c r="Q460" t="s">
        <v>47</v>
      </c>
      <c r="R460" t="s">
        <v>48</v>
      </c>
      <c r="T460" t="s">
        <v>36</v>
      </c>
      <c r="U460" t="s">
        <v>36</v>
      </c>
      <c r="V460" t="s">
        <v>36</v>
      </c>
      <c r="W460">
        <v>4000</v>
      </c>
      <c r="X460" t="s">
        <v>49</v>
      </c>
      <c r="Y460" t="s">
        <v>50</v>
      </c>
      <c r="Z460" t="s">
        <v>51</v>
      </c>
      <c r="AA460" t="s">
        <v>37</v>
      </c>
      <c r="AB460" t="s">
        <v>52</v>
      </c>
      <c r="AC460" t="s">
        <v>53</v>
      </c>
      <c r="AD460" t="s">
        <v>54</v>
      </c>
      <c r="AE460">
        <v>32.026157222599998</v>
      </c>
      <c r="AF460">
        <v>2701</v>
      </c>
      <c r="AG460">
        <v>2700.6757002999998</v>
      </c>
      <c r="AH460">
        <v>320266.74087600003</v>
      </c>
      <c r="AI460">
        <v>41</v>
      </c>
      <c r="AJ460">
        <v>60281.6888982952</v>
      </c>
      <c r="AK460" s="1">
        <f>intersection_ss_Lnight___surface[[#This Row],[surf m2 bout ss]]/intersection_ss_Lnight___surface[[#This Row],[Shape_Area]]</f>
        <v>0.18822338133960309</v>
      </c>
      <c r="AL460">
        <v>3796</v>
      </c>
      <c r="AM460">
        <f>intersection_ss_Lnight___surface[[#This Row],[Population totale 2024 ss]]*intersection_ss_Lnight___surface[[#This Row],[Part de la surface du qs dans le noise contour]]</f>
        <v>714.49595556513339</v>
      </c>
    </row>
    <row r="461" spans="1:39" x14ac:dyDescent="0.3">
      <c r="A461">
        <v>473</v>
      </c>
      <c r="B461" t="s">
        <v>1232</v>
      </c>
      <c r="C461" t="s">
        <v>1233</v>
      </c>
      <c r="D461" t="s">
        <v>1234</v>
      </c>
      <c r="E461" t="s">
        <v>1234</v>
      </c>
      <c r="F461" t="s">
        <v>1228</v>
      </c>
      <c r="G461" t="s">
        <v>1079</v>
      </c>
      <c r="H461" t="s">
        <v>1080</v>
      </c>
      <c r="I461" t="s">
        <v>1081</v>
      </c>
      <c r="J461" t="s">
        <v>36</v>
      </c>
      <c r="K461">
        <v>21015</v>
      </c>
      <c r="L461" t="s">
        <v>1082</v>
      </c>
      <c r="M461" t="s">
        <v>1083</v>
      </c>
      <c r="N461" t="s">
        <v>1083</v>
      </c>
      <c r="O461">
        <v>21000</v>
      </c>
      <c r="P461" t="s">
        <v>46</v>
      </c>
      <c r="Q461" t="s">
        <v>47</v>
      </c>
      <c r="R461" t="s">
        <v>48</v>
      </c>
      <c r="T461" t="s">
        <v>36</v>
      </c>
      <c r="U461" t="s">
        <v>36</v>
      </c>
      <c r="V461" t="s">
        <v>36</v>
      </c>
      <c r="W461">
        <v>4000</v>
      </c>
      <c r="X461" t="s">
        <v>49</v>
      </c>
      <c r="Y461" t="s">
        <v>50</v>
      </c>
      <c r="Z461" t="s">
        <v>51</v>
      </c>
      <c r="AA461" t="s">
        <v>37</v>
      </c>
      <c r="AB461" t="s">
        <v>52</v>
      </c>
      <c r="AC461" t="s">
        <v>53</v>
      </c>
      <c r="AD461" t="s">
        <v>54</v>
      </c>
      <c r="AE461">
        <v>32.026157222599998</v>
      </c>
      <c r="AF461">
        <v>2701</v>
      </c>
      <c r="AG461">
        <v>2700.6757002999998</v>
      </c>
      <c r="AH461">
        <v>320266.74087600003</v>
      </c>
      <c r="AI461">
        <v>42</v>
      </c>
      <c r="AJ461">
        <v>128116.767501436</v>
      </c>
      <c r="AK461" s="1">
        <f>intersection_ss_Lnight___surface[[#This Row],[surf m2 bout ss]]/intersection_ss_Lnight___surface[[#This Row],[Shape_Area]]</f>
        <v>0.4000314461345828</v>
      </c>
      <c r="AL461">
        <v>3796</v>
      </c>
      <c r="AM461">
        <f>intersection_ss_Lnight___surface[[#This Row],[Population totale 2024 ss]]*intersection_ss_Lnight___surface[[#This Row],[Part de la surface du qs dans le noise contour]]</f>
        <v>1518.5193695268763</v>
      </c>
    </row>
    <row r="462" spans="1:39" x14ac:dyDescent="0.3">
      <c r="A462">
        <v>474</v>
      </c>
      <c r="B462" t="s">
        <v>1232</v>
      </c>
      <c r="C462" t="s">
        <v>1233</v>
      </c>
      <c r="D462" t="s">
        <v>1234</v>
      </c>
      <c r="E462" t="s">
        <v>1234</v>
      </c>
      <c r="F462" t="s">
        <v>1228</v>
      </c>
      <c r="G462" t="s">
        <v>1079</v>
      </c>
      <c r="H462" t="s">
        <v>1080</v>
      </c>
      <c r="I462" t="s">
        <v>1081</v>
      </c>
      <c r="J462" t="s">
        <v>36</v>
      </c>
      <c r="K462">
        <v>21015</v>
      </c>
      <c r="L462" t="s">
        <v>1082</v>
      </c>
      <c r="M462" t="s">
        <v>1083</v>
      </c>
      <c r="N462" t="s">
        <v>1083</v>
      </c>
      <c r="O462">
        <v>21000</v>
      </c>
      <c r="P462" t="s">
        <v>46</v>
      </c>
      <c r="Q462" t="s">
        <v>47</v>
      </c>
      <c r="R462" t="s">
        <v>48</v>
      </c>
      <c r="T462" t="s">
        <v>36</v>
      </c>
      <c r="U462" t="s">
        <v>36</v>
      </c>
      <c r="V462" t="s">
        <v>36</v>
      </c>
      <c r="W462">
        <v>4000</v>
      </c>
      <c r="X462" t="s">
        <v>49</v>
      </c>
      <c r="Y462" t="s">
        <v>50</v>
      </c>
      <c r="Z462" t="s">
        <v>51</v>
      </c>
      <c r="AA462" t="s">
        <v>37</v>
      </c>
      <c r="AB462" t="s">
        <v>52</v>
      </c>
      <c r="AC462" t="s">
        <v>53</v>
      </c>
      <c r="AD462" t="s">
        <v>54</v>
      </c>
      <c r="AE462">
        <v>32.026157222599998</v>
      </c>
      <c r="AF462">
        <v>2701</v>
      </c>
      <c r="AG462">
        <v>2700.6757002999998</v>
      </c>
      <c r="AH462">
        <v>320266.74087600003</v>
      </c>
      <c r="AI462">
        <v>43</v>
      </c>
      <c r="AJ462">
        <v>118128.72731972201</v>
      </c>
      <c r="AK462" s="1">
        <f>intersection_ss_Lnight___surface[[#This Row],[surf m2 bout ss]]/intersection_ss_Lnight___surface[[#This Row],[Shape_Area]]</f>
        <v>0.36884481665693397</v>
      </c>
      <c r="AL462">
        <v>3796</v>
      </c>
      <c r="AM462">
        <f>intersection_ss_Lnight___surface[[#This Row],[Population totale 2024 ss]]*intersection_ss_Lnight___surface[[#This Row],[Part de la surface du qs dans le noise contour]]</f>
        <v>1400.1349240297213</v>
      </c>
    </row>
    <row r="463" spans="1:39" x14ac:dyDescent="0.3">
      <c r="A463">
        <v>475</v>
      </c>
      <c r="B463" t="s">
        <v>1232</v>
      </c>
      <c r="C463" t="s">
        <v>1233</v>
      </c>
      <c r="D463" t="s">
        <v>1234</v>
      </c>
      <c r="E463" t="s">
        <v>1234</v>
      </c>
      <c r="F463" t="s">
        <v>1228</v>
      </c>
      <c r="G463" t="s">
        <v>1079</v>
      </c>
      <c r="H463" t="s">
        <v>1080</v>
      </c>
      <c r="I463" t="s">
        <v>1081</v>
      </c>
      <c r="J463" t="s">
        <v>36</v>
      </c>
      <c r="K463">
        <v>21015</v>
      </c>
      <c r="L463" t="s">
        <v>1082</v>
      </c>
      <c r="M463" t="s">
        <v>1083</v>
      </c>
      <c r="N463" t="s">
        <v>1083</v>
      </c>
      <c r="O463">
        <v>21000</v>
      </c>
      <c r="P463" t="s">
        <v>46</v>
      </c>
      <c r="Q463" t="s">
        <v>47</v>
      </c>
      <c r="R463" t="s">
        <v>48</v>
      </c>
      <c r="T463" t="s">
        <v>36</v>
      </c>
      <c r="U463" t="s">
        <v>36</v>
      </c>
      <c r="V463" t="s">
        <v>36</v>
      </c>
      <c r="W463">
        <v>4000</v>
      </c>
      <c r="X463" t="s">
        <v>49</v>
      </c>
      <c r="Y463" t="s">
        <v>50</v>
      </c>
      <c r="Z463" t="s">
        <v>51</v>
      </c>
      <c r="AA463" t="s">
        <v>37</v>
      </c>
      <c r="AB463" t="s">
        <v>52</v>
      </c>
      <c r="AC463" t="s">
        <v>53</v>
      </c>
      <c r="AD463" t="s">
        <v>54</v>
      </c>
      <c r="AE463">
        <v>32.026157222599998</v>
      </c>
      <c r="AF463">
        <v>2701</v>
      </c>
      <c r="AG463">
        <v>2700.6757002999998</v>
      </c>
      <c r="AH463">
        <v>320266.74087600003</v>
      </c>
      <c r="AI463">
        <v>44</v>
      </c>
      <c r="AJ463">
        <v>13769.8949916661</v>
      </c>
      <c r="AK463" s="1">
        <f>intersection_ss_Lnight___surface[[#This Row],[surf m2 bout ss]]/intersection_ss_Lnight___surface[[#This Row],[Shape_Area]]</f>
        <v>4.2995082642682182E-2</v>
      </c>
      <c r="AL463">
        <v>3796</v>
      </c>
      <c r="AM463">
        <f>intersection_ss_Lnight___surface[[#This Row],[Population totale 2024 ss]]*intersection_ss_Lnight___surface[[#This Row],[Part de la surface du qs dans le noise contour]]</f>
        <v>163.20933371162155</v>
      </c>
    </row>
    <row r="464" spans="1:39" x14ac:dyDescent="0.3">
      <c r="A464">
        <v>476</v>
      </c>
      <c r="B464" t="s">
        <v>1235</v>
      </c>
      <c r="C464" t="s">
        <v>1236</v>
      </c>
      <c r="D464" t="s">
        <v>1237</v>
      </c>
      <c r="E464" t="s">
        <v>1237</v>
      </c>
      <c r="F464" t="s">
        <v>1228</v>
      </c>
      <c r="G464" t="s">
        <v>1079</v>
      </c>
      <c r="H464" t="s">
        <v>1080</v>
      </c>
      <c r="I464" t="s">
        <v>1081</v>
      </c>
      <c r="J464" t="s">
        <v>36</v>
      </c>
      <c r="K464">
        <v>21015</v>
      </c>
      <c r="L464" t="s">
        <v>1082</v>
      </c>
      <c r="M464" t="s">
        <v>1083</v>
      </c>
      <c r="N464" t="s">
        <v>1083</v>
      </c>
      <c r="O464">
        <v>21000</v>
      </c>
      <c r="P464" t="s">
        <v>46</v>
      </c>
      <c r="Q464" t="s">
        <v>47</v>
      </c>
      <c r="R464" t="s">
        <v>48</v>
      </c>
      <c r="T464" t="s">
        <v>36</v>
      </c>
      <c r="U464" t="s">
        <v>36</v>
      </c>
      <c r="V464" t="s">
        <v>36</v>
      </c>
      <c r="W464">
        <v>4000</v>
      </c>
      <c r="X464" t="s">
        <v>49</v>
      </c>
      <c r="Y464" t="s">
        <v>50</v>
      </c>
      <c r="Z464" t="s">
        <v>51</v>
      </c>
      <c r="AA464" t="s">
        <v>37</v>
      </c>
      <c r="AB464" t="s">
        <v>52</v>
      </c>
      <c r="AC464" t="s">
        <v>53</v>
      </c>
      <c r="AD464" t="s">
        <v>54</v>
      </c>
      <c r="AE464">
        <v>6.7473571786999997</v>
      </c>
      <c r="AF464">
        <v>1225</v>
      </c>
      <c r="AG464">
        <v>1224.9041797699999</v>
      </c>
      <c r="AH464">
        <v>67474.649081099997</v>
      </c>
      <c r="AI464">
        <v>42</v>
      </c>
      <c r="AJ464">
        <v>867.12171873450302</v>
      </c>
      <c r="AK464" s="1">
        <f>intersection_ss_Lnight___surface[[#This Row],[surf m2 bout ss]]/intersection_ss_Lnight___surface[[#This Row],[Shape_Area]]</f>
        <v>1.285107415219427E-2</v>
      </c>
      <c r="AL464">
        <v>589</v>
      </c>
      <c r="AM464">
        <f>intersection_ss_Lnight___surface[[#This Row],[Population totale 2024 ss]]*intersection_ss_Lnight___surface[[#This Row],[Part de la surface du qs dans le noise contour]]</f>
        <v>7.569282675642425</v>
      </c>
    </row>
    <row r="465" spans="1:39" x14ac:dyDescent="0.3">
      <c r="A465">
        <v>477</v>
      </c>
      <c r="B465" t="s">
        <v>1235</v>
      </c>
      <c r="C465" t="s">
        <v>1236</v>
      </c>
      <c r="D465" t="s">
        <v>1237</v>
      </c>
      <c r="E465" t="s">
        <v>1237</v>
      </c>
      <c r="F465" t="s">
        <v>1228</v>
      </c>
      <c r="G465" t="s">
        <v>1079</v>
      </c>
      <c r="H465" t="s">
        <v>1080</v>
      </c>
      <c r="I465" t="s">
        <v>1081</v>
      </c>
      <c r="J465" t="s">
        <v>36</v>
      </c>
      <c r="K465">
        <v>21015</v>
      </c>
      <c r="L465" t="s">
        <v>1082</v>
      </c>
      <c r="M465" t="s">
        <v>1083</v>
      </c>
      <c r="N465" t="s">
        <v>1083</v>
      </c>
      <c r="O465">
        <v>21000</v>
      </c>
      <c r="P465" t="s">
        <v>46</v>
      </c>
      <c r="Q465" t="s">
        <v>47</v>
      </c>
      <c r="R465" t="s">
        <v>48</v>
      </c>
      <c r="T465" t="s">
        <v>36</v>
      </c>
      <c r="U465" t="s">
        <v>36</v>
      </c>
      <c r="V465" t="s">
        <v>36</v>
      </c>
      <c r="W465">
        <v>4000</v>
      </c>
      <c r="X465" t="s">
        <v>49</v>
      </c>
      <c r="Y465" t="s">
        <v>50</v>
      </c>
      <c r="Z465" t="s">
        <v>51</v>
      </c>
      <c r="AA465" t="s">
        <v>37</v>
      </c>
      <c r="AB465" t="s">
        <v>52</v>
      </c>
      <c r="AC465" t="s">
        <v>53</v>
      </c>
      <c r="AD465" t="s">
        <v>54</v>
      </c>
      <c r="AE465">
        <v>6.7473571786999997</v>
      </c>
      <c r="AF465">
        <v>1225</v>
      </c>
      <c r="AG465">
        <v>1224.9041797699999</v>
      </c>
      <c r="AH465">
        <v>67474.649081099997</v>
      </c>
      <c r="AI465">
        <v>43</v>
      </c>
      <c r="AJ465">
        <v>29504.0091660125</v>
      </c>
      <c r="AK465" s="1">
        <f>intersection_ss_Lnight___surface[[#This Row],[surf m2 bout ss]]/intersection_ss_Lnight___surface[[#This Row],[Shape_Area]]</f>
        <v>0.43726065370937556</v>
      </c>
      <c r="AL465">
        <v>589</v>
      </c>
      <c r="AM465">
        <f>intersection_ss_Lnight___surface[[#This Row],[Population totale 2024 ss]]*intersection_ss_Lnight___surface[[#This Row],[Part de la surface du qs dans le noise contour]]</f>
        <v>257.5465250348222</v>
      </c>
    </row>
    <row r="466" spans="1:39" x14ac:dyDescent="0.3">
      <c r="A466">
        <v>478</v>
      </c>
      <c r="B466" t="s">
        <v>1235</v>
      </c>
      <c r="C466" t="s">
        <v>1236</v>
      </c>
      <c r="D466" t="s">
        <v>1237</v>
      </c>
      <c r="E466" t="s">
        <v>1237</v>
      </c>
      <c r="F466" t="s">
        <v>1228</v>
      </c>
      <c r="G466" t="s">
        <v>1079</v>
      </c>
      <c r="H466" t="s">
        <v>1080</v>
      </c>
      <c r="I466" t="s">
        <v>1081</v>
      </c>
      <c r="J466" t="s">
        <v>36</v>
      </c>
      <c r="K466">
        <v>21015</v>
      </c>
      <c r="L466" t="s">
        <v>1082</v>
      </c>
      <c r="M466" t="s">
        <v>1083</v>
      </c>
      <c r="N466" t="s">
        <v>1083</v>
      </c>
      <c r="O466">
        <v>21000</v>
      </c>
      <c r="P466" t="s">
        <v>46</v>
      </c>
      <c r="Q466" t="s">
        <v>47</v>
      </c>
      <c r="R466" t="s">
        <v>48</v>
      </c>
      <c r="T466" t="s">
        <v>36</v>
      </c>
      <c r="U466" t="s">
        <v>36</v>
      </c>
      <c r="V466" t="s">
        <v>36</v>
      </c>
      <c r="W466">
        <v>4000</v>
      </c>
      <c r="X466" t="s">
        <v>49</v>
      </c>
      <c r="Y466" t="s">
        <v>50</v>
      </c>
      <c r="Z466" t="s">
        <v>51</v>
      </c>
      <c r="AA466" t="s">
        <v>37</v>
      </c>
      <c r="AB466" t="s">
        <v>52</v>
      </c>
      <c r="AC466" t="s">
        <v>53</v>
      </c>
      <c r="AD466" t="s">
        <v>54</v>
      </c>
      <c r="AE466">
        <v>6.7473571786999997</v>
      </c>
      <c r="AF466">
        <v>1225</v>
      </c>
      <c r="AG466">
        <v>1224.9041797699999</v>
      </c>
      <c r="AH466">
        <v>67474.649081099997</v>
      </c>
      <c r="AI466">
        <v>44</v>
      </c>
      <c r="AJ466">
        <v>37109.8743012259</v>
      </c>
      <c r="AK466" s="1">
        <f>intersection_ss_Lnight___surface[[#This Row],[surf m2 bout ss]]/intersection_ss_Lnight___surface[[#This Row],[Shape_Area]]</f>
        <v>0.54998247203364214</v>
      </c>
      <c r="AL466">
        <v>589</v>
      </c>
      <c r="AM466">
        <f>intersection_ss_Lnight___surface[[#This Row],[Population totale 2024 ss]]*intersection_ss_Lnight___surface[[#This Row],[Part de la surface du qs dans le noise contour]]</f>
        <v>323.93967602781521</v>
      </c>
    </row>
    <row r="467" spans="1:39" x14ac:dyDescent="0.3">
      <c r="A467">
        <v>479</v>
      </c>
      <c r="B467" t="s">
        <v>1238</v>
      </c>
      <c r="C467" t="s">
        <v>228</v>
      </c>
      <c r="D467" t="s">
        <v>229</v>
      </c>
      <c r="E467" t="s">
        <v>229</v>
      </c>
      <c r="F467" t="s">
        <v>1239</v>
      </c>
      <c r="G467" t="s">
        <v>1240</v>
      </c>
      <c r="H467" t="s">
        <v>1241</v>
      </c>
      <c r="I467" t="s">
        <v>1242</v>
      </c>
      <c r="J467" t="s">
        <v>36</v>
      </c>
      <c r="K467">
        <v>21017</v>
      </c>
      <c r="L467" t="s">
        <v>1243</v>
      </c>
      <c r="M467" t="s">
        <v>1244</v>
      </c>
      <c r="N467" t="s">
        <v>1244</v>
      </c>
      <c r="O467">
        <v>21000</v>
      </c>
      <c r="P467" t="s">
        <v>46</v>
      </c>
      <c r="Q467" t="s">
        <v>47</v>
      </c>
      <c r="R467" t="s">
        <v>48</v>
      </c>
      <c r="T467" t="s">
        <v>36</v>
      </c>
      <c r="U467" t="s">
        <v>36</v>
      </c>
      <c r="V467" t="s">
        <v>36</v>
      </c>
      <c r="W467">
        <v>4000</v>
      </c>
      <c r="X467" t="s">
        <v>49</v>
      </c>
      <c r="Y467" t="s">
        <v>50</v>
      </c>
      <c r="Z467" t="s">
        <v>51</v>
      </c>
      <c r="AA467" t="s">
        <v>37</v>
      </c>
      <c r="AB467" t="s">
        <v>52</v>
      </c>
      <c r="AC467" t="s">
        <v>53</v>
      </c>
      <c r="AD467" t="s">
        <v>54</v>
      </c>
      <c r="AE467">
        <v>752.56164635200003</v>
      </c>
      <c r="AF467">
        <v>15889</v>
      </c>
      <c r="AG467">
        <v>15888.918578700001</v>
      </c>
      <c r="AH467">
        <v>7525737.7864699997</v>
      </c>
      <c r="AI467">
        <v>40</v>
      </c>
      <c r="AJ467">
        <v>774364.85316600499</v>
      </c>
      <c r="AK467" s="1">
        <f>intersection_ss_Lnight___surface[[#This Row],[surf m2 bout ss]]/intersection_ss_Lnight___surface[[#This Row],[Shape_Area]]</f>
        <v>0.10289553996395964</v>
      </c>
      <c r="AL467">
        <v>4</v>
      </c>
      <c r="AM467">
        <f>intersection_ss_Lnight___surface[[#This Row],[Population totale 2024 ss]]*intersection_ss_Lnight___surface[[#This Row],[Part de la surface du qs dans le noise contour]]</f>
        <v>0.41158215985583857</v>
      </c>
    </row>
    <row r="468" spans="1:39" x14ac:dyDescent="0.3">
      <c r="A468">
        <v>480</v>
      </c>
      <c r="B468" t="s">
        <v>1238</v>
      </c>
      <c r="C468" t="s">
        <v>228</v>
      </c>
      <c r="D468" t="s">
        <v>229</v>
      </c>
      <c r="E468" t="s">
        <v>229</v>
      </c>
      <c r="F468" t="s">
        <v>1239</v>
      </c>
      <c r="G468" t="s">
        <v>1240</v>
      </c>
      <c r="H468" t="s">
        <v>1241</v>
      </c>
      <c r="I468" t="s">
        <v>1242</v>
      </c>
      <c r="J468" t="s">
        <v>36</v>
      </c>
      <c r="K468">
        <v>21017</v>
      </c>
      <c r="L468" t="s">
        <v>1243</v>
      </c>
      <c r="M468" t="s">
        <v>1244</v>
      </c>
      <c r="N468" t="s">
        <v>1244</v>
      </c>
      <c r="O468">
        <v>21000</v>
      </c>
      <c r="P468" t="s">
        <v>46</v>
      </c>
      <c r="Q468" t="s">
        <v>47</v>
      </c>
      <c r="R468" t="s">
        <v>48</v>
      </c>
      <c r="T468" t="s">
        <v>36</v>
      </c>
      <c r="U468" t="s">
        <v>36</v>
      </c>
      <c r="V468" t="s">
        <v>36</v>
      </c>
      <c r="W468">
        <v>4000</v>
      </c>
      <c r="X468" t="s">
        <v>49</v>
      </c>
      <c r="Y468" t="s">
        <v>50</v>
      </c>
      <c r="Z468" t="s">
        <v>51</v>
      </c>
      <c r="AA468" t="s">
        <v>37</v>
      </c>
      <c r="AB468" t="s">
        <v>52</v>
      </c>
      <c r="AC468" t="s">
        <v>53</v>
      </c>
      <c r="AD468" t="s">
        <v>54</v>
      </c>
      <c r="AE468">
        <v>752.56164635200003</v>
      </c>
      <c r="AF468">
        <v>15889</v>
      </c>
      <c r="AG468">
        <v>15888.918578700001</v>
      </c>
      <c r="AH468">
        <v>7525737.7864699997</v>
      </c>
      <c r="AI468">
        <v>41</v>
      </c>
      <c r="AJ468">
        <v>524248.119991816</v>
      </c>
      <c r="AK468" s="1">
        <f>intersection_ss_Lnight___surface[[#This Row],[surf m2 bout ss]]/intersection_ss_Lnight___surface[[#This Row],[Shape_Area]]</f>
        <v>6.9660694388572142E-2</v>
      </c>
      <c r="AL468">
        <v>4</v>
      </c>
      <c r="AM468">
        <f>intersection_ss_Lnight___surface[[#This Row],[Population totale 2024 ss]]*intersection_ss_Lnight___surface[[#This Row],[Part de la surface du qs dans le noise contour]]</f>
        <v>0.27864277755428857</v>
      </c>
    </row>
    <row r="469" spans="1:39" x14ac:dyDescent="0.3">
      <c r="A469">
        <v>481</v>
      </c>
      <c r="B469" t="s">
        <v>1238</v>
      </c>
      <c r="C469" t="s">
        <v>228</v>
      </c>
      <c r="D469" t="s">
        <v>229</v>
      </c>
      <c r="E469" t="s">
        <v>229</v>
      </c>
      <c r="F469" t="s">
        <v>1239</v>
      </c>
      <c r="G469" t="s">
        <v>1240</v>
      </c>
      <c r="H469" t="s">
        <v>1241</v>
      </c>
      <c r="I469" t="s">
        <v>1242</v>
      </c>
      <c r="J469" t="s">
        <v>36</v>
      </c>
      <c r="K469">
        <v>21017</v>
      </c>
      <c r="L469" t="s">
        <v>1243</v>
      </c>
      <c r="M469" t="s">
        <v>1244</v>
      </c>
      <c r="N469" t="s">
        <v>1244</v>
      </c>
      <c r="O469">
        <v>21000</v>
      </c>
      <c r="P469" t="s">
        <v>46</v>
      </c>
      <c r="Q469" t="s">
        <v>47</v>
      </c>
      <c r="R469" t="s">
        <v>48</v>
      </c>
      <c r="T469" t="s">
        <v>36</v>
      </c>
      <c r="U469" t="s">
        <v>36</v>
      </c>
      <c r="V469" t="s">
        <v>36</v>
      </c>
      <c r="W469">
        <v>4000</v>
      </c>
      <c r="X469" t="s">
        <v>49</v>
      </c>
      <c r="Y469" t="s">
        <v>50</v>
      </c>
      <c r="Z469" t="s">
        <v>51</v>
      </c>
      <c r="AA469" t="s">
        <v>37</v>
      </c>
      <c r="AB469" t="s">
        <v>52</v>
      </c>
      <c r="AC469" t="s">
        <v>53</v>
      </c>
      <c r="AD469" t="s">
        <v>54</v>
      </c>
      <c r="AE469">
        <v>752.56164635200003</v>
      </c>
      <c r="AF469">
        <v>15889</v>
      </c>
      <c r="AG469">
        <v>15888.918578700001</v>
      </c>
      <c r="AH469">
        <v>7525737.7864699997</v>
      </c>
      <c r="AI469">
        <v>42</v>
      </c>
      <c r="AJ469">
        <v>474.88975725136697</v>
      </c>
      <c r="AK469" s="1">
        <f>intersection_ss_Lnight___surface[[#This Row],[surf m2 bout ss]]/intersection_ss_Lnight___surface[[#This Row],[Shape_Area]]</f>
        <v>6.3102086562880013E-5</v>
      </c>
      <c r="AL469">
        <v>4</v>
      </c>
      <c r="AM469">
        <f>intersection_ss_Lnight___surface[[#This Row],[Population totale 2024 ss]]*intersection_ss_Lnight___surface[[#This Row],[Part de la surface du qs dans le noise contour]]</f>
        <v>2.5240834625152005E-4</v>
      </c>
    </row>
    <row r="470" spans="1:39" x14ac:dyDescent="0.3">
      <c r="A470">
        <v>482</v>
      </c>
      <c r="B470" t="s">
        <v>1245</v>
      </c>
      <c r="C470" t="s">
        <v>1246</v>
      </c>
      <c r="D470" t="s">
        <v>1246</v>
      </c>
      <c r="E470" t="s">
        <v>1246</v>
      </c>
      <c r="F470" t="s">
        <v>1247</v>
      </c>
      <c r="G470" t="s">
        <v>1248</v>
      </c>
      <c r="H470" t="s">
        <v>1249</v>
      </c>
      <c r="I470" t="s">
        <v>1250</v>
      </c>
      <c r="J470" t="s">
        <v>36</v>
      </c>
      <c r="K470">
        <v>21018</v>
      </c>
      <c r="L470" t="s">
        <v>1251</v>
      </c>
      <c r="M470" t="s">
        <v>1252</v>
      </c>
      <c r="N470" t="s">
        <v>1252</v>
      </c>
      <c r="O470">
        <v>21000</v>
      </c>
      <c r="P470" t="s">
        <v>46</v>
      </c>
      <c r="Q470" t="s">
        <v>47</v>
      </c>
      <c r="R470" t="s">
        <v>48</v>
      </c>
      <c r="T470" t="s">
        <v>36</v>
      </c>
      <c r="U470" t="s">
        <v>36</v>
      </c>
      <c r="V470" t="s">
        <v>36</v>
      </c>
      <c r="W470">
        <v>4000</v>
      </c>
      <c r="X470" t="s">
        <v>49</v>
      </c>
      <c r="Y470" t="s">
        <v>50</v>
      </c>
      <c r="Z470" t="s">
        <v>51</v>
      </c>
      <c r="AA470" t="s">
        <v>37</v>
      </c>
      <c r="AB470" t="s">
        <v>52</v>
      </c>
      <c r="AC470" t="s">
        <v>53</v>
      </c>
      <c r="AD470" t="s">
        <v>54</v>
      </c>
      <c r="AE470">
        <v>15.8631941024</v>
      </c>
      <c r="AF470">
        <v>1645</v>
      </c>
      <c r="AG470">
        <v>1645.0311745700001</v>
      </c>
      <c r="AH470">
        <v>158634.508482</v>
      </c>
      <c r="AI470">
        <v>40</v>
      </c>
      <c r="AJ470">
        <v>39414.354432014698</v>
      </c>
      <c r="AK470" s="1">
        <f>intersection_ss_Lnight___surface[[#This Row],[surf m2 bout ss]]/intersection_ss_Lnight___surface[[#This Row],[Shape_Area]]</f>
        <v>0.24846015415672926</v>
      </c>
      <c r="AL470">
        <v>1708</v>
      </c>
      <c r="AM470">
        <f>intersection_ss_Lnight___surface[[#This Row],[Population totale 2024 ss]]*intersection_ss_Lnight___surface[[#This Row],[Part de la surface du qs dans le noise contour]]</f>
        <v>424.36994329969355</v>
      </c>
    </row>
    <row r="471" spans="1:39" x14ac:dyDescent="0.3">
      <c r="A471">
        <v>483</v>
      </c>
      <c r="B471" t="s">
        <v>1245</v>
      </c>
      <c r="C471" t="s">
        <v>1246</v>
      </c>
      <c r="D471" t="s">
        <v>1246</v>
      </c>
      <c r="E471" t="s">
        <v>1246</v>
      </c>
      <c r="F471" t="s">
        <v>1247</v>
      </c>
      <c r="G471" t="s">
        <v>1248</v>
      </c>
      <c r="H471" t="s">
        <v>1249</v>
      </c>
      <c r="I471" t="s">
        <v>1250</v>
      </c>
      <c r="J471" t="s">
        <v>36</v>
      </c>
      <c r="K471">
        <v>21018</v>
      </c>
      <c r="L471" t="s">
        <v>1251</v>
      </c>
      <c r="M471" t="s">
        <v>1252</v>
      </c>
      <c r="N471" t="s">
        <v>1252</v>
      </c>
      <c r="O471">
        <v>21000</v>
      </c>
      <c r="P471" t="s">
        <v>46</v>
      </c>
      <c r="Q471" t="s">
        <v>47</v>
      </c>
      <c r="R471" t="s">
        <v>48</v>
      </c>
      <c r="T471" t="s">
        <v>36</v>
      </c>
      <c r="U471" t="s">
        <v>36</v>
      </c>
      <c r="V471" t="s">
        <v>36</v>
      </c>
      <c r="W471">
        <v>4000</v>
      </c>
      <c r="X471" t="s">
        <v>49</v>
      </c>
      <c r="Y471" t="s">
        <v>50</v>
      </c>
      <c r="Z471" t="s">
        <v>51</v>
      </c>
      <c r="AA471" t="s">
        <v>37</v>
      </c>
      <c r="AB471" t="s">
        <v>52</v>
      </c>
      <c r="AC471" t="s">
        <v>53</v>
      </c>
      <c r="AD471" t="s">
        <v>54</v>
      </c>
      <c r="AE471">
        <v>15.8631941024</v>
      </c>
      <c r="AF471">
        <v>1645</v>
      </c>
      <c r="AG471">
        <v>1645.0311745700001</v>
      </c>
      <c r="AH471">
        <v>158634.508482</v>
      </c>
      <c r="AI471">
        <v>41</v>
      </c>
      <c r="AJ471">
        <v>119235.91325485399</v>
      </c>
      <c r="AK471" s="1">
        <f>intersection_ss_Lnight___surface[[#This Row],[surf m2 bout ss]]/intersection_ss_Lnight___surface[[#This Row],[Shape_Area]]</f>
        <v>0.75163918869760604</v>
      </c>
      <c r="AL471">
        <v>1708</v>
      </c>
      <c r="AM471">
        <f>intersection_ss_Lnight___surface[[#This Row],[Population totale 2024 ss]]*intersection_ss_Lnight___surface[[#This Row],[Part de la surface du qs dans le noise contour]]</f>
        <v>1283.7997342955111</v>
      </c>
    </row>
    <row r="472" spans="1:39" x14ac:dyDescent="0.3">
      <c r="A472">
        <v>484</v>
      </c>
      <c r="B472" t="s">
        <v>1253</v>
      </c>
      <c r="C472" t="s">
        <v>1254</v>
      </c>
      <c r="D472" t="s">
        <v>1255</v>
      </c>
      <c r="E472" t="s">
        <v>1255</v>
      </c>
      <c r="F472" t="s">
        <v>1247</v>
      </c>
      <c r="G472" t="s">
        <v>1248</v>
      </c>
      <c r="H472" t="s">
        <v>1249</v>
      </c>
      <c r="I472" t="s">
        <v>1250</v>
      </c>
      <c r="J472" t="s">
        <v>36</v>
      </c>
      <c r="K472">
        <v>21018</v>
      </c>
      <c r="L472" t="s">
        <v>1251</v>
      </c>
      <c r="M472" t="s">
        <v>1252</v>
      </c>
      <c r="N472" t="s">
        <v>1252</v>
      </c>
      <c r="O472">
        <v>21000</v>
      </c>
      <c r="P472" t="s">
        <v>46</v>
      </c>
      <c r="Q472" t="s">
        <v>47</v>
      </c>
      <c r="R472" t="s">
        <v>48</v>
      </c>
      <c r="T472" t="s">
        <v>36</v>
      </c>
      <c r="U472" t="s">
        <v>36</v>
      </c>
      <c r="V472" t="s">
        <v>36</v>
      </c>
      <c r="W472">
        <v>4000</v>
      </c>
      <c r="X472" t="s">
        <v>49</v>
      </c>
      <c r="Y472" t="s">
        <v>50</v>
      </c>
      <c r="Z472" t="s">
        <v>51</v>
      </c>
      <c r="AA472" t="s">
        <v>37</v>
      </c>
      <c r="AB472" t="s">
        <v>52</v>
      </c>
      <c r="AC472" t="s">
        <v>53</v>
      </c>
      <c r="AD472" t="s">
        <v>54</v>
      </c>
      <c r="AE472">
        <v>23.9693393869</v>
      </c>
      <c r="AF472">
        <v>2435</v>
      </c>
      <c r="AG472">
        <v>2435.1157795499998</v>
      </c>
      <c r="AH472">
        <v>239697.24205199999</v>
      </c>
      <c r="AI472">
        <v>40</v>
      </c>
      <c r="AJ472">
        <v>39175.252941500599</v>
      </c>
      <c r="AK472" s="1">
        <f>intersection_ss_Lnight___surface[[#This Row],[surf m2 bout ss]]/intersection_ss_Lnight___surface[[#This Row],[Shape_Area]]</f>
        <v>0.16343639420349237</v>
      </c>
      <c r="AL472">
        <v>1204</v>
      </c>
      <c r="AM472">
        <f>intersection_ss_Lnight___surface[[#This Row],[Population totale 2024 ss]]*intersection_ss_Lnight___surface[[#This Row],[Part de la surface du qs dans le noise contour]]</f>
        <v>196.77741862100481</v>
      </c>
    </row>
    <row r="473" spans="1:39" x14ac:dyDescent="0.3">
      <c r="A473">
        <v>485</v>
      </c>
      <c r="B473" t="s">
        <v>1253</v>
      </c>
      <c r="C473" t="s">
        <v>1254</v>
      </c>
      <c r="D473" t="s">
        <v>1255</v>
      </c>
      <c r="E473" t="s">
        <v>1255</v>
      </c>
      <c r="F473" t="s">
        <v>1247</v>
      </c>
      <c r="G473" t="s">
        <v>1248</v>
      </c>
      <c r="H473" t="s">
        <v>1249</v>
      </c>
      <c r="I473" t="s">
        <v>1250</v>
      </c>
      <c r="J473" t="s">
        <v>36</v>
      </c>
      <c r="K473">
        <v>21018</v>
      </c>
      <c r="L473" t="s">
        <v>1251</v>
      </c>
      <c r="M473" t="s">
        <v>1252</v>
      </c>
      <c r="N473" t="s">
        <v>1252</v>
      </c>
      <c r="O473">
        <v>21000</v>
      </c>
      <c r="P473" t="s">
        <v>46</v>
      </c>
      <c r="Q473" t="s">
        <v>47</v>
      </c>
      <c r="R473" t="s">
        <v>48</v>
      </c>
      <c r="T473" t="s">
        <v>36</v>
      </c>
      <c r="U473" t="s">
        <v>36</v>
      </c>
      <c r="V473" t="s">
        <v>36</v>
      </c>
      <c r="W473">
        <v>4000</v>
      </c>
      <c r="X473" t="s">
        <v>49</v>
      </c>
      <c r="Y473" t="s">
        <v>50</v>
      </c>
      <c r="Z473" t="s">
        <v>51</v>
      </c>
      <c r="AA473" t="s">
        <v>37</v>
      </c>
      <c r="AB473" t="s">
        <v>52</v>
      </c>
      <c r="AC473" t="s">
        <v>53</v>
      </c>
      <c r="AD473" t="s">
        <v>54</v>
      </c>
      <c r="AE473">
        <v>23.9693393869</v>
      </c>
      <c r="AF473">
        <v>2435</v>
      </c>
      <c r="AG473">
        <v>2435.1157795499998</v>
      </c>
      <c r="AH473">
        <v>239697.24205199999</v>
      </c>
      <c r="AI473">
        <v>41</v>
      </c>
      <c r="AJ473">
        <v>164037.66896973801</v>
      </c>
      <c r="AK473" s="1">
        <f>intersection_ss_Lnight___surface[[#This Row],[surf m2 bout ss]]/intersection_ss_Lnight___surface[[#This Row],[Shape_Area]]</f>
        <v>0.68435359358098757</v>
      </c>
      <c r="AL473">
        <v>1204</v>
      </c>
      <c r="AM473">
        <f>intersection_ss_Lnight___surface[[#This Row],[Population totale 2024 ss]]*intersection_ss_Lnight___surface[[#This Row],[Part de la surface du qs dans le noise contour]]</f>
        <v>823.96172667150904</v>
      </c>
    </row>
    <row r="474" spans="1:39" x14ac:dyDescent="0.3">
      <c r="A474">
        <v>486</v>
      </c>
      <c r="B474" t="s">
        <v>1253</v>
      </c>
      <c r="C474" t="s">
        <v>1254</v>
      </c>
      <c r="D474" t="s">
        <v>1255</v>
      </c>
      <c r="E474" t="s">
        <v>1255</v>
      </c>
      <c r="F474" t="s">
        <v>1247</v>
      </c>
      <c r="G474" t="s">
        <v>1248</v>
      </c>
      <c r="H474" t="s">
        <v>1249</v>
      </c>
      <c r="I474" t="s">
        <v>1250</v>
      </c>
      <c r="J474" t="s">
        <v>36</v>
      </c>
      <c r="K474">
        <v>21018</v>
      </c>
      <c r="L474" t="s">
        <v>1251</v>
      </c>
      <c r="M474" t="s">
        <v>1252</v>
      </c>
      <c r="N474" t="s">
        <v>1252</v>
      </c>
      <c r="O474">
        <v>21000</v>
      </c>
      <c r="P474" t="s">
        <v>46</v>
      </c>
      <c r="Q474" t="s">
        <v>47</v>
      </c>
      <c r="R474" t="s">
        <v>48</v>
      </c>
      <c r="T474" t="s">
        <v>36</v>
      </c>
      <c r="U474" t="s">
        <v>36</v>
      </c>
      <c r="V474" t="s">
        <v>36</v>
      </c>
      <c r="W474">
        <v>4000</v>
      </c>
      <c r="X474" t="s">
        <v>49</v>
      </c>
      <c r="Y474" t="s">
        <v>50</v>
      </c>
      <c r="Z474" t="s">
        <v>51</v>
      </c>
      <c r="AA474" t="s">
        <v>37</v>
      </c>
      <c r="AB474" t="s">
        <v>52</v>
      </c>
      <c r="AC474" t="s">
        <v>53</v>
      </c>
      <c r="AD474" t="s">
        <v>54</v>
      </c>
      <c r="AE474">
        <v>23.9693393869</v>
      </c>
      <c r="AF474">
        <v>2435</v>
      </c>
      <c r="AG474">
        <v>2435.1157795499998</v>
      </c>
      <c r="AH474">
        <v>239697.24205199999</v>
      </c>
      <c r="AI474">
        <v>42</v>
      </c>
      <c r="AJ474">
        <v>36508.190434139498</v>
      </c>
      <c r="AK474" s="1">
        <f>intersection_ss_Lnight___surface[[#This Row],[surf m2 bout ss]]/intersection_ss_Lnight___surface[[#This Row],[Shape_Area]]</f>
        <v>0.15230959739711733</v>
      </c>
      <c r="AL474">
        <v>1204</v>
      </c>
      <c r="AM474">
        <f>intersection_ss_Lnight___surface[[#This Row],[Population totale 2024 ss]]*intersection_ss_Lnight___surface[[#This Row],[Part de la surface du qs dans le noise contour]]</f>
        <v>183.38075526612926</v>
      </c>
    </row>
    <row r="475" spans="1:39" x14ac:dyDescent="0.3">
      <c r="A475">
        <v>487</v>
      </c>
      <c r="B475" t="s">
        <v>1256</v>
      </c>
      <c r="C475" t="s">
        <v>1257</v>
      </c>
      <c r="D475" t="s">
        <v>1258</v>
      </c>
      <c r="E475" t="s">
        <v>1258</v>
      </c>
      <c r="F475" t="s">
        <v>1247</v>
      </c>
      <c r="G475" t="s">
        <v>1248</v>
      </c>
      <c r="H475" t="s">
        <v>1249</v>
      </c>
      <c r="I475" t="s">
        <v>1250</v>
      </c>
      <c r="J475" t="s">
        <v>36</v>
      </c>
      <c r="K475">
        <v>21018</v>
      </c>
      <c r="L475" t="s">
        <v>1251</v>
      </c>
      <c r="M475" t="s">
        <v>1252</v>
      </c>
      <c r="N475" t="s">
        <v>1252</v>
      </c>
      <c r="O475">
        <v>21000</v>
      </c>
      <c r="P475" t="s">
        <v>46</v>
      </c>
      <c r="Q475" t="s">
        <v>47</v>
      </c>
      <c r="R475" t="s">
        <v>48</v>
      </c>
      <c r="T475" t="s">
        <v>36</v>
      </c>
      <c r="U475" t="s">
        <v>36</v>
      </c>
      <c r="V475" t="s">
        <v>36</v>
      </c>
      <c r="W475">
        <v>4000</v>
      </c>
      <c r="X475" t="s">
        <v>49</v>
      </c>
      <c r="Y475" t="s">
        <v>50</v>
      </c>
      <c r="Z475" t="s">
        <v>51</v>
      </c>
      <c r="AA475" t="s">
        <v>37</v>
      </c>
      <c r="AB475" t="s">
        <v>52</v>
      </c>
      <c r="AC475" t="s">
        <v>53</v>
      </c>
      <c r="AD475" t="s">
        <v>54</v>
      </c>
      <c r="AE475">
        <v>11.2473222923</v>
      </c>
      <c r="AF475">
        <v>2122</v>
      </c>
      <c r="AG475">
        <v>2121.5312616299998</v>
      </c>
      <c r="AH475">
        <v>112475.02525999999</v>
      </c>
      <c r="AI475">
        <v>40</v>
      </c>
      <c r="AJ475">
        <v>88641.675902403396</v>
      </c>
      <c r="AK475" s="1">
        <f>intersection_ss_Lnight___surface[[#This Row],[surf m2 bout ss]]/intersection_ss_Lnight___surface[[#This Row],[Shape_Area]]</f>
        <v>0.78810096461411905</v>
      </c>
      <c r="AL475">
        <v>1365</v>
      </c>
      <c r="AM475">
        <f>intersection_ss_Lnight___surface[[#This Row],[Population totale 2024 ss]]*intersection_ss_Lnight___surface[[#This Row],[Part de la surface du qs dans le noise contour]]</f>
        <v>1075.7578166982726</v>
      </c>
    </row>
    <row r="476" spans="1:39" x14ac:dyDescent="0.3">
      <c r="A476">
        <v>488</v>
      </c>
      <c r="B476" t="s">
        <v>1256</v>
      </c>
      <c r="C476" t="s">
        <v>1257</v>
      </c>
      <c r="D476" t="s">
        <v>1258</v>
      </c>
      <c r="E476" t="s">
        <v>1258</v>
      </c>
      <c r="F476" t="s">
        <v>1247</v>
      </c>
      <c r="G476" t="s">
        <v>1248</v>
      </c>
      <c r="H476" t="s">
        <v>1249</v>
      </c>
      <c r="I476" t="s">
        <v>1250</v>
      </c>
      <c r="J476" t="s">
        <v>36</v>
      </c>
      <c r="K476">
        <v>21018</v>
      </c>
      <c r="L476" t="s">
        <v>1251</v>
      </c>
      <c r="M476" t="s">
        <v>1252</v>
      </c>
      <c r="N476" t="s">
        <v>1252</v>
      </c>
      <c r="O476">
        <v>21000</v>
      </c>
      <c r="P476" t="s">
        <v>46</v>
      </c>
      <c r="Q476" t="s">
        <v>47</v>
      </c>
      <c r="R476" t="s">
        <v>48</v>
      </c>
      <c r="T476" t="s">
        <v>36</v>
      </c>
      <c r="U476" t="s">
        <v>36</v>
      </c>
      <c r="V476" t="s">
        <v>36</v>
      </c>
      <c r="W476">
        <v>4000</v>
      </c>
      <c r="X476" t="s">
        <v>49</v>
      </c>
      <c r="Y476" t="s">
        <v>50</v>
      </c>
      <c r="Z476" t="s">
        <v>51</v>
      </c>
      <c r="AA476" t="s">
        <v>37</v>
      </c>
      <c r="AB476" t="s">
        <v>52</v>
      </c>
      <c r="AC476" t="s">
        <v>53</v>
      </c>
      <c r="AD476" t="s">
        <v>54</v>
      </c>
      <c r="AE476">
        <v>11.2473222923</v>
      </c>
      <c r="AF476">
        <v>2122</v>
      </c>
      <c r="AG476">
        <v>2121.5312616299998</v>
      </c>
      <c r="AH476">
        <v>112475.02525999999</v>
      </c>
      <c r="AI476">
        <v>41</v>
      </c>
      <c r="AJ476">
        <v>1034.63655384001</v>
      </c>
      <c r="AK476" s="1">
        <f>intersection_ss_Lnight___surface[[#This Row],[surf m2 bout ss]]/intersection_ss_Lnight___surface[[#This Row],[Shape_Area]]</f>
        <v>9.1988114823563644E-3</v>
      </c>
      <c r="AL476">
        <v>1365</v>
      </c>
      <c r="AM476">
        <f>intersection_ss_Lnight___surface[[#This Row],[Population totale 2024 ss]]*intersection_ss_Lnight___surface[[#This Row],[Part de la surface du qs dans le noise contour]]</f>
        <v>12.556377673416437</v>
      </c>
    </row>
    <row r="477" spans="1:39" x14ac:dyDescent="0.3">
      <c r="A477">
        <v>489</v>
      </c>
      <c r="B477" t="s">
        <v>1259</v>
      </c>
      <c r="C477" t="s">
        <v>1260</v>
      </c>
      <c r="D477" t="s">
        <v>1260</v>
      </c>
      <c r="E477" t="s">
        <v>1260</v>
      </c>
      <c r="F477" t="s">
        <v>1247</v>
      </c>
      <c r="G477" t="s">
        <v>1248</v>
      </c>
      <c r="H477" t="s">
        <v>1249</v>
      </c>
      <c r="I477" t="s">
        <v>1250</v>
      </c>
      <c r="J477" t="s">
        <v>36</v>
      </c>
      <c r="K477">
        <v>21018</v>
      </c>
      <c r="L477" t="s">
        <v>1251</v>
      </c>
      <c r="M477" t="s">
        <v>1252</v>
      </c>
      <c r="N477" t="s">
        <v>1252</v>
      </c>
      <c r="O477">
        <v>21000</v>
      </c>
      <c r="P477" t="s">
        <v>46</v>
      </c>
      <c r="Q477" t="s">
        <v>47</v>
      </c>
      <c r="R477" t="s">
        <v>48</v>
      </c>
      <c r="T477" t="s">
        <v>36</v>
      </c>
      <c r="U477" t="s">
        <v>36</v>
      </c>
      <c r="V477" t="s">
        <v>36</v>
      </c>
      <c r="W477">
        <v>4000</v>
      </c>
      <c r="X477" t="s">
        <v>49</v>
      </c>
      <c r="Y477" t="s">
        <v>50</v>
      </c>
      <c r="Z477" t="s">
        <v>51</v>
      </c>
      <c r="AA477" t="s">
        <v>37</v>
      </c>
      <c r="AB477" t="s">
        <v>52</v>
      </c>
      <c r="AC477" t="s">
        <v>53</v>
      </c>
      <c r="AD477" t="s">
        <v>54</v>
      </c>
      <c r="AE477">
        <v>8.5512723134099993</v>
      </c>
      <c r="AF477">
        <v>1418</v>
      </c>
      <c r="AG477">
        <v>1417.6799415200001</v>
      </c>
      <c r="AH477">
        <v>85514.101873000007</v>
      </c>
      <c r="AI477">
        <v>40</v>
      </c>
      <c r="AJ477">
        <v>34728.493638985798</v>
      </c>
      <c r="AK477" s="1">
        <f>intersection_ss_Lnight___surface[[#This Row],[surf m2 bout ss]]/intersection_ss_Lnight___surface[[#This Row],[Shape_Area]]</f>
        <v>0.40611423003146663</v>
      </c>
      <c r="AL477">
        <v>1635</v>
      </c>
      <c r="AM477">
        <f>intersection_ss_Lnight___surface[[#This Row],[Population totale 2024 ss]]*intersection_ss_Lnight___surface[[#This Row],[Part de la surface du qs dans le noise contour]]</f>
        <v>663.99676610144797</v>
      </c>
    </row>
    <row r="478" spans="1:39" x14ac:dyDescent="0.3">
      <c r="A478">
        <v>490</v>
      </c>
      <c r="B478" t="s">
        <v>1261</v>
      </c>
      <c r="C478" t="s">
        <v>1262</v>
      </c>
      <c r="D478" t="s">
        <v>1262</v>
      </c>
      <c r="E478" t="s">
        <v>1262</v>
      </c>
      <c r="F478" t="s">
        <v>1247</v>
      </c>
      <c r="G478" t="s">
        <v>1248</v>
      </c>
      <c r="H478" t="s">
        <v>1249</v>
      </c>
      <c r="I478" t="s">
        <v>1250</v>
      </c>
      <c r="J478" t="s">
        <v>36</v>
      </c>
      <c r="K478">
        <v>21018</v>
      </c>
      <c r="L478" t="s">
        <v>1251</v>
      </c>
      <c r="M478" t="s">
        <v>1252</v>
      </c>
      <c r="N478" t="s">
        <v>1252</v>
      </c>
      <c r="O478">
        <v>21000</v>
      </c>
      <c r="P478" t="s">
        <v>46</v>
      </c>
      <c r="Q478" t="s">
        <v>47</v>
      </c>
      <c r="R478" t="s">
        <v>48</v>
      </c>
      <c r="T478" t="s">
        <v>36</v>
      </c>
      <c r="U478" t="s">
        <v>36</v>
      </c>
      <c r="V478" t="s">
        <v>36</v>
      </c>
      <c r="W478">
        <v>4000</v>
      </c>
      <c r="X478" t="s">
        <v>49</v>
      </c>
      <c r="Y478" t="s">
        <v>50</v>
      </c>
      <c r="Z478" t="s">
        <v>51</v>
      </c>
      <c r="AA478" t="s">
        <v>37</v>
      </c>
      <c r="AB478" t="s">
        <v>52</v>
      </c>
      <c r="AC478" t="s">
        <v>53</v>
      </c>
      <c r="AD478" t="s">
        <v>54</v>
      </c>
      <c r="AE478">
        <v>10.2434495092</v>
      </c>
      <c r="AF478">
        <v>1487</v>
      </c>
      <c r="AG478">
        <v>1486.73896666</v>
      </c>
      <c r="AH478">
        <v>102436.162388</v>
      </c>
      <c r="AI478">
        <v>40</v>
      </c>
      <c r="AJ478">
        <v>84286.195991824803</v>
      </c>
      <c r="AK478" s="1">
        <f>intersection_ss_Lnight___surface[[#This Row],[surf m2 bout ss]]/intersection_ss_Lnight___surface[[#This Row],[Shape_Area]]</f>
        <v>0.82281680635957333</v>
      </c>
      <c r="AL478">
        <v>1897</v>
      </c>
      <c r="AM478">
        <f>intersection_ss_Lnight___surface[[#This Row],[Population totale 2024 ss]]*intersection_ss_Lnight___surface[[#This Row],[Part de la surface du qs dans le noise contour]]</f>
        <v>1560.8834816641106</v>
      </c>
    </row>
    <row r="479" spans="1:39" x14ac:dyDescent="0.3">
      <c r="A479">
        <v>491</v>
      </c>
      <c r="B479" t="s">
        <v>1261</v>
      </c>
      <c r="C479" t="s">
        <v>1262</v>
      </c>
      <c r="D479" t="s">
        <v>1262</v>
      </c>
      <c r="E479" t="s">
        <v>1262</v>
      </c>
      <c r="F479" t="s">
        <v>1247</v>
      </c>
      <c r="G479" t="s">
        <v>1248</v>
      </c>
      <c r="H479" t="s">
        <v>1249</v>
      </c>
      <c r="I479" t="s">
        <v>1250</v>
      </c>
      <c r="J479" t="s">
        <v>36</v>
      </c>
      <c r="K479">
        <v>21018</v>
      </c>
      <c r="L479" t="s">
        <v>1251</v>
      </c>
      <c r="M479" t="s">
        <v>1252</v>
      </c>
      <c r="N479" t="s">
        <v>1252</v>
      </c>
      <c r="O479">
        <v>21000</v>
      </c>
      <c r="P479" t="s">
        <v>46</v>
      </c>
      <c r="Q479" t="s">
        <v>47</v>
      </c>
      <c r="R479" t="s">
        <v>48</v>
      </c>
      <c r="T479" t="s">
        <v>36</v>
      </c>
      <c r="U479" t="s">
        <v>36</v>
      </c>
      <c r="V479" t="s">
        <v>36</v>
      </c>
      <c r="W479">
        <v>4000</v>
      </c>
      <c r="X479" t="s">
        <v>49</v>
      </c>
      <c r="Y479" t="s">
        <v>50</v>
      </c>
      <c r="Z479" t="s">
        <v>51</v>
      </c>
      <c r="AA479" t="s">
        <v>37</v>
      </c>
      <c r="AB479" t="s">
        <v>52</v>
      </c>
      <c r="AC479" t="s">
        <v>53</v>
      </c>
      <c r="AD479" t="s">
        <v>54</v>
      </c>
      <c r="AE479">
        <v>10.2434495092</v>
      </c>
      <c r="AF479">
        <v>1487</v>
      </c>
      <c r="AG479">
        <v>1486.73896666</v>
      </c>
      <c r="AH479">
        <v>102436.162388</v>
      </c>
      <c r="AI479">
        <v>41</v>
      </c>
      <c r="AJ479">
        <v>11688.284530802201</v>
      </c>
      <c r="AK479" s="1">
        <f>intersection_ss_Lnight___surface[[#This Row],[surf m2 bout ss]]/intersection_ss_Lnight___surface[[#This Row],[Shape_Area]]</f>
        <v>0.11410310830007664</v>
      </c>
      <c r="AL479">
        <v>1897</v>
      </c>
      <c r="AM479">
        <f>intersection_ss_Lnight___surface[[#This Row],[Population totale 2024 ss]]*intersection_ss_Lnight___surface[[#This Row],[Part de la surface du qs dans le noise contour]]</f>
        <v>216.45359644524538</v>
      </c>
    </row>
    <row r="480" spans="1:39" x14ac:dyDescent="0.3">
      <c r="A480">
        <v>492</v>
      </c>
      <c r="B480" t="s">
        <v>1263</v>
      </c>
      <c r="C480" t="s">
        <v>1264</v>
      </c>
      <c r="D480" t="s">
        <v>1264</v>
      </c>
      <c r="E480" t="s">
        <v>1264</v>
      </c>
      <c r="F480" t="s">
        <v>1247</v>
      </c>
      <c r="G480" t="s">
        <v>1248</v>
      </c>
      <c r="H480" t="s">
        <v>1249</v>
      </c>
      <c r="I480" t="s">
        <v>1250</v>
      </c>
      <c r="J480" t="s">
        <v>36</v>
      </c>
      <c r="K480">
        <v>21018</v>
      </c>
      <c r="L480" t="s">
        <v>1251</v>
      </c>
      <c r="M480" t="s">
        <v>1252</v>
      </c>
      <c r="N480" t="s">
        <v>1252</v>
      </c>
      <c r="O480">
        <v>21000</v>
      </c>
      <c r="P480" t="s">
        <v>46</v>
      </c>
      <c r="Q480" t="s">
        <v>47</v>
      </c>
      <c r="R480" t="s">
        <v>48</v>
      </c>
      <c r="T480" t="s">
        <v>36</v>
      </c>
      <c r="U480" t="s">
        <v>36</v>
      </c>
      <c r="V480" t="s">
        <v>36</v>
      </c>
      <c r="W480">
        <v>4000</v>
      </c>
      <c r="X480" t="s">
        <v>49</v>
      </c>
      <c r="Y480" t="s">
        <v>50</v>
      </c>
      <c r="Z480" t="s">
        <v>51</v>
      </c>
      <c r="AA480" t="s">
        <v>37</v>
      </c>
      <c r="AB480" t="s">
        <v>52</v>
      </c>
      <c r="AC480" t="s">
        <v>53</v>
      </c>
      <c r="AD480" t="s">
        <v>54</v>
      </c>
      <c r="AE480">
        <v>15.9608599496</v>
      </c>
      <c r="AF480">
        <v>1727</v>
      </c>
      <c r="AG480">
        <v>1727.1803146699999</v>
      </c>
      <c r="AH480">
        <v>159611.17429600001</v>
      </c>
      <c r="AI480">
        <v>40</v>
      </c>
      <c r="AJ480">
        <v>37624.685761660301</v>
      </c>
      <c r="AK480" s="1">
        <f>intersection_ss_Lnight___surface[[#This Row],[surf m2 bout ss]]/intersection_ss_Lnight___surface[[#This Row],[Shape_Area]]</f>
        <v>0.2357271408321642</v>
      </c>
      <c r="AL480">
        <v>1246</v>
      </c>
      <c r="AM480">
        <f>intersection_ss_Lnight___surface[[#This Row],[Population totale 2024 ss]]*intersection_ss_Lnight___surface[[#This Row],[Part de la surface du qs dans le noise contour]]</f>
        <v>293.71601747687657</v>
      </c>
    </row>
    <row r="481" spans="1:39" x14ac:dyDescent="0.3">
      <c r="A481">
        <v>493</v>
      </c>
      <c r="B481" t="s">
        <v>1263</v>
      </c>
      <c r="C481" t="s">
        <v>1264</v>
      </c>
      <c r="D481" t="s">
        <v>1264</v>
      </c>
      <c r="E481" t="s">
        <v>1264</v>
      </c>
      <c r="F481" t="s">
        <v>1247</v>
      </c>
      <c r="G481" t="s">
        <v>1248</v>
      </c>
      <c r="H481" t="s">
        <v>1249</v>
      </c>
      <c r="I481" t="s">
        <v>1250</v>
      </c>
      <c r="J481" t="s">
        <v>36</v>
      </c>
      <c r="K481">
        <v>21018</v>
      </c>
      <c r="L481" t="s">
        <v>1251</v>
      </c>
      <c r="M481" t="s">
        <v>1252</v>
      </c>
      <c r="N481" t="s">
        <v>1252</v>
      </c>
      <c r="O481">
        <v>21000</v>
      </c>
      <c r="P481" t="s">
        <v>46</v>
      </c>
      <c r="Q481" t="s">
        <v>47</v>
      </c>
      <c r="R481" t="s">
        <v>48</v>
      </c>
      <c r="T481" t="s">
        <v>36</v>
      </c>
      <c r="U481" t="s">
        <v>36</v>
      </c>
      <c r="V481" t="s">
        <v>36</v>
      </c>
      <c r="W481">
        <v>4000</v>
      </c>
      <c r="X481" t="s">
        <v>49</v>
      </c>
      <c r="Y481" t="s">
        <v>50</v>
      </c>
      <c r="Z481" t="s">
        <v>51</v>
      </c>
      <c r="AA481" t="s">
        <v>37</v>
      </c>
      <c r="AB481" t="s">
        <v>52</v>
      </c>
      <c r="AC481" t="s">
        <v>53</v>
      </c>
      <c r="AD481" t="s">
        <v>54</v>
      </c>
      <c r="AE481">
        <v>15.9608599496</v>
      </c>
      <c r="AF481">
        <v>1727</v>
      </c>
      <c r="AG481">
        <v>1727.1803146699999</v>
      </c>
      <c r="AH481">
        <v>159611.17429600001</v>
      </c>
      <c r="AI481">
        <v>41</v>
      </c>
      <c r="AJ481">
        <v>119790.419616987</v>
      </c>
      <c r="AK481" s="1">
        <f>intersection_ss_Lnight___surface[[#This Row],[surf m2 bout ss]]/intersection_ss_Lnight___surface[[#This Row],[Shape_Area]]</f>
        <v>0.75051399217723225</v>
      </c>
      <c r="AL481">
        <v>1246</v>
      </c>
      <c r="AM481">
        <f>intersection_ss_Lnight___surface[[#This Row],[Population totale 2024 ss]]*intersection_ss_Lnight___surface[[#This Row],[Part de la surface du qs dans le noise contour]]</f>
        <v>935.14043425283137</v>
      </c>
    </row>
    <row r="482" spans="1:39" x14ac:dyDescent="0.3">
      <c r="A482">
        <v>494</v>
      </c>
      <c r="B482" t="s">
        <v>1263</v>
      </c>
      <c r="C482" t="s">
        <v>1264</v>
      </c>
      <c r="D482" t="s">
        <v>1264</v>
      </c>
      <c r="E482" t="s">
        <v>1264</v>
      </c>
      <c r="F482" t="s">
        <v>1247</v>
      </c>
      <c r="G482" t="s">
        <v>1248</v>
      </c>
      <c r="H482" t="s">
        <v>1249</v>
      </c>
      <c r="I482" t="s">
        <v>1250</v>
      </c>
      <c r="J482" t="s">
        <v>36</v>
      </c>
      <c r="K482">
        <v>21018</v>
      </c>
      <c r="L482" t="s">
        <v>1251</v>
      </c>
      <c r="M482" t="s">
        <v>1252</v>
      </c>
      <c r="N482" t="s">
        <v>1252</v>
      </c>
      <c r="O482">
        <v>21000</v>
      </c>
      <c r="P482" t="s">
        <v>46</v>
      </c>
      <c r="Q482" t="s">
        <v>47</v>
      </c>
      <c r="R482" t="s">
        <v>48</v>
      </c>
      <c r="T482" t="s">
        <v>36</v>
      </c>
      <c r="U482" t="s">
        <v>36</v>
      </c>
      <c r="V482" t="s">
        <v>36</v>
      </c>
      <c r="W482">
        <v>4000</v>
      </c>
      <c r="X482" t="s">
        <v>49</v>
      </c>
      <c r="Y482" t="s">
        <v>50</v>
      </c>
      <c r="Z482" t="s">
        <v>51</v>
      </c>
      <c r="AA482" t="s">
        <v>37</v>
      </c>
      <c r="AB482" t="s">
        <v>52</v>
      </c>
      <c r="AC482" t="s">
        <v>53</v>
      </c>
      <c r="AD482" t="s">
        <v>54</v>
      </c>
      <c r="AE482">
        <v>15.9608599496</v>
      </c>
      <c r="AF482">
        <v>1727</v>
      </c>
      <c r="AG482">
        <v>1727.1803146699999</v>
      </c>
      <c r="AH482">
        <v>159611.17429600001</v>
      </c>
      <c r="AI482">
        <v>42</v>
      </c>
      <c r="AJ482">
        <v>2211.83684576722</v>
      </c>
      <c r="AK482" s="1">
        <f>intersection_ss_Lnight___surface[[#This Row],[surf m2 bout ss]]/intersection_ss_Lnight___surface[[#This Row],[Shape_Area]]</f>
        <v>1.3857656617859057E-2</v>
      </c>
      <c r="AL482">
        <v>1246</v>
      </c>
      <c r="AM482">
        <f>intersection_ss_Lnight___surface[[#This Row],[Population totale 2024 ss]]*intersection_ss_Lnight___surface[[#This Row],[Part de la surface du qs dans le noise contour]]</f>
        <v>17.266640145852385</v>
      </c>
    </row>
    <row r="483" spans="1:39" x14ac:dyDescent="0.3">
      <c r="A483">
        <v>495</v>
      </c>
      <c r="B483" t="s">
        <v>1265</v>
      </c>
      <c r="C483" t="s">
        <v>1266</v>
      </c>
      <c r="D483" t="s">
        <v>1266</v>
      </c>
      <c r="E483" t="s">
        <v>1266</v>
      </c>
      <c r="F483" t="s">
        <v>1247</v>
      </c>
      <c r="G483" t="s">
        <v>1248</v>
      </c>
      <c r="H483" t="s">
        <v>1249</v>
      </c>
      <c r="I483" t="s">
        <v>1250</v>
      </c>
      <c r="J483" t="s">
        <v>36</v>
      </c>
      <c r="K483">
        <v>21018</v>
      </c>
      <c r="L483" t="s">
        <v>1251</v>
      </c>
      <c r="M483" t="s">
        <v>1252</v>
      </c>
      <c r="N483" t="s">
        <v>1252</v>
      </c>
      <c r="O483">
        <v>21000</v>
      </c>
      <c r="P483" t="s">
        <v>46</v>
      </c>
      <c r="Q483" t="s">
        <v>47</v>
      </c>
      <c r="R483" t="s">
        <v>48</v>
      </c>
      <c r="T483" t="s">
        <v>36</v>
      </c>
      <c r="U483" t="s">
        <v>36</v>
      </c>
      <c r="V483" t="s">
        <v>36</v>
      </c>
      <c r="W483">
        <v>4000</v>
      </c>
      <c r="X483" t="s">
        <v>49</v>
      </c>
      <c r="Y483" t="s">
        <v>50</v>
      </c>
      <c r="Z483" t="s">
        <v>51</v>
      </c>
      <c r="AA483" t="s">
        <v>37</v>
      </c>
      <c r="AB483" t="s">
        <v>52</v>
      </c>
      <c r="AC483" t="s">
        <v>53</v>
      </c>
      <c r="AD483" t="s">
        <v>54</v>
      </c>
      <c r="AE483">
        <v>5.6317047791799997</v>
      </c>
      <c r="AF483">
        <v>1075</v>
      </c>
      <c r="AG483">
        <v>1074.9404874100001</v>
      </c>
      <c r="AH483">
        <v>56317.963054499996</v>
      </c>
      <c r="AI483">
        <v>40</v>
      </c>
      <c r="AJ483">
        <v>55022.168144637297</v>
      </c>
      <c r="AK483" s="1">
        <f>intersection_ss_Lnight___surface[[#This Row],[surf m2 bout ss]]/intersection_ss_Lnight___surface[[#This Row],[Shape_Area]]</f>
        <v>0.97699144572028052</v>
      </c>
      <c r="AL483">
        <v>303</v>
      </c>
      <c r="AM483">
        <f>intersection_ss_Lnight___surface[[#This Row],[Population totale 2024 ss]]*intersection_ss_Lnight___surface[[#This Row],[Part de la surface du qs dans le noise contour]]</f>
        <v>296.02840805324502</v>
      </c>
    </row>
    <row r="484" spans="1:39" x14ac:dyDescent="0.3">
      <c r="A484">
        <v>496</v>
      </c>
      <c r="B484" t="s">
        <v>1267</v>
      </c>
      <c r="C484" t="s">
        <v>1268</v>
      </c>
      <c r="D484" t="s">
        <v>1269</v>
      </c>
      <c r="E484" t="s">
        <v>1269</v>
      </c>
      <c r="F484" t="s">
        <v>1270</v>
      </c>
      <c r="G484" t="s">
        <v>1248</v>
      </c>
      <c r="H484" t="s">
        <v>1249</v>
      </c>
      <c r="I484" t="s">
        <v>1250</v>
      </c>
      <c r="J484" t="s">
        <v>36</v>
      </c>
      <c r="K484">
        <v>21018</v>
      </c>
      <c r="L484" t="s">
        <v>1251</v>
      </c>
      <c r="M484" t="s">
        <v>1252</v>
      </c>
      <c r="N484" t="s">
        <v>1252</v>
      </c>
      <c r="O484">
        <v>21000</v>
      </c>
      <c r="P484" t="s">
        <v>46</v>
      </c>
      <c r="Q484" t="s">
        <v>47</v>
      </c>
      <c r="R484" t="s">
        <v>48</v>
      </c>
      <c r="T484" t="s">
        <v>36</v>
      </c>
      <c r="U484" t="s">
        <v>36</v>
      </c>
      <c r="V484" t="s">
        <v>36</v>
      </c>
      <c r="W484">
        <v>4000</v>
      </c>
      <c r="X484" t="s">
        <v>49</v>
      </c>
      <c r="Y484" t="s">
        <v>50</v>
      </c>
      <c r="Z484" t="s">
        <v>51</v>
      </c>
      <c r="AA484" t="s">
        <v>37</v>
      </c>
      <c r="AB484" t="s">
        <v>52</v>
      </c>
      <c r="AC484" t="s">
        <v>53</v>
      </c>
      <c r="AD484" t="s">
        <v>54</v>
      </c>
      <c r="AE484">
        <v>16.9656531388</v>
      </c>
      <c r="AF484">
        <v>2059</v>
      </c>
      <c r="AG484">
        <v>2059.4469221700001</v>
      </c>
      <c r="AH484">
        <v>169659.270246</v>
      </c>
      <c r="AI484">
        <v>41</v>
      </c>
      <c r="AJ484">
        <v>11334.3299079305</v>
      </c>
      <c r="AK484" s="1">
        <f>intersection_ss_Lnight___surface[[#This Row],[surf m2 bout ss]]/intersection_ss_Lnight___surface[[#This Row],[Shape_Area]]</f>
        <v>6.6806428505180523E-2</v>
      </c>
      <c r="AL484">
        <v>1697</v>
      </c>
      <c r="AM484">
        <f>intersection_ss_Lnight___surface[[#This Row],[Population totale 2024 ss]]*intersection_ss_Lnight___surface[[#This Row],[Part de la surface du qs dans le noise contour]]</f>
        <v>113.37050917329135</v>
      </c>
    </row>
    <row r="485" spans="1:39" x14ac:dyDescent="0.3">
      <c r="A485">
        <v>497</v>
      </c>
      <c r="B485" t="s">
        <v>1267</v>
      </c>
      <c r="C485" t="s">
        <v>1268</v>
      </c>
      <c r="D485" t="s">
        <v>1269</v>
      </c>
      <c r="E485" t="s">
        <v>1269</v>
      </c>
      <c r="F485" t="s">
        <v>1270</v>
      </c>
      <c r="G485" t="s">
        <v>1248</v>
      </c>
      <c r="H485" t="s">
        <v>1249</v>
      </c>
      <c r="I485" t="s">
        <v>1250</v>
      </c>
      <c r="J485" t="s">
        <v>36</v>
      </c>
      <c r="K485">
        <v>21018</v>
      </c>
      <c r="L485" t="s">
        <v>1251</v>
      </c>
      <c r="M485" t="s">
        <v>1252</v>
      </c>
      <c r="N485" t="s">
        <v>1252</v>
      </c>
      <c r="O485">
        <v>21000</v>
      </c>
      <c r="P485" t="s">
        <v>46</v>
      </c>
      <c r="Q485" t="s">
        <v>47</v>
      </c>
      <c r="R485" t="s">
        <v>48</v>
      </c>
      <c r="T485" t="s">
        <v>36</v>
      </c>
      <c r="U485" t="s">
        <v>36</v>
      </c>
      <c r="V485" t="s">
        <v>36</v>
      </c>
      <c r="W485">
        <v>4000</v>
      </c>
      <c r="X485" t="s">
        <v>49</v>
      </c>
      <c r="Y485" t="s">
        <v>50</v>
      </c>
      <c r="Z485" t="s">
        <v>51</v>
      </c>
      <c r="AA485" t="s">
        <v>37</v>
      </c>
      <c r="AB485" t="s">
        <v>52</v>
      </c>
      <c r="AC485" t="s">
        <v>53</v>
      </c>
      <c r="AD485" t="s">
        <v>54</v>
      </c>
      <c r="AE485">
        <v>16.9656531388</v>
      </c>
      <c r="AF485">
        <v>2059</v>
      </c>
      <c r="AG485">
        <v>2059.4469221700001</v>
      </c>
      <c r="AH485">
        <v>169659.270246</v>
      </c>
      <c r="AI485">
        <v>42</v>
      </c>
      <c r="AJ485">
        <v>156394.00400543699</v>
      </c>
      <c r="AK485" s="1">
        <f>intersection_ss_Lnight___surface[[#This Row],[surf m2 bout ss]]/intersection_ss_Lnight___surface[[#This Row],[Shape_Area]]</f>
        <v>0.9218123111025478</v>
      </c>
      <c r="AL485">
        <v>1697</v>
      </c>
      <c r="AM485">
        <f>intersection_ss_Lnight___surface[[#This Row],[Population totale 2024 ss]]*intersection_ss_Lnight___surface[[#This Row],[Part de la surface du qs dans le noise contour]]</f>
        <v>1564.3154919410235</v>
      </c>
    </row>
    <row r="486" spans="1:39" x14ac:dyDescent="0.3">
      <c r="A486">
        <v>498</v>
      </c>
      <c r="B486" t="s">
        <v>1267</v>
      </c>
      <c r="C486" t="s">
        <v>1268</v>
      </c>
      <c r="D486" t="s">
        <v>1269</v>
      </c>
      <c r="E486" t="s">
        <v>1269</v>
      </c>
      <c r="F486" t="s">
        <v>1270</v>
      </c>
      <c r="G486" t="s">
        <v>1248</v>
      </c>
      <c r="H486" t="s">
        <v>1249</v>
      </c>
      <c r="I486" t="s">
        <v>1250</v>
      </c>
      <c r="J486" t="s">
        <v>36</v>
      </c>
      <c r="K486">
        <v>21018</v>
      </c>
      <c r="L486" t="s">
        <v>1251</v>
      </c>
      <c r="M486" t="s">
        <v>1252</v>
      </c>
      <c r="N486" t="s">
        <v>1252</v>
      </c>
      <c r="O486">
        <v>21000</v>
      </c>
      <c r="P486" t="s">
        <v>46</v>
      </c>
      <c r="Q486" t="s">
        <v>47</v>
      </c>
      <c r="R486" t="s">
        <v>48</v>
      </c>
      <c r="T486" t="s">
        <v>36</v>
      </c>
      <c r="U486" t="s">
        <v>36</v>
      </c>
      <c r="V486" t="s">
        <v>36</v>
      </c>
      <c r="W486">
        <v>4000</v>
      </c>
      <c r="X486" t="s">
        <v>49</v>
      </c>
      <c r="Y486" t="s">
        <v>50</v>
      </c>
      <c r="Z486" t="s">
        <v>51</v>
      </c>
      <c r="AA486" t="s">
        <v>37</v>
      </c>
      <c r="AB486" t="s">
        <v>52</v>
      </c>
      <c r="AC486" t="s">
        <v>53</v>
      </c>
      <c r="AD486" t="s">
        <v>54</v>
      </c>
      <c r="AE486">
        <v>16.9656531388</v>
      </c>
      <c r="AF486">
        <v>2059</v>
      </c>
      <c r="AG486">
        <v>2059.4469221700001</v>
      </c>
      <c r="AH486">
        <v>169659.270246</v>
      </c>
      <c r="AI486">
        <v>43</v>
      </c>
      <c r="AJ486">
        <v>1947.89119465102</v>
      </c>
      <c r="AK486" s="1">
        <f>intersection_ss_Lnight___surface[[#This Row],[surf m2 bout ss]]/intersection_ss_Lnight___surface[[#This Row],[Shape_Area]]</f>
        <v>1.1481195173282579E-2</v>
      </c>
      <c r="AL486">
        <v>1697</v>
      </c>
      <c r="AM486">
        <f>intersection_ss_Lnight___surface[[#This Row],[Population totale 2024 ss]]*intersection_ss_Lnight___surface[[#This Row],[Part de la surface du qs dans le noise contour]]</f>
        <v>19.483588209060535</v>
      </c>
    </row>
    <row r="487" spans="1:39" x14ac:dyDescent="0.3">
      <c r="A487">
        <v>499</v>
      </c>
      <c r="B487" t="s">
        <v>1271</v>
      </c>
      <c r="C487" t="s">
        <v>1272</v>
      </c>
      <c r="D487" t="s">
        <v>1272</v>
      </c>
      <c r="E487" t="s">
        <v>1272</v>
      </c>
      <c r="F487" t="s">
        <v>1270</v>
      </c>
      <c r="G487" t="s">
        <v>1248</v>
      </c>
      <c r="H487" t="s">
        <v>1249</v>
      </c>
      <c r="I487" t="s">
        <v>1250</v>
      </c>
      <c r="J487" t="s">
        <v>36</v>
      </c>
      <c r="K487">
        <v>21018</v>
      </c>
      <c r="L487" t="s">
        <v>1251</v>
      </c>
      <c r="M487" t="s">
        <v>1252</v>
      </c>
      <c r="N487" t="s">
        <v>1252</v>
      </c>
      <c r="O487">
        <v>21000</v>
      </c>
      <c r="P487" t="s">
        <v>46</v>
      </c>
      <c r="Q487" t="s">
        <v>47</v>
      </c>
      <c r="R487" t="s">
        <v>48</v>
      </c>
      <c r="T487" t="s">
        <v>36</v>
      </c>
      <c r="U487" t="s">
        <v>36</v>
      </c>
      <c r="V487" t="s">
        <v>36</v>
      </c>
      <c r="W487">
        <v>4000</v>
      </c>
      <c r="X487" t="s">
        <v>49</v>
      </c>
      <c r="Y487" t="s">
        <v>50</v>
      </c>
      <c r="Z487" t="s">
        <v>51</v>
      </c>
      <c r="AA487" t="s">
        <v>37</v>
      </c>
      <c r="AB487" t="s">
        <v>52</v>
      </c>
      <c r="AC487" t="s">
        <v>53</v>
      </c>
      <c r="AD487" t="s">
        <v>54</v>
      </c>
      <c r="AE487">
        <v>6.9045299341100002</v>
      </c>
      <c r="AF487">
        <v>1436</v>
      </c>
      <c r="AG487">
        <v>1435.7456340000001</v>
      </c>
      <c r="AH487">
        <v>69046.422854200006</v>
      </c>
      <c r="AI487">
        <v>40</v>
      </c>
      <c r="AJ487">
        <v>188.42947431653701</v>
      </c>
      <c r="AK487" s="1">
        <f>intersection_ss_Lnight___surface[[#This Row],[surf m2 bout ss]]/intersection_ss_Lnight___surface[[#This Row],[Shape_Area]]</f>
        <v>2.7290258716867774E-3</v>
      </c>
      <c r="AL487">
        <v>575</v>
      </c>
      <c r="AM487">
        <f>intersection_ss_Lnight___surface[[#This Row],[Population totale 2024 ss]]*intersection_ss_Lnight___surface[[#This Row],[Part de la surface du qs dans le noise contour]]</f>
        <v>1.569189876219897</v>
      </c>
    </row>
    <row r="488" spans="1:39" x14ac:dyDescent="0.3">
      <c r="A488">
        <v>500</v>
      </c>
      <c r="B488" t="s">
        <v>1271</v>
      </c>
      <c r="C488" t="s">
        <v>1272</v>
      </c>
      <c r="D488" t="s">
        <v>1272</v>
      </c>
      <c r="E488" t="s">
        <v>1272</v>
      </c>
      <c r="F488" t="s">
        <v>1270</v>
      </c>
      <c r="G488" t="s">
        <v>1248</v>
      </c>
      <c r="H488" t="s">
        <v>1249</v>
      </c>
      <c r="I488" t="s">
        <v>1250</v>
      </c>
      <c r="J488" t="s">
        <v>36</v>
      </c>
      <c r="K488">
        <v>21018</v>
      </c>
      <c r="L488" t="s">
        <v>1251</v>
      </c>
      <c r="M488" t="s">
        <v>1252</v>
      </c>
      <c r="N488" t="s">
        <v>1252</v>
      </c>
      <c r="O488">
        <v>21000</v>
      </c>
      <c r="P488" t="s">
        <v>46</v>
      </c>
      <c r="Q488" t="s">
        <v>47</v>
      </c>
      <c r="R488" t="s">
        <v>48</v>
      </c>
      <c r="T488" t="s">
        <v>36</v>
      </c>
      <c r="U488" t="s">
        <v>36</v>
      </c>
      <c r="V488" t="s">
        <v>36</v>
      </c>
      <c r="W488">
        <v>4000</v>
      </c>
      <c r="X488" t="s">
        <v>49</v>
      </c>
      <c r="Y488" t="s">
        <v>50</v>
      </c>
      <c r="Z488" t="s">
        <v>51</v>
      </c>
      <c r="AA488" t="s">
        <v>37</v>
      </c>
      <c r="AB488" t="s">
        <v>52</v>
      </c>
      <c r="AC488" t="s">
        <v>53</v>
      </c>
      <c r="AD488" t="s">
        <v>54</v>
      </c>
      <c r="AE488">
        <v>6.9045299341100002</v>
      </c>
      <c r="AF488">
        <v>1436</v>
      </c>
      <c r="AG488">
        <v>1435.7456340000001</v>
      </c>
      <c r="AH488">
        <v>69046.422854200006</v>
      </c>
      <c r="AI488">
        <v>41</v>
      </c>
      <c r="AJ488">
        <v>55589.252719805598</v>
      </c>
      <c r="AK488" s="1">
        <f>intersection_ss_Lnight___surface[[#This Row],[surf m2 bout ss]]/intersection_ss_Lnight___surface[[#This Row],[Shape_Area]]</f>
        <v>0.80509967673762228</v>
      </c>
      <c r="AL488">
        <v>575</v>
      </c>
      <c r="AM488">
        <f>intersection_ss_Lnight___surface[[#This Row],[Population totale 2024 ss]]*intersection_ss_Lnight___surface[[#This Row],[Part de la surface du qs dans le noise contour]]</f>
        <v>462.9323141241328</v>
      </c>
    </row>
    <row r="489" spans="1:39" x14ac:dyDescent="0.3">
      <c r="A489">
        <v>501</v>
      </c>
      <c r="B489" t="s">
        <v>1271</v>
      </c>
      <c r="C489" t="s">
        <v>1272</v>
      </c>
      <c r="D489" t="s">
        <v>1272</v>
      </c>
      <c r="E489" t="s">
        <v>1272</v>
      </c>
      <c r="F489" t="s">
        <v>1270</v>
      </c>
      <c r="G489" t="s">
        <v>1248</v>
      </c>
      <c r="H489" t="s">
        <v>1249</v>
      </c>
      <c r="I489" t="s">
        <v>1250</v>
      </c>
      <c r="J489" t="s">
        <v>36</v>
      </c>
      <c r="K489">
        <v>21018</v>
      </c>
      <c r="L489" t="s">
        <v>1251</v>
      </c>
      <c r="M489" t="s">
        <v>1252</v>
      </c>
      <c r="N489" t="s">
        <v>1252</v>
      </c>
      <c r="O489">
        <v>21000</v>
      </c>
      <c r="P489" t="s">
        <v>46</v>
      </c>
      <c r="Q489" t="s">
        <v>47</v>
      </c>
      <c r="R489" t="s">
        <v>48</v>
      </c>
      <c r="T489" t="s">
        <v>36</v>
      </c>
      <c r="U489" t="s">
        <v>36</v>
      </c>
      <c r="V489" t="s">
        <v>36</v>
      </c>
      <c r="W489">
        <v>4000</v>
      </c>
      <c r="X489" t="s">
        <v>49</v>
      </c>
      <c r="Y489" t="s">
        <v>50</v>
      </c>
      <c r="Z489" t="s">
        <v>51</v>
      </c>
      <c r="AA489" t="s">
        <v>37</v>
      </c>
      <c r="AB489" t="s">
        <v>52</v>
      </c>
      <c r="AC489" t="s">
        <v>53</v>
      </c>
      <c r="AD489" t="s">
        <v>54</v>
      </c>
      <c r="AE489">
        <v>6.9045299341100002</v>
      </c>
      <c r="AF489">
        <v>1436</v>
      </c>
      <c r="AG489">
        <v>1435.7456340000001</v>
      </c>
      <c r="AH489">
        <v>69046.422854200006</v>
      </c>
      <c r="AI489">
        <v>42</v>
      </c>
      <c r="AJ489">
        <v>13275.656524321999</v>
      </c>
      <c r="AK489" s="1">
        <f>intersection_ss_Lnight___surface[[#This Row],[surf m2 bout ss]]/intersection_ss_Lnight___surface[[#This Row],[Shape_Area]]</f>
        <v>0.19227145991842587</v>
      </c>
      <c r="AL489">
        <v>575</v>
      </c>
      <c r="AM489">
        <f>intersection_ss_Lnight___surface[[#This Row],[Population totale 2024 ss]]*intersection_ss_Lnight___surface[[#This Row],[Part de la surface du qs dans le noise contour]]</f>
        <v>110.55608945309487</v>
      </c>
    </row>
    <row r="490" spans="1:39" x14ac:dyDescent="0.3">
      <c r="A490">
        <v>502</v>
      </c>
      <c r="B490" t="s">
        <v>1273</v>
      </c>
      <c r="C490" t="s">
        <v>1274</v>
      </c>
      <c r="D490" t="s">
        <v>1275</v>
      </c>
      <c r="E490" t="s">
        <v>1275</v>
      </c>
      <c r="F490" t="s">
        <v>1270</v>
      </c>
      <c r="G490" t="s">
        <v>1248</v>
      </c>
      <c r="H490" t="s">
        <v>1249</v>
      </c>
      <c r="I490" t="s">
        <v>1250</v>
      </c>
      <c r="J490" t="s">
        <v>36</v>
      </c>
      <c r="K490">
        <v>21018</v>
      </c>
      <c r="L490" t="s">
        <v>1251</v>
      </c>
      <c r="M490" t="s">
        <v>1252</v>
      </c>
      <c r="N490" t="s">
        <v>1252</v>
      </c>
      <c r="O490">
        <v>21000</v>
      </c>
      <c r="P490" t="s">
        <v>46</v>
      </c>
      <c r="Q490" t="s">
        <v>47</v>
      </c>
      <c r="R490" t="s">
        <v>48</v>
      </c>
      <c r="T490" t="s">
        <v>36</v>
      </c>
      <c r="U490" t="s">
        <v>36</v>
      </c>
      <c r="V490" t="s">
        <v>36</v>
      </c>
      <c r="W490">
        <v>4000</v>
      </c>
      <c r="X490" t="s">
        <v>49</v>
      </c>
      <c r="Y490" t="s">
        <v>50</v>
      </c>
      <c r="Z490" t="s">
        <v>51</v>
      </c>
      <c r="AA490" t="s">
        <v>37</v>
      </c>
      <c r="AB490" t="s">
        <v>52</v>
      </c>
      <c r="AC490" t="s">
        <v>53</v>
      </c>
      <c r="AD490" t="s">
        <v>54</v>
      </c>
      <c r="AE490">
        <v>16.725741880499999</v>
      </c>
      <c r="AF490">
        <v>1935</v>
      </c>
      <c r="AG490">
        <v>1935.0062908699999</v>
      </c>
      <c r="AH490">
        <v>167260.111023</v>
      </c>
      <c r="AI490">
        <v>40</v>
      </c>
      <c r="AJ490">
        <v>51795.259251728698</v>
      </c>
      <c r="AK490" s="1">
        <f>intersection_ss_Lnight___surface[[#This Row],[surf m2 bout ss]]/intersection_ss_Lnight___surface[[#This Row],[Shape_Area]]</f>
        <v>0.30966892784500372</v>
      </c>
      <c r="AL490">
        <v>1253</v>
      </c>
      <c r="AM490">
        <f>intersection_ss_Lnight___surface[[#This Row],[Population totale 2024 ss]]*intersection_ss_Lnight___surface[[#This Row],[Part de la surface du qs dans le noise contour]]</f>
        <v>388.01516658978966</v>
      </c>
    </row>
    <row r="491" spans="1:39" x14ac:dyDescent="0.3">
      <c r="A491">
        <v>503</v>
      </c>
      <c r="B491" t="s">
        <v>1273</v>
      </c>
      <c r="C491" t="s">
        <v>1274</v>
      </c>
      <c r="D491" t="s">
        <v>1275</v>
      </c>
      <c r="E491" t="s">
        <v>1275</v>
      </c>
      <c r="F491" t="s">
        <v>1270</v>
      </c>
      <c r="G491" t="s">
        <v>1248</v>
      </c>
      <c r="H491" t="s">
        <v>1249</v>
      </c>
      <c r="I491" t="s">
        <v>1250</v>
      </c>
      <c r="J491" t="s">
        <v>36</v>
      </c>
      <c r="K491">
        <v>21018</v>
      </c>
      <c r="L491" t="s">
        <v>1251</v>
      </c>
      <c r="M491" t="s">
        <v>1252</v>
      </c>
      <c r="N491" t="s">
        <v>1252</v>
      </c>
      <c r="O491">
        <v>21000</v>
      </c>
      <c r="P491" t="s">
        <v>46</v>
      </c>
      <c r="Q491" t="s">
        <v>47</v>
      </c>
      <c r="R491" t="s">
        <v>48</v>
      </c>
      <c r="T491" t="s">
        <v>36</v>
      </c>
      <c r="U491" t="s">
        <v>36</v>
      </c>
      <c r="V491" t="s">
        <v>36</v>
      </c>
      <c r="W491">
        <v>4000</v>
      </c>
      <c r="X491" t="s">
        <v>49</v>
      </c>
      <c r="Y491" t="s">
        <v>50</v>
      </c>
      <c r="Z491" t="s">
        <v>51</v>
      </c>
      <c r="AA491" t="s">
        <v>37</v>
      </c>
      <c r="AB491" t="s">
        <v>52</v>
      </c>
      <c r="AC491" t="s">
        <v>53</v>
      </c>
      <c r="AD491" t="s">
        <v>54</v>
      </c>
      <c r="AE491">
        <v>16.725741880499999</v>
      </c>
      <c r="AF491">
        <v>1935</v>
      </c>
      <c r="AG491">
        <v>1935.0062908699999</v>
      </c>
      <c r="AH491">
        <v>167260.111023</v>
      </c>
      <c r="AI491">
        <v>41</v>
      </c>
      <c r="AJ491">
        <v>106174.005153267</v>
      </c>
      <c r="AK491" s="1">
        <f>intersection_ss_Lnight___surface[[#This Row],[surf m2 bout ss]]/intersection_ss_Lnight___surface[[#This Row],[Shape_Area]]</f>
        <v>0.63478377781697737</v>
      </c>
      <c r="AL491">
        <v>1253</v>
      </c>
      <c r="AM491">
        <f>intersection_ss_Lnight___surface[[#This Row],[Population totale 2024 ss]]*intersection_ss_Lnight___surface[[#This Row],[Part de la surface du qs dans le noise contour]]</f>
        <v>795.38407360467261</v>
      </c>
    </row>
    <row r="492" spans="1:39" x14ac:dyDescent="0.3">
      <c r="A492">
        <v>504</v>
      </c>
      <c r="B492" t="s">
        <v>1273</v>
      </c>
      <c r="C492" t="s">
        <v>1274</v>
      </c>
      <c r="D492" t="s">
        <v>1275</v>
      </c>
      <c r="E492" t="s">
        <v>1275</v>
      </c>
      <c r="F492" t="s">
        <v>1270</v>
      </c>
      <c r="G492" t="s">
        <v>1248</v>
      </c>
      <c r="H492" t="s">
        <v>1249</v>
      </c>
      <c r="I492" t="s">
        <v>1250</v>
      </c>
      <c r="J492" t="s">
        <v>36</v>
      </c>
      <c r="K492">
        <v>21018</v>
      </c>
      <c r="L492" t="s">
        <v>1251</v>
      </c>
      <c r="M492" t="s">
        <v>1252</v>
      </c>
      <c r="N492" t="s">
        <v>1252</v>
      </c>
      <c r="O492">
        <v>21000</v>
      </c>
      <c r="P492" t="s">
        <v>46</v>
      </c>
      <c r="Q492" t="s">
        <v>47</v>
      </c>
      <c r="R492" t="s">
        <v>48</v>
      </c>
      <c r="T492" t="s">
        <v>36</v>
      </c>
      <c r="U492" t="s">
        <v>36</v>
      </c>
      <c r="V492" t="s">
        <v>36</v>
      </c>
      <c r="W492">
        <v>4000</v>
      </c>
      <c r="X492" t="s">
        <v>49</v>
      </c>
      <c r="Y492" t="s">
        <v>50</v>
      </c>
      <c r="Z492" t="s">
        <v>51</v>
      </c>
      <c r="AA492" t="s">
        <v>37</v>
      </c>
      <c r="AB492" t="s">
        <v>52</v>
      </c>
      <c r="AC492" t="s">
        <v>53</v>
      </c>
      <c r="AD492" t="s">
        <v>54</v>
      </c>
      <c r="AE492">
        <v>16.725741880499999</v>
      </c>
      <c r="AF492">
        <v>1935</v>
      </c>
      <c r="AG492">
        <v>1935.0062908699999</v>
      </c>
      <c r="AH492">
        <v>167260.111023</v>
      </c>
      <c r="AI492">
        <v>42</v>
      </c>
      <c r="AJ492">
        <v>9307.6026434274409</v>
      </c>
      <c r="AK492" s="1">
        <f>intersection_ss_Lnight___surface[[#This Row],[surf m2 bout ss]]/intersection_ss_Lnight___surface[[#This Row],[Shape_Area]]</f>
        <v>5.5647473784993177E-2</v>
      </c>
      <c r="AL492">
        <v>1253</v>
      </c>
      <c r="AM492">
        <f>intersection_ss_Lnight___surface[[#This Row],[Population totale 2024 ss]]*intersection_ss_Lnight___surface[[#This Row],[Part de la surface du qs dans le noise contour]]</f>
        <v>69.726284652596448</v>
      </c>
    </row>
    <row r="493" spans="1:39" x14ac:dyDescent="0.3">
      <c r="A493">
        <v>505</v>
      </c>
      <c r="B493" t="s">
        <v>1276</v>
      </c>
      <c r="C493" t="s">
        <v>1277</v>
      </c>
      <c r="D493" t="s">
        <v>1278</v>
      </c>
      <c r="E493" t="s">
        <v>1278</v>
      </c>
      <c r="F493" t="s">
        <v>1270</v>
      </c>
      <c r="G493" t="s">
        <v>1248</v>
      </c>
      <c r="H493" t="s">
        <v>1249</v>
      </c>
      <c r="I493" t="s">
        <v>1250</v>
      </c>
      <c r="J493" t="s">
        <v>36</v>
      </c>
      <c r="K493">
        <v>21018</v>
      </c>
      <c r="L493" t="s">
        <v>1251</v>
      </c>
      <c r="M493" t="s">
        <v>1252</v>
      </c>
      <c r="N493" t="s">
        <v>1252</v>
      </c>
      <c r="O493">
        <v>21000</v>
      </c>
      <c r="P493" t="s">
        <v>46</v>
      </c>
      <c r="Q493" t="s">
        <v>47</v>
      </c>
      <c r="R493" t="s">
        <v>48</v>
      </c>
      <c r="T493" t="s">
        <v>36</v>
      </c>
      <c r="U493" t="s">
        <v>36</v>
      </c>
      <c r="V493" t="s">
        <v>36</v>
      </c>
      <c r="W493">
        <v>4000</v>
      </c>
      <c r="X493" t="s">
        <v>49</v>
      </c>
      <c r="Y493" t="s">
        <v>50</v>
      </c>
      <c r="Z493" t="s">
        <v>51</v>
      </c>
      <c r="AA493" t="s">
        <v>37</v>
      </c>
      <c r="AB493" t="s">
        <v>52</v>
      </c>
      <c r="AC493" t="s">
        <v>53</v>
      </c>
      <c r="AD493" t="s">
        <v>54</v>
      </c>
      <c r="AE493">
        <v>9.8635049610299994</v>
      </c>
      <c r="AF493">
        <v>1502</v>
      </c>
      <c r="AG493">
        <v>1502.06662078</v>
      </c>
      <c r="AH493">
        <v>98636.640838799998</v>
      </c>
      <c r="AI493">
        <v>40</v>
      </c>
      <c r="AJ493">
        <v>66610.855447704103</v>
      </c>
      <c r="AK493" s="1">
        <f>intersection_ss_Lnight___surface[[#This Row],[surf m2 bout ss]]/intersection_ss_Lnight___surface[[#This Row],[Shape_Area]]</f>
        <v>0.67531553063090388</v>
      </c>
      <c r="AL493">
        <v>226</v>
      </c>
      <c r="AM493">
        <f>intersection_ss_Lnight___surface[[#This Row],[Population totale 2024 ss]]*intersection_ss_Lnight___surface[[#This Row],[Part de la surface du qs dans le noise contour]]</f>
        <v>152.62130992258429</v>
      </c>
    </row>
    <row r="494" spans="1:39" x14ac:dyDescent="0.3">
      <c r="A494">
        <v>506</v>
      </c>
      <c r="B494" t="s">
        <v>1279</v>
      </c>
      <c r="C494" t="s">
        <v>1280</v>
      </c>
      <c r="D494" t="s">
        <v>1280</v>
      </c>
      <c r="E494" t="s">
        <v>1280</v>
      </c>
      <c r="F494" t="s">
        <v>1270</v>
      </c>
      <c r="G494" t="s">
        <v>1248</v>
      </c>
      <c r="H494" t="s">
        <v>1249</v>
      </c>
      <c r="I494" t="s">
        <v>1250</v>
      </c>
      <c r="J494" t="s">
        <v>36</v>
      </c>
      <c r="K494">
        <v>21018</v>
      </c>
      <c r="L494" t="s">
        <v>1251</v>
      </c>
      <c r="M494" t="s">
        <v>1252</v>
      </c>
      <c r="N494" t="s">
        <v>1252</v>
      </c>
      <c r="O494">
        <v>21000</v>
      </c>
      <c r="P494" t="s">
        <v>46</v>
      </c>
      <c r="Q494" t="s">
        <v>47</v>
      </c>
      <c r="R494" t="s">
        <v>48</v>
      </c>
      <c r="T494" t="s">
        <v>36</v>
      </c>
      <c r="U494" t="s">
        <v>36</v>
      </c>
      <c r="V494" t="s">
        <v>36</v>
      </c>
      <c r="W494">
        <v>4000</v>
      </c>
      <c r="X494" t="s">
        <v>49</v>
      </c>
      <c r="Y494" t="s">
        <v>50</v>
      </c>
      <c r="Z494" t="s">
        <v>51</v>
      </c>
      <c r="AA494" t="s">
        <v>37</v>
      </c>
      <c r="AB494" t="s">
        <v>52</v>
      </c>
      <c r="AC494" t="s">
        <v>53</v>
      </c>
      <c r="AD494" t="s">
        <v>54</v>
      </c>
      <c r="AE494">
        <v>29.7222771494</v>
      </c>
      <c r="AF494">
        <v>4313</v>
      </c>
      <c r="AG494">
        <v>4312.7692798199996</v>
      </c>
      <c r="AH494">
        <v>297227.51978899998</v>
      </c>
      <c r="AI494">
        <v>41</v>
      </c>
      <c r="AJ494">
        <v>42837.6156399436</v>
      </c>
      <c r="AK494" s="1">
        <f>intersection_ss_Lnight___surface[[#This Row],[surf m2 bout ss]]/intersection_ss_Lnight___surface[[#This Row],[Shape_Area]]</f>
        <v>0.14412398848650948</v>
      </c>
      <c r="AL494">
        <v>25</v>
      </c>
      <c r="AM494">
        <f>intersection_ss_Lnight___surface[[#This Row],[Population totale 2024 ss]]*intersection_ss_Lnight___surface[[#This Row],[Part de la surface du qs dans le noise contour]]</f>
        <v>3.6030997121627371</v>
      </c>
    </row>
    <row r="495" spans="1:39" x14ac:dyDescent="0.3">
      <c r="A495">
        <v>507</v>
      </c>
      <c r="B495" t="s">
        <v>1279</v>
      </c>
      <c r="C495" t="s">
        <v>1280</v>
      </c>
      <c r="D495" t="s">
        <v>1280</v>
      </c>
      <c r="E495" t="s">
        <v>1280</v>
      </c>
      <c r="F495" t="s">
        <v>1270</v>
      </c>
      <c r="G495" t="s">
        <v>1248</v>
      </c>
      <c r="H495" t="s">
        <v>1249</v>
      </c>
      <c r="I495" t="s">
        <v>1250</v>
      </c>
      <c r="J495" t="s">
        <v>36</v>
      </c>
      <c r="K495">
        <v>21018</v>
      </c>
      <c r="L495" t="s">
        <v>1251</v>
      </c>
      <c r="M495" t="s">
        <v>1252</v>
      </c>
      <c r="N495" t="s">
        <v>1252</v>
      </c>
      <c r="O495">
        <v>21000</v>
      </c>
      <c r="P495" t="s">
        <v>46</v>
      </c>
      <c r="Q495" t="s">
        <v>47</v>
      </c>
      <c r="R495" t="s">
        <v>48</v>
      </c>
      <c r="T495" t="s">
        <v>36</v>
      </c>
      <c r="U495" t="s">
        <v>36</v>
      </c>
      <c r="V495" t="s">
        <v>36</v>
      </c>
      <c r="W495">
        <v>4000</v>
      </c>
      <c r="X495" t="s">
        <v>49</v>
      </c>
      <c r="Y495" t="s">
        <v>50</v>
      </c>
      <c r="Z495" t="s">
        <v>51</v>
      </c>
      <c r="AA495" t="s">
        <v>37</v>
      </c>
      <c r="AB495" t="s">
        <v>52</v>
      </c>
      <c r="AC495" t="s">
        <v>53</v>
      </c>
      <c r="AD495" t="s">
        <v>54</v>
      </c>
      <c r="AE495">
        <v>29.7222771494</v>
      </c>
      <c r="AF495">
        <v>4313</v>
      </c>
      <c r="AG495">
        <v>4312.7692798199996</v>
      </c>
      <c r="AH495">
        <v>297227.51978899998</v>
      </c>
      <c r="AI495">
        <v>42</v>
      </c>
      <c r="AJ495">
        <v>196453.36322745</v>
      </c>
      <c r="AK495" s="1">
        <f>intersection_ss_Lnight___surface[[#This Row],[surf m2 bout ss]]/intersection_ss_Lnight___surface[[#This Row],[Shape_Area]]</f>
        <v>0.66095280600837714</v>
      </c>
      <c r="AL495">
        <v>25</v>
      </c>
      <c r="AM495">
        <f>intersection_ss_Lnight___surface[[#This Row],[Population totale 2024 ss]]*intersection_ss_Lnight___surface[[#This Row],[Part de la surface du qs dans le noise contour]]</f>
        <v>16.523820150209428</v>
      </c>
    </row>
    <row r="496" spans="1:39" x14ac:dyDescent="0.3">
      <c r="A496">
        <v>508</v>
      </c>
      <c r="B496" t="s">
        <v>1279</v>
      </c>
      <c r="C496" t="s">
        <v>1280</v>
      </c>
      <c r="D496" t="s">
        <v>1280</v>
      </c>
      <c r="E496" t="s">
        <v>1280</v>
      </c>
      <c r="F496" t="s">
        <v>1270</v>
      </c>
      <c r="G496" t="s">
        <v>1248</v>
      </c>
      <c r="H496" t="s">
        <v>1249</v>
      </c>
      <c r="I496" t="s">
        <v>1250</v>
      </c>
      <c r="J496" t="s">
        <v>36</v>
      </c>
      <c r="K496">
        <v>21018</v>
      </c>
      <c r="L496" t="s">
        <v>1251</v>
      </c>
      <c r="M496" t="s">
        <v>1252</v>
      </c>
      <c r="N496" t="s">
        <v>1252</v>
      </c>
      <c r="O496">
        <v>21000</v>
      </c>
      <c r="P496" t="s">
        <v>46</v>
      </c>
      <c r="Q496" t="s">
        <v>47</v>
      </c>
      <c r="R496" t="s">
        <v>48</v>
      </c>
      <c r="T496" t="s">
        <v>36</v>
      </c>
      <c r="U496" t="s">
        <v>36</v>
      </c>
      <c r="V496" t="s">
        <v>36</v>
      </c>
      <c r="W496">
        <v>4000</v>
      </c>
      <c r="X496" t="s">
        <v>49</v>
      </c>
      <c r="Y496" t="s">
        <v>50</v>
      </c>
      <c r="Z496" t="s">
        <v>51</v>
      </c>
      <c r="AA496" t="s">
        <v>37</v>
      </c>
      <c r="AB496" t="s">
        <v>52</v>
      </c>
      <c r="AC496" t="s">
        <v>53</v>
      </c>
      <c r="AD496" t="s">
        <v>54</v>
      </c>
      <c r="AE496">
        <v>29.7222771494</v>
      </c>
      <c r="AF496">
        <v>4313</v>
      </c>
      <c r="AG496">
        <v>4312.7692798199996</v>
      </c>
      <c r="AH496">
        <v>297227.51978899998</v>
      </c>
      <c r="AI496">
        <v>43</v>
      </c>
      <c r="AJ496">
        <v>57966.087709299602</v>
      </c>
      <c r="AK496" s="1">
        <f>intersection_ss_Lnight___surface[[#This Row],[surf m2 bout ss]]/intersection_ss_Lnight___surface[[#This Row],[Shape_Area]]</f>
        <v>0.19502261348629285</v>
      </c>
      <c r="AL496">
        <v>25</v>
      </c>
      <c r="AM496">
        <f>intersection_ss_Lnight___surface[[#This Row],[Population totale 2024 ss]]*intersection_ss_Lnight___surface[[#This Row],[Part de la surface du qs dans le noise contour]]</f>
        <v>4.8755653371573215</v>
      </c>
    </row>
    <row r="497" spans="1:39" x14ac:dyDescent="0.3">
      <c r="A497">
        <v>509</v>
      </c>
      <c r="B497" t="s">
        <v>1281</v>
      </c>
      <c r="C497" t="s">
        <v>1282</v>
      </c>
      <c r="D497" t="s">
        <v>1283</v>
      </c>
      <c r="E497" t="s">
        <v>1283</v>
      </c>
      <c r="F497" t="s">
        <v>1284</v>
      </c>
      <c r="G497" t="s">
        <v>1248</v>
      </c>
      <c r="H497" t="s">
        <v>1249</v>
      </c>
      <c r="I497" t="s">
        <v>1250</v>
      </c>
      <c r="J497" t="s">
        <v>36</v>
      </c>
      <c r="K497">
        <v>21018</v>
      </c>
      <c r="L497" t="s">
        <v>1251</v>
      </c>
      <c r="M497" t="s">
        <v>1252</v>
      </c>
      <c r="N497" t="s">
        <v>1252</v>
      </c>
      <c r="O497">
        <v>21000</v>
      </c>
      <c r="P497" t="s">
        <v>46</v>
      </c>
      <c r="Q497" t="s">
        <v>47</v>
      </c>
      <c r="R497" t="s">
        <v>48</v>
      </c>
      <c r="T497" t="s">
        <v>36</v>
      </c>
      <c r="U497" t="s">
        <v>36</v>
      </c>
      <c r="V497" t="s">
        <v>36</v>
      </c>
      <c r="W497">
        <v>4000</v>
      </c>
      <c r="X497" t="s">
        <v>49</v>
      </c>
      <c r="Y497" t="s">
        <v>50</v>
      </c>
      <c r="Z497" t="s">
        <v>51</v>
      </c>
      <c r="AA497" t="s">
        <v>37</v>
      </c>
      <c r="AB497" t="s">
        <v>52</v>
      </c>
      <c r="AC497" t="s">
        <v>53</v>
      </c>
      <c r="AD497" t="s">
        <v>54</v>
      </c>
      <c r="AE497">
        <v>27.428049896200001</v>
      </c>
      <c r="AF497">
        <v>2437</v>
      </c>
      <c r="AG497">
        <v>2437.3434980699999</v>
      </c>
      <c r="AH497">
        <v>274284.92076900002</v>
      </c>
      <c r="AI497">
        <v>40</v>
      </c>
      <c r="AJ497">
        <v>51251.562320299403</v>
      </c>
      <c r="AK497" s="1">
        <f>intersection_ss_Lnight___surface[[#This Row],[surf m2 bout ss]]/intersection_ss_Lnight___surface[[#This Row],[Shape_Area]]</f>
        <v>0.18685519487038424</v>
      </c>
      <c r="AL497">
        <v>3340</v>
      </c>
      <c r="AM497">
        <f>intersection_ss_Lnight___surface[[#This Row],[Population totale 2024 ss]]*intersection_ss_Lnight___surface[[#This Row],[Part de la surface du qs dans le noise contour]]</f>
        <v>624.0963508670834</v>
      </c>
    </row>
    <row r="498" spans="1:39" x14ac:dyDescent="0.3">
      <c r="A498">
        <v>510</v>
      </c>
      <c r="B498" t="s">
        <v>1285</v>
      </c>
      <c r="C498" t="s">
        <v>1286</v>
      </c>
      <c r="D498" t="s">
        <v>1287</v>
      </c>
      <c r="E498" t="s">
        <v>1287</v>
      </c>
      <c r="F498" t="s">
        <v>1284</v>
      </c>
      <c r="G498" t="s">
        <v>1248</v>
      </c>
      <c r="H498" t="s">
        <v>1249</v>
      </c>
      <c r="I498" t="s">
        <v>1250</v>
      </c>
      <c r="J498" t="s">
        <v>36</v>
      </c>
      <c r="K498">
        <v>21018</v>
      </c>
      <c r="L498" t="s">
        <v>1251</v>
      </c>
      <c r="M498" t="s">
        <v>1252</v>
      </c>
      <c r="N498" t="s">
        <v>1252</v>
      </c>
      <c r="O498">
        <v>21000</v>
      </c>
      <c r="P498" t="s">
        <v>46</v>
      </c>
      <c r="Q498" t="s">
        <v>47</v>
      </c>
      <c r="R498" t="s">
        <v>48</v>
      </c>
      <c r="T498" t="s">
        <v>36</v>
      </c>
      <c r="U498" t="s">
        <v>36</v>
      </c>
      <c r="V498" t="s">
        <v>36</v>
      </c>
      <c r="W498">
        <v>4000</v>
      </c>
      <c r="X498" t="s">
        <v>49</v>
      </c>
      <c r="Y498" t="s">
        <v>50</v>
      </c>
      <c r="Z498" t="s">
        <v>51</v>
      </c>
      <c r="AA498" t="s">
        <v>37</v>
      </c>
      <c r="AB498" t="s">
        <v>52</v>
      </c>
      <c r="AC498" t="s">
        <v>53</v>
      </c>
      <c r="AD498" t="s">
        <v>54</v>
      </c>
      <c r="AE498">
        <v>20.4697410753</v>
      </c>
      <c r="AF498">
        <v>2274</v>
      </c>
      <c r="AG498">
        <v>2273.8305505600001</v>
      </c>
      <c r="AH498">
        <v>204700.711457</v>
      </c>
      <c r="AI498">
        <v>40</v>
      </c>
      <c r="AJ498">
        <v>2106.0691828448298</v>
      </c>
      <c r="AK498" s="1">
        <f>intersection_ss_Lnight___surface[[#This Row],[surf m2 bout ss]]/intersection_ss_Lnight___surface[[#This Row],[Shape_Area]]</f>
        <v>1.0288528886169683E-2</v>
      </c>
      <c r="AL498">
        <v>3275</v>
      </c>
      <c r="AM498">
        <f>intersection_ss_Lnight___surface[[#This Row],[Population totale 2024 ss]]*intersection_ss_Lnight___surface[[#This Row],[Part de la surface du qs dans le noise contour]]</f>
        <v>33.694932102205712</v>
      </c>
    </row>
    <row r="499" spans="1:39" x14ac:dyDescent="0.3">
      <c r="A499">
        <v>511</v>
      </c>
      <c r="B499" t="s">
        <v>1291</v>
      </c>
      <c r="C499" t="s">
        <v>1292</v>
      </c>
      <c r="D499" t="s">
        <v>1293</v>
      </c>
      <c r="E499" t="s">
        <v>1293</v>
      </c>
      <c r="F499" t="s">
        <v>1284</v>
      </c>
      <c r="G499" t="s">
        <v>1248</v>
      </c>
      <c r="H499" t="s">
        <v>1249</v>
      </c>
      <c r="I499" t="s">
        <v>1250</v>
      </c>
      <c r="J499" t="s">
        <v>36</v>
      </c>
      <c r="K499">
        <v>21018</v>
      </c>
      <c r="L499" t="s">
        <v>1251</v>
      </c>
      <c r="M499" t="s">
        <v>1252</v>
      </c>
      <c r="N499" t="s">
        <v>1252</v>
      </c>
      <c r="O499">
        <v>21000</v>
      </c>
      <c r="P499" t="s">
        <v>46</v>
      </c>
      <c r="Q499" t="s">
        <v>47</v>
      </c>
      <c r="R499" t="s">
        <v>48</v>
      </c>
      <c r="T499" t="s">
        <v>36</v>
      </c>
      <c r="U499" t="s">
        <v>36</v>
      </c>
      <c r="V499" t="s">
        <v>36</v>
      </c>
      <c r="W499">
        <v>4000</v>
      </c>
      <c r="X499" t="s">
        <v>49</v>
      </c>
      <c r="Y499" t="s">
        <v>50</v>
      </c>
      <c r="Z499" t="s">
        <v>51</v>
      </c>
      <c r="AA499" t="s">
        <v>37</v>
      </c>
      <c r="AB499" t="s">
        <v>52</v>
      </c>
      <c r="AC499" t="s">
        <v>53</v>
      </c>
      <c r="AD499" t="s">
        <v>54</v>
      </c>
      <c r="AE499">
        <v>15.7874255123</v>
      </c>
      <c r="AF499">
        <v>1763</v>
      </c>
      <c r="AG499">
        <v>1763.3574703100001</v>
      </c>
      <c r="AH499">
        <v>157876.78305900001</v>
      </c>
      <c r="AI499">
        <v>40</v>
      </c>
      <c r="AJ499">
        <v>16364.300613723701</v>
      </c>
      <c r="AK499" s="1">
        <f>intersection_ss_Lnight___surface[[#This Row],[surf m2 bout ss]]/intersection_ss_Lnight___surface[[#This Row],[Shape_Area]]</f>
        <v>0.1036523565824635</v>
      </c>
      <c r="AL499">
        <v>2236</v>
      </c>
      <c r="AM499">
        <f>intersection_ss_Lnight___surface[[#This Row],[Population totale 2024 ss]]*intersection_ss_Lnight___surface[[#This Row],[Part de la surface du qs dans le noise contour]]</f>
        <v>231.76666931838838</v>
      </c>
    </row>
    <row r="500" spans="1:39" x14ac:dyDescent="0.3">
      <c r="A500">
        <v>512</v>
      </c>
      <c r="B500" t="s">
        <v>1294</v>
      </c>
      <c r="C500" t="s">
        <v>1295</v>
      </c>
      <c r="D500" t="s">
        <v>1111</v>
      </c>
      <c r="E500" t="s">
        <v>1111</v>
      </c>
      <c r="F500" t="s">
        <v>1296</v>
      </c>
      <c r="G500" t="s">
        <v>1248</v>
      </c>
      <c r="H500" t="s">
        <v>1249</v>
      </c>
      <c r="I500" t="s">
        <v>1250</v>
      </c>
      <c r="J500" t="s">
        <v>36</v>
      </c>
      <c r="K500">
        <v>21018</v>
      </c>
      <c r="L500" t="s">
        <v>1251</v>
      </c>
      <c r="M500" t="s">
        <v>1252</v>
      </c>
      <c r="N500" t="s">
        <v>1252</v>
      </c>
      <c r="O500">
        <v>21000</v>
      </c>
      <c r="P500" t="s">
        <v>46</v>
      </c>
      <c r="Q500" t="s">
        <v>47</v>
      </c>
      <c r="R500" t="s">
        <v>48</v>
      </c>
      <c r="T500" t="s">
        <v>36</v>
      </c>
      <c r="U500" t="s">
        <v>36</v>
      </c>
      <c r="V500" t="s">
        <v>36</v>
      </c>
      <c r="W500">
        <v>4000</v>
      </c>
      <c r="X500" t="s">
        <v>49</v>
      </c>
      <c r="Y500" t="s">
        <v>50</v>
      </c>
      <c r="Z500" t="s">
        <v>51</v>
      </c>
      <c r="AA500" t="s">
        <v>37</v>
      </c>
      <c r="AB500" t="s">
        <v>52</v>
      </c>
      <c r="AC500" t="s">
        <v>53</v>
      </c>
      <c r="AD500" t="s">
        <v>54</v>
      </c>
      <c r="AE500">
        <v>10.9381875209</v>
      </c>
      <c r="AF500">
        <v>1449</v>
      </c>
      <c r="AG500">
        <v>1449.1126622199999</v>
      </c>
      <c r="AH500">
        <v>109383.632854</v>
      </c>
      <c r="AI500">
        <v>42</v>
      </c>
      <c r="AJ500">
        <v>60061.361255653203</v>
      </c>
      <c r="AK500" s="1">
        <f>intersection_ss_Lnight___surface[[#This Row],[surf m2 bout ss]]/intersection_ss_Lnight___surface[[#This Row],[Shape_Area]]</f>
        <v>0.54908910673885014</v>
      </c>
      <c r="AL500">
        <v>1289</v>
      </c>
      <c r="AM500">
        <f>intersection_ss_Lnight___surface[[#This Row],[Population totale 2024 ss]]*intersection_ss_Lnight___surface[[#This Row],[Part de la surface du qs dans le noise contour]]</f>
        <v>707.77585858637781</v>
      </c>
    </row>
    <row r="501" spans="1:39" x14ac:dyDescent="0.3">
      <c r="A501">
        <v>513</v>
      </c>
      <c r="B501" t="s">
        <v>1294</v>
      </c>
      <c r="C501" t="s">
        <v>1295</v>
      </c>
      <c r="D501" t="s">
        <v>1111</v>
      </c>
      <c r="E501" t="s">
        <v>1111</v>
      </c>
      <c r="F501" t="s">
        <v>1296</v>
      </c>
      <c r="G501" t="s">
        <v>1248</v>
      </c>
      <c r="H501" t="s">
        <v>1249</v>
      </c>
      <c r="I501" t="s">
        <v>1250</v>
      </c>
      <c r="J501" t="s">
        <v>36</v>
      </c>
      <c r="K501">
        <v>21018</v>
      </c>
      <c r="L501" t="s">
        <v>1251</v>
      </c>
      <c r="M501" t="s">
        <v>1252</v>
      </c>
      <c r="N501" t="s">
        <v>1252</v>
      </c>
      <c r="O501">
        <v>21000</v>
      </c>
      <c r="P501" t="s">
        <v>46</v>
      </c>
      <c r="Q501" t="s">
        <v>47</v>
      </c>
      <c r="R501" t="s">
        <v>48</v>
      </c>
      <c r="T501" t="s">
        <v>36</v>
      </c>
      <c r="U501" t="s">
        <v>36</v>
      </c>
      <c r="V501" t="s">
        <v>36</v>
      </c>
      <c r="W501">
        <v>4000</v>
      </c>
      <c r="X501" t="s">
        <v>49</v>
      </c>
      <c r="Y501" t="s">
        <v>50</v>
      </c>
      <c r="Z501" t="s">
        <v>51</v>
      </c>
      <c r="AA501" t="s">
        <v>37</v>
      </c>
      <c r="AB501" t="s">
        <v>52</v>
      </c>
      <c r="AC501" t="s">
        <v>53</v>
      </c>
      <c r="AD501" t="s">
        <v>54</v>
      </c>
      <c r="AE501">
        <v>10.9381875209</v>
      </c>
      <c r="AF501">
        <v>1449</v>
      </c>
      <c r="AG501">
        <v>1449.1126622199999</v>
      </c>
      <c r="AH501">
        <v>109383.632854</v>
      </c>
      <c r="AI501">
        <v>43</v>
      </c>
      <c r="AJ501">
        <v>49332.990023337297</v>
      </c>
      <c r="AK501" s="1">
        <f>intersection_ss_Lnight___surface[[#This Row],[surf m2 bout ss]]/intersection_ss_Lnight___surface[[#This Row],[Shape_Area]]</f>
        <v>0.45100888255544225</v>
      </c>
      <c r="AL501">
        <v>1289</v>
      </c>
      <c r="AM501">
        <f>intersection_ss_Lnight___surface[[#This Row],[Population totale 2024 ss]]*intersection_ss_Lnight___surface[[#This Row],[Part de la surface du qs dans le noise contour]]</f>
        <v>581.35044961396511</v>
      </c>
    </row>
    <row r="502" spans="1:39" x14ac:dyDescent="0.3">
      <c r="A502">
        <v>514</v>
      </c>
      <c r="B502" t="s">
        <v>1297</v>
      </c>
      <c r="C502" t="s">
        <v>1298</v>
      </c>
      <c r="D502" t="s">
        <v>1299</v>
      </c>
      <c r="E502" t="s">
        <v>1299</v>
      </c>
      <c r="F502" t="s">
        <v>1296</v>
      </c>
      <c r="G502" t="s">
        <v>1248</v>
      </c>
      <c r="H502" t="s">
        <v>1249</v>
      </c>
      <c r="I502" t="s">
        <v>1250</v>
      </c>
      <c r="J502" t="s">
        <v>36</v>
      </c>
      <c r="K502">
        <v>21018</v>
      </c>
      <c r="L502" t="s">
        <v>1251</v>
      </c>
      <c r="M502" t="s">
        <v>1252</v>
      </c>
      <c r="N502" t="s">
        <v>1252</v>
      </c>
      <c r="O502">
        <v>21000</v>
      </c>
      <c r="P502" t="s">
        <v>46</v>
      </c>
      <c r="Q502" t="s">
        <v>47</v>
      </c>
      <c r="R502" t="s">
        <v>48</v>
      </c>
      <c r="T502" t="s">
        <v>36</v>
      </c>
      <c r="U502" t="s">
        <v>36</v>
      </c>
      <c r="V502" t="s">
        <v>36</v>
      </c>
      <c r="W502">
        <v>4000</v>
      </c>
      <c r="X502" t="s">
        <v>49</v>
      </c>
      <c r="Y502" t="s">
        <v>50</v>
      </c>
      <c r="Z502" t="s">
        <v>51</v>
      </c>
      <c r="AA502" t="s">
        <v>37</v>
      </c>
      <c r="AB502" t="s">
        <v>52</v>
      </c>
      <c r="AC502" t="s">
        <v>53</v>
      </c>
      <c r="AD502" t="s">
        <v>54</v>
      </c>
      <c r="AE502">
        <v>11.319265168499999</v>
      </c>
      <c r="AF502">
        <v>1426</v>
      </c>
      <c r="AG502">
        <v>1425.5691315399999</v>
      </c>
      <c r="AH502">
        <v>113194.468049</v>
      </c>
      <c r="AI502">
        <v>43</v>
      </c>
      <c r="AJ502">
        <v>94226.043383471697</v>
      </c>
      <c r="AK502" s="1">
        <f>intersection_ss_Lnight___surface[[#This Row],[surf m2 bout ss]]/intersection_ss_Lnight___surface[[#This Row],[Shape_Area]]</f>
        <v>0.83242622194825644</v>
      </c>
      <c r="AL502">
        <v>2476</v>
      </c>
      <c r="AM502">
        <f>intersection_ss_Lnight___surface[[#This Row],[Population totale 2024 ss]]*intersection_ss_Lnight___surface[[#This Row],[Part de la surface du qs dans le noise contour]]</f>
        <v>2061.0873255438828</v>
      </c>
    </row>
    <row r="503" spans="1:39" x14ac:dyDescent="0.3">
      <c r="A503">
        <v>515</v>
      </c>
      <c r="B503" t="s">
        <v>1297</v>
      </c>
      <c r="C503" t="s">
        <v>1298</v>
      </c>
      <c r="D503" t="s">
        <v>1299</v>
      </c>
      <c r="E503" t="s">
        <v>1299</v>
      </c>
      <c r="F503" t="s">
        <v>1296</v>
      </c>
      <c r="G503" t="s">
        <v>1248</v>
      </c>
      <c r="H503" t="s">
        <v>1249</v>
      </c>
      <c r="I503" t="s">
        <v>1250</v>
      </c>
      <c r="J503" t="s">
        <v>36</v>
      </c>
      <c r="K503">
        <v>21018</v>
      </c>
      <c r="L503" t="s">
        <v>1251</v>
      </c>
      <c r="M503" t="s">
        <v>1252</v>
      </c>
      <c r="N503" t="s">
        <v>1252</v>
      </c>
      <c r="O503">
        <v>21000</v>
      </c>
      <c r="P503" t="s">
        <v>46</v>
      </c>
      <c r="Q503" t="s">
        <v>47</v>
      </c>
      <c r="R503" t="s">
        <v>48</v>
      </c>
      <c r="T503" t="s">
        <v>36</v>
      </c>
      <c r="U503" t="s">
        <v>36</v>
      </c>
      <c r="V503" t="s">
        <v>36</v>
      </c>
      <c r="W503">
        <v>4000</v>
      </c>
      <c r="X503" t="s">
        <v>49</v>
      </c>
      <c r="Y503" t="s">
        <v>50</v>
      </c>
      <c r="Z503" t="s">
        <v>51</v>
      </c>
      <c r="AA503" t="s">
        <v>37</v>
      </c>
      <c r="AB503" t="s">
        <v>52</v>
      </c>
      <c r="AC503" t="s">
        <v>53</v>
      </c>
      <c r="AD503" t="s">
        <v>54</v>
      </c>
      <c r="AE503">
        <v>11.319265168499999</v>
      </c>
      <c r="AF503">
        <v>1426</v>
      </c>
      <c r="AG503">
        <v>1425.5691315399999</v>
      </c>
      <c r="AH503">
        <v>113194.468049</v>
      </c>
      <c r="AI503">
        <v>44</v>
      </c>
      <c r="AJ503">
        <v>18979.452257450699</v>
      </c>
      <c r="AK503" s="1">
        <f>intersection_ss_Lnight___surface[[#This Row],[surf m2 bout ss]]/intersection_ss_Lnight___surface[[#This Row],[Shape_Area]]</f>
        <v>0.16767119970239897</v>
      </c>
      <c r="AL503">
        <v>2476</v>
      </c>
      <c r="AM503">
        <f>intersection_ss_Lnight___surface[[#This Row],[Population totale 2024 ss]]*intersection_ss_Lnight___surface[[#This Row],[Part de la surface du qs dans le noise contour]]</f>
        <v>415.15389046313982</v>
      </c>
    </row>
    <row r="504" spans="1:39" x14ac:dyDescent="0.3">
      <c r="A504">
        <v>516</v>
      </c>
      <c r="B504" t="s">
        <v>1300</v>
      </c>
      <c r="C504" t="s">
        <v>1301</v>
      </c>
      <c r="D504" t="s">
        <v>1302</v>
      </c>
      <c r="E504" t="s">
        <v>1302</v>
      </c>
      <c r="F504" t="s">
        <v>1296</v>
      </c>
      <c r="G504" t="s">
        <v>1248</v>
      </c>
      <c r="H504" t="s">
        <v>1249</v>
      </c>
      <c r="I504" t="s">
        <v>1250</v>
      </c>
      <c r="J504" t="s">
        <v>36</v>
      </c>
      <c r="K504">
        <v>21018</v>
      </c>
      <c r="L504" t="s">
        <v>1251</v>
      </c>
      <c r="M504" t="s">
        <v>1252</v>
      </c>
      <c r="N504" t="s">
        <v>1252</v>
      </c>
      <c r="O504">
        <v>21000</v>
      </c>
      <c r="P504" t="s">
        <v>46</v>
      </c>
      <c r="Q504" t="s">
        <v>47</v>
      </c>
      <c r="R504" t="s">
        <v>48</v>
      </c>
      <c r="T504" t="s">
        <v>36</v>
      </c>
      <c r="U504" t="s">
        <v>36</v>
      </c>
      <c r="V504" t="s">
        <v>36</v>
      </c>
      <c r="W504">
        <v>4000</v>
      </c>
      <c r="X504" t="s">
        <v>49</v>
      </c>
      <c r="Y504" t="s">
        <v>50</v>
      </c>
      <c r="Z504" t="s">
        <v>51</v>
      </c>
      <c r="AA504" t="s">
        <v>37</v>
      </c>
      <c r="AB504" t="s">
        <v>52</v>
      </c>
      <c r="AC504" t="s">
        <v>53</v>
      </c>
      <c r="AD504" t="s">
        <v>54</v>
      </c>
      <c r="AE504">
        <v>6.7743852431500002</v>
      </c>
      <c r="AF504">
        <v>1188</v>
      </c>
      <c r="AG504">
        <v>1187.8797170400001</v>
      </c>
      <c r="AH504">
        <v>67744.946327199999</v>
      </c>
      <c r="AI504">
        <v>43</v>
      </c>
      <c r="AJ504">
        <v>8493.0887721297295</v>
      </c>
      <c r="AK504" s="1">
        <f>intersection_ss_Lnight___surface[[#This Row],[surf m2 bout ss]]/intersection_ss_Lnight___surface[[#This Row],[Shape_Area]]</f>
        <v>0.12536859548325752</v>
      </c>
      <c r="AL504">
        <v>428</v>
      </c>
      <c r="AM504">
        <f>intersection_ss_Lnight___surface[[#This Row],[Population totale 2024 ss]]*intersection_ss_Lnight___surface[[#This Row],[Part de la surface du qs dans le noise contour]]</f>
        <v>53.657758866834214</v>
      </c>
    </row>
    <row r="505" spans="1:39" x14ac:dyDescent="0.3">
      <c r="A505">
        <v>517</v>
      </c>
      <c r="B505" t="s">
        <v>1300</v>
      </c>
      <c r="C505" t="s">
        <v>1301</v>
      </c>
      <c r="D505" t="s">
        <v>1302</v>
      </c>
      <c r="E505" t="s">
        <v>1302</v>
      </c>
      <c r="F505" t="s">
        <v>1296</v>
      </c>
      <c r="G505" t="s">
        <v>1248</v>
      </c>
      <c r="H505" t="s">
        <v>1249</v>
      </c>
      <c r="I505" t="s">
        <v>1250</v>
      </c>
      <c r="J505" t="s">
        <v>36</v>
      </c>
      <c r="K505">
        <v>21018</v>
      </c>
      <c r="L505" t="s">
        <v>1251</v>
      </c>
      <c r="M505" t="s">
        <v>1252</v>
      </c>
      <c r="N505" t="s">
        <v>1252</v>
      </c>
      <c r="O505">
        <v>21000</v>
      </c>
      <c r="P505" t="s">
        <v>46</v>
      </c>
      <c r="Q505" t="s">
        <v>47</v>
      </c>
      <c r="R505" t="s">
        <v>48</v>
      </c>
      <c r="T505" t="s">
        <v>36</v>
      </c>
      <c r="U505" t="s">
        <v>36</v>
      </c>
      <c r="V505" t="s">
        <v>36</v>
      </c>
      <c r="W505">
        <v>4000</v>
      </c>
      <c r="X505" t="s">
        <v>49</v>
      </c>
      <c r="Y505" t="s">
        <v>50</v>
      </c>
      <c r="Z505" t="s">
        <v>51</v>
      </c>
      <c r="AA505" t="s">
        <v>37</v>
      </c>
      <c r="AB505" t="s">
        <v>52</v>
      </c>
      <c r="AC505" t="s">
        <v>53</v>
      </c>
      <c r="AD505" t="s">
        <v>54</v>
      </c>
      <c r="AE505">
        <v>6.7743852431500002</v>
      </c>
      <c r="AF505">
        <v>1188</v>
      </c>
      <c r="AG505">
        <v>1187.8797170400001</v>
      </c>
      <c r="AH505">
        <v>67744.946327199999</v>
      </c>
      <c r="AI505">
        <v>44</v>
      </c>
      <c r="AJ505">
        <v>59258.437283221203</v>
      </c>
      <c r="AK505" s="1">
        <f>intersection_ss_Lnight___surface[[#This Row],[surf m2 bout ss]]/intersection_ss_Lnight___surface[[#This Row],[Shape_Area]]</f>
        <v>0.87472852952026903</v>
      </c>
      <c r="AL505">
        <v>428</v>
      </c>
      <c r="AM505">
        <f>intersection_ss_Lnight___surface[[#This Row],[Population totale 2024 ss]]*intersection_ss_Lnight___surface[[#This Row],[Part de la surface du qs dans le noise contour]]</f>
        <v>374.38381063467517</v>
      </c>
    </row>
    <row r="506" spans="1:39" x14ac:dyDescent="0.3">
      <c r="A506">
        <v>518</v>
      </c>
      <c r="B506" t="s">
        <v>1303</v>
      </c>
      <c r="C506" t="s">
        <v>1304</v>
      </c>
      <c r="D506" t="s">
        <v>1304</v>
      </c>
      <c r="E506" t="s">
        <v>1304</v>
      </c>
      <c r="F506" t="s">
        <v>1296</v>
      </c>
      <c r="G506" t="s">
        <v>1248</v>
      </c>
      <c r="H506" t="s">
        <v>1249</v>
      </c>
      <c r="I506" t="s">
        <v>1250</v>
      </c>
      <c r="J506" t="s">
        <v>36</v>
      </c>
      <c r="K506">
        <v>21018</v>
      </c>
      <c r="L506" t="s">
        <v>1251</v>
      </c>
      <c r="M506" t="s">
        <v>1252</v>
      </c>
      <c r="N506" t="s">
        <v>1252</v>
      </c>
      <c r="O506">
        <v>21000</v>
      </c>
      <c r="P506" t="s">
        <v>46</v>
      </c>
      <c r="Q506" t="s">
        <v>47</v>
      </c>
      <c r="R506" t="s">
        <v>48</v>
      </c>
      <c r="T506" t="s">
        <v>36</v>
      </c>
      <c r="U506" t="s">
        <v>36</v>
      </c>
      <c r="V506" t="s">
        <v>36</v>
      </c>
      <c r="W506">
        <v>4000</v>
      </c>
      <c r="X506" t="s">
        <v>49</v>
      </c>
      <c r="Y506" t="s">
        <v>50</v>
      </c>
      <c r="Z506" t="s">
        <v>51</v>
      </c>
      <c r="AA506" t="s">
        <v>37</v>
      </c>
      <c r="AB506" t="s">
        <v>52</v>
      </c>
      <c r="AC506" t="s">
        <v>53</v>
      </c>
      <c r="AD506" t="s">
        <v>54</v>
      </c>
      <c r="AE506">
        <v>39.456359546900003</v>
      </c>
      <c r="AF506">
        <v>3332</v>
      </c>
      <c r="AG506">
        <v>3331.9223594599998</v>
      </c>
      <c r="AH506">
        <v>394569.95322299999</v>
      </c>
      <c r="AI506">
        <v>42</v>
      </c>
      <c r="AJ506">
        <v>7.2703558951616301E-2</v>
      </c>
      <c r="AK506" s="1">
        <f>intersection_ss_Lnight___surface[[#This Row],[surf m2 bout ss]]/intersection_ss_Lnight___surface[[#This Row],[Shape_Area]]</f>
        <v>1.8426025184570064E-7</v>
      </c>
      <c r="AL506">
        <v>2320</v>
      </c>
      <c r="AM506">
        <f>intersection_ss_Lnight___surface[[#This Row],[Population totale 2024 ss]]*intersection_ss_Lnight___surface[[#This Row],[Part de la surface du qs dans le noise contour]]</f>
        <v>4.2748378428202549E-4</v>
      </c>
    </row>
    <row r="507" spans="1:39" x14ac:dyDescent="0.3">
      <c r="A507">
        <v>519</v>
      </c>
      <c r="B507" t="s">
        <v>1303</v>
      </c>
      <c r="C507" t="s">
        <v>1304</v>
      </c>
      <c r="D507" t="s">
        <v>1304</v>
      </c>
      <c r="E507" t="s">
        <v>1304</v>
      </c>
      <c r="F507" t="s">
        <v>1296</v>
      </c>
      <c r="G507" t="s">
        <v>1248</v>
      </c>
      <c r="H507" t="s">
        <v>1249</v>
      </c>
      <c r="I507" t="s">
        <v>1250</v>
      </c>
      <c r="J507" t="s">
        <v>36</v>
      </c>
      <c r="K507">
        <v>21018</v>
      </c>
      <c r="L507" t="s">
        <v>1251</v>
      </c>
      <c r="M507" t="s">
        <v>1252</v>
      </c>
      <c r="N507" t="s">
        <v>1252</v>
      </c>
      <c r="O507">
        <v>21000</v>
      </c>
      <c r="P507" t="s">
        <v>46</v>
      </c>
      <c r="Q507" t="s">
        <v>47</v>
      </c>
      <c r="R507" t="s">
        <v>48</v>
      </c>
      <c r="T507" t="s">
        <v>36</v>
      </c>
      <c r="U507" t="s">
        <v>36</v>
      </c>
      <c r="V507" t="s">
        <v>36</v>
      </c>
      <c r="W507">
        <v>4000</v>
      </c>
      <c r="X507" t="s">
        <v>49</v>
      </c>
      <c r="Y507" t="s">
        <v>50</v>
      </c>
      <c r="Z507" t="s">
        <v>51</v>
      </c>
      <c r="AA507" t="s">
        <v>37</v>
      </c>
      <c r="AB507" t="s">
        <v>52</v>
      </c>
      <c r="AC507" t="s">
        <v>53</v>
      </c>
      <c r="AD507" t="s">
        <v>54</v>
      </c>
      <c r="AE507">
        <v>39.456359546900003</v>
      </c>
      <c r="AF507">
        <v>3332</v>
      </c>
      <c r="AG507">
        <v>3331.9223594599998</v>
      </c>
      <c r="AH507">
        <v>394569.95322299999</v>
      </c>
      <c r="AI507">
        <v>43</v>
      </c>
      <c r="AJ507">
        <v>204248.08237763599</v>
      </c>
      <c r="AK507" s="1">
        <f>intersection_ss_Lnight___surface[[#This Row],[surf m2 bout ss]]/intersection_ss_Lnight___surface[[#This Row],[Shape_Area]]</f>
        <v>0.51764732896982812</v>
      </c>
      <c r="AL507">
        <v>2320</v>
      </c>
      <c r="AM507">
        <f>intersection_ss_Lnight___surface[[#This Row],[Population totale 2024 ss]]*intersection_ss_Lnight___surface[[#This Row],[Part de la surface du qs dans le noise contour]]</f>
        <v>1200.9418032100014</v>
      </c>
    </row>
    <row r="508" spans="1:39" x14ac:dyDescent="0.3">
      <c r="A508">
        <v>520</v>
      </c>
      <c r="B508" t="s">
        <v>1303</v>
      </c>
      <c r="C508" t="s">
        <v>1304</v>
      </c>
      <c r="D508" t="s">
        <v>1304</v>
      </c>
      <c r="E508" t="s">
        <v>1304</v>
      </c>
      <c r="F508" t="s">
        <v>1296</v>
      </c>
      <c r="G508" t="s">
        <v>1248</v>
      </c>
      <c r="H508" t="s">
        <v>1249</v>
      </c>
      <c r="I508" t="s">
        <v>1250</v>
      </c>
      <c r="J508" t="s">
        <v>36</v>
      </c>
      <c r="K508">
        <v>21018</v>
      </c>
      <c r="L508" t="s">
        <v>1251</v>
      </c>
      <c r="M508" t="s">
        <v>1252</v>
      </c>
      <c r="N508" t="s">
        <v>1252</v>
      </c>
      <c r="O508">
        <v>21000</v>
      </c>
      <c r="P508" t="s">
        <v>46</v>
      </c>
      <c r="Q508" t="s">
        <v>47</v>
      </c>
      <c r="R508" t="s">
        <v>48</v>
      </c>
      <c r="T508" t="s">
        <v>36</v>
      </c>
      <c r="U508" t="s">
        <v>36</v>
      </c>
      <c r="V508" t="s">
        <v>36</v>
      </c>
      <c r="W508">
        <v>4000</v>
      </c>
      <c r="X508" t="s">
        <v>49</v>
      </c>
      <c r="Y508" t="s">
        <v>50</v>
      </c>
      <c r="Z508" t="s">
        <v>51</v>
      </c>
      <c r="AA508" t="s">
        <v>37</v>
      </c>
      <c r="AB508" t="s">
        <v>52</v>
      </c>
      <c r="AC508" t="s">
        <v>53</v>
      </c>
      <c r="AD508" t="s">
        <v>54</v>
      </c>
      <c r="AE508">
        <v>39.456359546900003</v>
      </c>
      <c r="AF508">
        <v>3332</v>
      </c>
      <c r="AG508">
        <v>3331.9223594599998</v>
      </c>
      <c r="AH508">
        <v>394569.95322299999</v>
      </c>
      <c r="AI508">
        <v>44</v>
      </c>
      <c r="AJ508">
        <v>190360.26936481599</v>
      </c>
      <c r="AK508" s="1">
        <f>intersection_ss_Lnight___surface[[#This Row],[surf m2 bout ss]]/intersection_ss_Lnight___surface[[#This Row],[Shape_Area]]</f>
        <v>0.48244998842380088</v>
      </c>
      <c r="AL508">
        <v>2320</v>
      </c>
      <c r="AM508">
        <f>intersection_ss_Lnight___surface[[#This Row],[Population totale 2024 ss]]*intersection_ss_Lnight___surface[[#This Row],[Part de la surface du qs dans le noise contour]]</f>
        <v>1119.283973143218</v>
      </c>
    </row>
    <row r="509" spans="1:39" x14ac:dyDescent="0.3">
      <c r="A509">
        <v>521</v>
      </c>
      <c r="B509" t="s">
        <v>1305</v>
      </c>
      <c r="C509" t="s">
        <v>1306</v>
      </c>
      <c r="D509" t="s">
        <v>1307</v>
      </c>
      <c r="E509" t="s">
        <v>1307</v>
      </c>
      <c r="F509" t="s">
        <v>1296</v>
      </c>
      <c r="G509" t="s">
        <v>1248</v>
      </c>
      <c r="H509" t="s">
        <v>1249</v>
      </c>
      <c r="I509" t="s">
        <v>1250</v>
      </c>
      <c r="J509" t="s">
        <v>36</v>
      </c>
      <c r="K509">
        <v>21018</v>
      </c>
      <c r="L509" t="s">
        <v>1251</v>
      </c>
      <c r="M509" t="s">
        <v>1252</v>
      </c>
      <c r="N509" t="s">
        <v>1252</v>
      </c>
      <c r="O509">
        <v>21000</v>
      </c>
      <c r="P509" t="s">
        <v>46</v>
      </c>
      <c r="Q509" t="s">
        <v>47</v>
      </c>
      <c r="R509" t="s">
        <v>48</v>
      </c>
      <c r="T509" t="s">
        <v>36</v>
      </c>
      <c r="U509" t="s">
        <v>36</v>
      </c>
      <c r="V509" t="s">
        <v>36</v>
      </c>
      <c r="W509">
        <v>4000</v>
      </c>
      <c r="X509" t="s">
        <v>49</v>
      </c>
      <c r="Y509" t="s">
        <v>50</v>
      </c>
      <c r="Z509" t="s">
        <v>51</v>
      </c>
      <c r="AA509" t="s">
        <v>37</v>
      </c>
      <c r="AB509" t="s">
        <v>52</v>
      </c>
      <c r="AC509" t="s">
        <v>53</v>
      </c>
      <c r="AD509" t="s">
        <v>54</v>
      </c>
      <c r="AE509">
        <v>14.627124717599999</v>
      </c>
      <c r="AF509">
        <v>1841</v>
      </c>
      <c r="AG509">
        <v>1841.36784416</v>
      </c>
      <c r="AH509">
        <v>146273.60338399999</v>
      </c>
      <c r="AI509">
        <v>44</v>
      </c>
      <c r="AJ509">
        <v>146287.72330122799</v>
      </c>
      <c r="AK509" s="1">
        <f>intersection_ss_Lnight___surface[[#This Row],[surf m2 bout ss]]/intersection_ss_Lnight___surface[[#This Row],[Shape_Area]]</f>
        <v>1.0000965308634049</v>
      </c>
      <c r="AL509">
        <v>1162</v>
      </c>
      <c r="AM509">
        <f>intersection_ss_Lnight___surface[[#This Row],[Population totale 2024 ss]]*intersection_ss_Lnight___surface[[#This Row],[Part de la surface du qs dans le noise contour]]</f>
        <v>1162.1121688632766</v>
      </c>
    </row>
    <row r="510" spans="1:39" x14ac:dyDescent="0.3">
      <c r="A510">
        <v>522</v>
      </c>
      <c r="B510" t="s">
        <v>1308</v>
      </c>
      <c r="C510" t="s">
        <v>1309</v>
      </c>
      <c r="D510" t="s">
        <v>1310</v>
      </c>
      <c r="E510" t="s">
        <v>1310</v>
      </c>
      <c r="F510" t="s">
        <v>1296</v>
      </c>
      <c r="G510" t="s">
        <v>1248</v>
      </c>
      <c r="H510" t="s">
        <v>1249</v>
      </c>
      <c r="I510" t="s">
        <v>1250</v>
      </c>
      <c r="J510" t="s">
        <v>36</v>
      </c>
      <c r="K510">
        <v>21018</v>
      </c>
      <c r="L510" t="s">
        <v>1251</v>
      </c>
      <c r="M510" t="s">
        <v>1252</v>
      </c>
      <c r="N510" t="s">
        <v>1252</v>
      </c>
      <c r="O510">
        <v>21000</v>
      </c>
      <c r="P510" t="s">
        <v>46</v>
      </c>
      <c r="Q510" t="s">
        <v>47</v>
      </c>
      <c r="R510" t="s">
        <v>48</v>
      </c>
      <c r="T510" t="s">
        <v>36</v>
      </c>
      <c r="U510" t="s">
        <v>36</v>
      </c>
      <c r="V510" t="s">
        <v>36</v>
      </c>
      <c r="W510">
        <v>4000</v>
      </c>
      <c r="X510" t="s">
        <v>49</v>
      </c>
      <c r="Y510" t="s">
        <v>50</v>
      </c>
      <c r="Z510" t="s">
        <v>51</v>
      </c>
      <c r="AA510" t="s">
        <v>37</v>
      </c>
      <c r="AB510" t="s">
        <v>52</v>
      </c>
      <c r="AC510" t="s">
        <v>53</v>
      </c>
      <c r="AD510" t="s">
        <v>54</v>
      </c>
      <c r="AE510">
        <v>11.4043631674</v>
      </c>
      <c r="AF510">
        <v>1409</v>
      </c>
      <c r="AG510">
        <v>1408.94639708</v>
      </c>
      <c r="AH510">
        <v>114045.46187</v>
      </c>
      <c r="AI510">
        <v>44</v>
      </c>
      <c r="AJ510">
        <v>102127.802621825</v>
      </c>
      <c r="AK510" s="1">
        <f>intersection_ss_Lnight___surface[[#This Row],[surf m2 bout ss]]/intersection_ss_Lnight___surface[[#This Row],[Shape_Area]]</f>
        <v>0.89550080246279429</v>
      </c>
      <c r="AL510">
        <v>1126</v>
      </c>
      <c r="AM510">
        <f>intersection_ss_Lnight___surface[[#This Row],[Population totale 2024 ss]]*intersection_ss_Lnight___surface[[#This Row],[Part de la surface du qs dans le noise contour]]</f>
        <v>1008.3339035731063</v>
      </c>
    </row>
    <row r="511" spans="1:39" x14ac:dyDescent="0.3">
      <c r="A511">
        <v>523</v>
      </c>
      <c r="B511" t="s">
        <v>1308</v>
      </c>
      <c r="C511" t="s">
        <v>1309</v>
      </c>
      <c r="D511" t="s">
        <v>1310</v>
      </c>
      <c r="E511" t="s">
        <v>1310</v>
      </c>
      <c r="F511" t="s">
        <v>1296</v>
      </c>
      <c r="G511" t="s">
        <v>1248</v>
      </c>
      <c r="H511" t="s">
        <v>1249</v>
      </c>
      <c r="I511" t="s">
        <v>1250</v>
      </c>
      <c r="J511" t="s">
        <v>36</v>
      </c>
      <c r="K511">
        <v>21018</v>
      </c>
      <c r="L511" t="s">
        <v>1251</v>
      </c>
      <c r="M511" t="s">
        <v>1252</v>
      </c>
      <c r="N511" t="s">
        <v>1252</v>
      </c>
      <c r="O511">
        <v>21000</v>
      </c>
      <c r="P511" t="s">
        <v>46</v>
      </c>
      <c r="Q511" t="s">
        <v>47</v>
      </c>
      <c r="R511" t="s">
        <v>48</v>
      </c>
      <c r="T511" t="s">
        <v>36</v>
      </c>
      <c r="U511" t="s">
        <v>36</v>
      </c>
      <c r="V511" t="s">
        <v>36</v>
      </c>
      <c r="W511">
        <v>4000</v>
      </c>
      <c r="X511" t="s">
        <v>49</v>
      </c>
      <c r="Y511" t="s">
        <v>50</v>
      </c>
      <c r="Z511" t="s">
        <v>51</v>
      </c>
      <c r="AA511" t="s">
        <v>37</v>
      </c>
      <c r="AB511" t="s">
        <v>52</v>
      </c>
      <c r="AC511" t="s">
        <v>53</v>
      </c>
      <c r="AD511" t="s">
        <v>54</v>
      </c>
      <c r="AE511">
        <v>11.4043631674</v>
      </c>
      <c r="AF511">
        <v>1409</v>
      </c>
      <c r="AG511">
        <v>1408.94639708</v>
      </c>
      <c r="AH511">
        <v>114045.46187</v>
      </c>
      <c r="AI511">
        <v>45</v>
      </c>
      <c r="AJ511">
        <v>11928.620858337699</v>
      </c>
      <c r="AK511" s="1">
        <f>intersection_ss_Lnight___surface[[#This Row],[surf m2 bout ss]]/intersection_ss_Lnight___surface[[#This Row],[Shape_Area]]</f>
        <v>0.10459531368231986</v>
      </c>
      <c r="AL511">
        <v>1126</v>
      </c>
      <c r="AM511">
        <f>intersection_ss_Lnight___surface[[#This Row],[Population totale 2024 ss]]*intersection_ss_Lnight___surface[[#This Row],[Part de la surface du qs dans le noise contour]]</f>
        <v>117.77432320629217</v>
      </c>
    </row>
    <row r="512" spans="1:39" x14ac:dyDescent="0.3">
      <c r="A512">
        <v>524</v>
      </c>
      <c r="B512" t="s">
        <v>1311</v>
      </c>
      <c r="C512" t="s">
        <v>694</v>
      </c>
      <c r="D512" t="s">
        <v>695</v>
      </c>
      <c r="E512" t="s">
        <v>695</v>
      </c>
      <c r="F512" t="s">
        <v>1296</v>
      </c>
      <c r="G512" t="s">
        <v>1248</v>
      </c>
      <c r="H512" t="s">
        <v>1249</v>
      </c>
      <c r="I512" t="s">
        <v>1250</v>
      </c>
      <c r="J512" t="s">
        <v>36</v>
      </c>
      <c r="K512">
        <v>21018</v>
      </c>
      <c r="L512" t="s">
        <v>1251</v>
      </c>
      <c r="M512" t="s">
        <v>1252</v>
      </c>
      <c r="N512" t="s">
        <v>1252</v>
      </c>
      <c r="O512">
        <v>21000</v>
      </c>
      <c r="P512" t="s">
        <v>46</v>
      </c>
      <c r="Q512" t="s">
        <v>47</v>
      </c>
      <c r="R512" t="s">
        <v>48</v>
      </c>
      <c r="T512" t="s">
        <v>36</v>
      </c>
      <c r="U512" t="s">
        <v>36</v>
      </c>
      <c r="V512" t="s">
        <v>36</v>
      </c>
      <c r="W512">
        <v>4000</v>
      </c>
      <c r="X512" t="s">
        <v>49</v>
      </c>
      <c r="Y512" t="s">
        <v>50</v>
      </c>
      <c r="Z512" t="s">
        <v>51</v>
      </c>
      <c r="AA512" t="s">
        <v>37</v>
      </c>
      <c r="AB512" t="s">
        <v>52</v>
      </c>
      <c r="AC512" t="s">
        <v>53</v>
      </c>
      <c r="AD512" t="s">
        <v>54</v>
      </c>
      <c r="AE512">
        <v>43.827884905300003</v>
      </c>
      <c r="AF512">
        <v>3000</v>
      </c>
      <c r="AG512">
        <v>2999.6431981000001</v>
      </c>
      <c r="AH512">
        <v>438285.92263300001</v>
      </c>
      <c r="AI512">
        <v>43</v>
      </c>
      <c r="AJ512">
        <v>25291.6784647405</v>
      </c>
      <c r="AK512" s="1">
        <f>intersection_ss_Lnight___surface[[#This Row],[surf m2 bout ss]]/intersection_ss_Lnight___surface[[#This Row],[Shape_Area]]</f>
        <v>5.7705888231136641E-2</v>
      </c>
      <c r="AL512">
        <v>554</v>
      </c>
      <c r="AM512">
        <f>intersection_ss_Lnight___surface[[#This Row],[Population totale 2024 ss]]*intersection_ss_Lnight___surface[[#This Row],[Part de la surface du qs dans le noise contour]]</f>
        <v>31.969062080049699</v>
      </c>
    </row>
    <row r="513" spans="1:39" x14ac:dyDescent="0.3">
      <c r="A513">
        <v>525</v>
      </c>
      <c r="B513" t="s">
        <v>1311</v>
      </c>
      <c r="C513" t="s">
        <v>694</v>
      </c>
      <c r="D513" t="s">
        <v>695</v>
      </c>
      <c r="E513" t="s">
        <v>695</v>
      </c>
      <c r="F513" t="s">
        <v>1296</v>
      </c>
      <c r="G513" t="s">
        <v>1248</v>
      </c>
      <c r="H513" t="s">
        <v>1249</v>
      </c>
      <c r="I513" t="s">
        <v>1250</v>
      </c>
      <c r="J513" t="s">
        <v>36</v>
      </c>
      <c r="K513">
        <v>21018</v>
      </c>
      <c r="L513" t="s">
        <v>1251</v>
      </c>
      <c r="M513" t="s">
        <v>1252</v>
      </c>
      <c r="N513" t="s">
        <v>1252</v>
      </c>
      <c r="O513">
        <v>21000</v>
      </c>
      <c r="P513" t="s">
        <v>46</v>
      </c>
      <c r="Q513" t="s">
        <v>47</v>
      </c>
      <c r="R513" t="s">
        <v>48</v>
      </c>
      <c r="T513" t="s">
        <v>36</v>
      </c>
      <c r="U513" t="s">
        <v>36</v>
      </c>
      <c r="V513" t="s">
        <v>36</v>
      </c>
      <c r="W513">
        <v>4000</v>
      </c>
      <c r="X513" t="s">
        <v>49</v>
      </c>
      <c r="Y513" t="s">
        <v>50</v>
      </c>
      <c r="Z513" t="s">
        <v>51</v>
      </c>
      <c r="AA513" t="s">
        <v>37</v>
      </c>
      <c r="AB513" t="s">
        <v>52</v>
      </c>
      <c r="AC513" t="s">
        <v>53</v>
      </c>
      <c r="AD513" t="s">
        <v>54</v>
      </c>
      <c r="AE513">
        <v>43.827884905300003</v>
      </c>
      <c r="AF513">
        <v>3000</v>
      </c>
      <c r="AG513">
        <v>2999.6431981000001</v>
      </c>
      <c r="AH513">
        <v>438285.92263300001</v>
      </c>
      <c r="AI513">
        <v>44</v>
      </c>
      <c r="AJ513">
        <v>273539.50219394598</v>
      </c>
      <c r="AK513" s="1">
        <f>intersection_ss_Lnight___surface[[#This Row],[surf m2 bout ss]]/intersection_ss_Lnight___surface[[#This Row],[Shape_Area]]</f>
        <v>0.62411199645806348</v>
      </c>
      <c r="AL513">
        <v>554</v>
      </c>
      <c r="AM513">
        <f>intersection_ss_Lnight___surface[[#This Row],[Population totale 2024 ss]]*intersection_ss_Lnight___surface[[#This Row],[Part de la surface du qs dans le noise contour]]</f>
        <v>345.75804603776714</v>
      </c>
    </row>
    <row r="514" spans="1:39" x14ac:dyDescent="0.3">
      <c r="A514">
        <v>526</v>
      </c>
      <c r="B514" t="s">
        <v>1311</v>
      </c>
      <c r="C514" t="s">
        <v>694</v>
      </c>
      <c r="D514" t="s">
        <v>695</v>
      </c>
      <c r="E514" t="s">
        <v>695</v>
      </c>
      <c r="F514" t="s">
        <v>1296</v>
      </c>
      <c r="G514" t="s">
        <v>1248</v>
      </c>
      <c r="H514" t="s">
        <v>1249</v>
      </c>
      <c r="I514" t="s">
        <v>1250</v>
      </c>
      <c r="J514" t="s">
        <v>36</v>
      </c>
      <c r="K514">
        <v>21018</v>
      </c>
      <c r="L514" t="s">
        <v>1251</v>
      </c>
      <c r="M514" t="s">
        <v>1252</v>
      </c>
      <c r="N514" t="s">
        <v>1252</v>
      </c>
      <c r="O514">
        <v>21000</v>
      </c>
      <c r="P514" t="s">
        <v>46</v>
      </c>
      <c r="Q514" t="s">
        <v>47</v>
      </c>
      <c r="R514" t="s">
        <v>48</v>
      </c>
      <c r="T514" t="s">
        <v>36</v>
      </c>
      <c r="U514" t="s">
        <v>36</v>
      </c>
      <c r="V514" t="s">
        <v>36</v>
      </c>
      <c r="W514">
        <v>4000</v>
      </c>
      <c r="X514" t="s">
        <v>49</v>
      </c>
      <c r="Y514" t="s">
        <v>50</v>
      </c>
      <c r="Z514" t="s">
        <v>51</v>
      </c>
      <c r="AA514" t="s">
        <v>37</v>
      </c>
      <c r="AB514" t="s">
        <v>52</v>
      </c>
      <c r="AC514" t="s">
        <v>53</v>
      </c>
      <c r="AD514" t="s">
        <v>54</v>
      </c>
      <c r="AE514">
        <v>43.827884905300003</v>
      </c>
      <c r="AF514">
        <v>3000</v>
      </c>
      <c r="AG514">
        <v>2999.6431981000001</v>
      </c>
      <c r="AH514">
        <v>438285.92263300001</v>
      </c>
      <c r="AI514">
        <v>45</v>
      </c>
      <c r="AJ514">
        <v>139496.838708119</v>
      </c>
      <c r="AK514" s="1">
        <f>intersection_ss_Lnight___surface[[#This Row],[surf m2 bout ss]]/intersection_ss_Lnight___surface[[#This Row],[Shape_Area]]</f>
        <v>0.31827816387551894</v>
      </c>
      <c r="AL514">
        <v>554</v>
      </c>
      <c r="AM514">
        <f>intersection_ss_Lnight___surface[[#This Row],[Population totale 2024 ss]]*intersection_ss_Lnight___surface[[#This Row],[Part de la surface du qs dans le noise contour]]</f>
        <v>176.32610278703748</v>
      </c>
    </row>
    <row r="515" spans="1:39" x14ac:dyDescent="0.3">
      <c r="A515">
        <v>527</v>
      </c>
      <c r="B515" t="s">
        <v>1312</v>
      </c>
      <c r="C515" t="s">
        <v>1313</v>
      </c>
      <c r="D515" t="s">
        <v>1313</v>
      </c>
      <c r="E515" t="s">
        <v>1313</v>
      </c>
      <c r="F515" t="s">
        <v>1296</v>
      </c>
      <c r="G515" t="s">
        <v>1248</v>
      </c>
      <c r="H515" t="s">
        <v>1249</v>
      </c>
      <c r="I515" t="s">
        <v>1250</v>
      </c>
      <c r="J515" t="s">
        <v>36</v>
      </c>
      <c r="K515">
        <v>21018</v>
      </c>
      <c r="L515" t="s">
        <v>1251</v>
      </c>
      <c r="M515" t="s">
        <v>1252</v>
      </c>
      <c r="N515" t="s">
        <v>1252</v>
      </c>
      <c r="O515">
        <v>21000</v>
      </c>
      <c r="P515" t="s">
        <v>46</v>
      </c>
      <c r="Q515" t="s">
        <v>47</v>
      </c>
      <c r="R515" t="s">
        <v>48</v>
      </c>
      <c r="T515" t="s">
        <v>36</v>
      </c>
      <c r="U515" t="s">
        <v>36</v>
      </c>
      <c r="V515" t="s">
        <v>36</v>
      </c>
      <c r="W515">
        <v>4000</v>
      </c>
      <c r="X515" t="s">
        <v>49</v>
      </c>
      <c r="Y515" t="s">
        <v>50</v>
      </c>
      <c r="Z515" t="s">
        <v>51</v>
      </c>
      <c r="AA515" t="s">
        <v>37</v>
      </c>
      <c r="AB515" t="s">
        <v>52</v>
      </c>
      <c r="AC515" t="s">
        <v>53</v>
      </c>
      <c r="AD515" t="s">
        <v>54</v>
      </c>
      <c r="AE515">
        <v>37.5416201687</v>
      </c>
      <c r="AF515">
        <v>3991</v>
      </c>
      <c r="AG515">
        <v>3991.4154635499999</v>
      </c>
      <c r="AH515">
        <v>375422.26994899998</v>
      </c>
      <c r="AI515">
        <v>43</v>
      </c>
      <c r="AJ515">
        <v>137109.224782743</v>
      </c>
      <c r="AK515" s="1">
        <f>intersection_ss_Lnight___surface[[#This Row],[surf m2 bout ss]]/intersection_ss_Lnight___surface[[#This Row],[Shape_Area]]</f>
        <v>0.36521334976044145</v>
      </c>
      <c r="AL515">
        <v>4349</v>
      </c>
      <c r="AM515">
        <f>intersection_ss_Lnight___surface[[#This Row],[Population totale 2024 ss]]*intersection_ss_Lnight___surface[[#This Row],[Part de la surface du qs dans le noise contour]]</f>
        <v>1588.3128581081598</v>
      </c>
    </row>
    <row r="516" spans="1:39" x14ac:dyDescent="0.3">
      <c r="A516">
        <v>528</v>
      </c>
      <c r="B516" t="s">
        <v>1312</v>
      </c>
      <c r="C516" t="s">
        <v>1313</v>
      </c>
      <c r="D516" t="s">
        <v>1313</v>
      </c>
      <c r="E516" t="s">
        <v>1313</v>
      </c>
      <c r="F516" t="s">
        <v>1296</v>
      </c>
      <c r="G516" t="s">
        <v>1248</v>
      </c>
      <c r="H516" t="s">
        <v>1249</v>
      </c>
      <c r="I516" t="s">
        <v>1250</v>
      </c>
      <c r="J516" t="s">
        <v>36</v>
      </c>
      <c r="K516">
        <v>21018</v>
      </c>
      <c r="L516" t="s">
        <v>1251</v>
      </c>
      <c r="M516" t="s">
        <v>1252</v>
      </c>
      <c r="N516" t="s">
        <v>1252</v>
      </c>
      <c r="O516">
        <v>21000</v>
      </c>
      <c r="P516" t="s">
        <v>46</v>
      </c>
      <c r="Q516" t="s">
        <v>47</v>
      </c>
      <c r="R516" t="s">
        <v>48</v>
      </c>
      <c r="T516" t="s">
        <v>36</v>
      </c>
      <c r="U516" t="s">
        <v>36</v>
      </c>
      <c r="V516" t="s">
        <v>36</v>
      </c>
      <c r="W516">
        <v>4000</v>
      </c>
      <c r="X516" t="s">
        <v>49</v>
      </c>
      <c r="Y516" t="s">
        <v>50</v>
      </c>
      <c r="Z516" t="s">
        <v>51</v>
      </c>
      <c r="AA516" t="s">
        <v>37</v>
      </c>
      <c r="AB516" t="s">
        <v>52</v>
      </c>
      <c r="AC516" t="s">
        <v>53</v>
      </c>
      <c r="AD516" t="s">
        <v>54</v>
      </c>
      <c r="AE516">
        <v>37.5416201687</v>
      </c>
      <c r="AF516">
        <v>3991</v>
      </c>
      <c r="AG516">
        <v>3991.4154635499999</v>
      </c>
      <c r="AH516">
        <v>375422.26994899998</v>
      </c>
      <c r="AI516">
        <v>44</v>
      </c>
      <c r="AJ516">
        <v>223796.21833788601</v>
      </c>
      <c r="AK516" s="1">
        <f>intersection_ss_Lnight___surface[[#This Row],[surf m2 bout ss]]/intersection_ss_Lnight___surface[[#This Row],[Shape_Area]]</f>
        <v>0.59611865425108657</v>
      </c>
      <c r="AL516">
        <v>4349</v>
      </c>
      <c r="AM516">
        <f>intersection_ss_Lnight___surface[[#This Row],[Population totale 2024 ss]]*intersection_ss_Lnight___surface[[#This Row],[Part de la surface du qs dans le noise contour]]</f>
        <v>2592.5200273379755</v>
      </c>
    </row>
    <row r="517" spans="1:39" x14ac:dyDescent="0.3">
      <c r="A517">
        <v>529</v>
      </c>
      <c r="B517" t="s">
        <v>1312</v>
      </c>
      <c r="C517" t="s">
        <v>1313</v>
      </c>
      <c r="D517" t="s">
        <v>1313</v>
      </c>
      <c r="E517" t="s">
        <v>1313</v>
      </c>
      <c r="F517" t="s">
        <v>1296</v>
      </c>
      <c r="G517" t="s">
        <v>1248</v>
      </c>
      <c r="H517" t="s">
        <v>1249</v>
      </c>
      <c r="I517" t="s">
        <v>1250</v>
      </c>
      <c r="J517" t="s">
        <v>36</v>
      </c>
      <c r="K517">
        <v>21018</v>
      </c>
      <c r="L517" t="s">
        <v>1251</v>
      </c>
      <c r="M517" t="s">
        <v>1252</v>
      </c>
      <c r="N517" t="s">
        <v>1252</v>
      </c>
      <c r="O517">
        <v>21000</v>
      </c>
      <c r="P517" t="s">
        <v>46</v>
      </c>
      <c r="Q517" t="s">
        <v>47</v>
      </c>
      <c r="R517" t="s">
        <v>48</v>
      </c>
      <c r="T517" t="s">
        <v>36</v>
      </c>
      <c r="U517" t="s">
        <v>36</v>
      </c>
      <c r="V517" t="s">
        <v>36</v>
      </c>
      <c r="W517">
        <v>4000</v>
      </c>
      <c r="X517" t="s">
        <v>49</v>
      </c>
      <c r="Y517" t="s">
        <v>50</v>
      </c>
      <c r="Z517" t="s">
        <v>51</v>
      </c>
      <c r="AA517" t="s">
        <v>37</v>
      </c>
      <c r="AB517" t="s">
        <v>52</v>
      </c>
      <c r="AC517" t="s">
        <v>53</v>
      </c>
      <c r="AD517" t="s">
        <v>54</v>
      </c>
      <c r="AE517">
        <v>37.5416201687</v>
      </c>
      <c r="AF517">
        <v>3991</v>
      </c>
      <c r="AG517">
        <v>3991.4154635499999</v>
      </c>
      <c r="AH517">
        <v>375422.26994899998</v>
      </c>
      <c r="AI517">
        <v>45</v>
      </c>
      <c r="AJ517">
        <v>14553.167514272</v>
      </c>
      <c r="AK517" s="1">
        <f>intersection_ss_Lnight___surface[[#This Row],[surf m2 bout ss]]/intersection_ss_Lnight___surface[[#This Row],[Shape_Area]]</f>
        <v>3.8764795482827921E-2</v>
      </c>
      <c r="AL517">
        <v>4349</v>
      </c>
      <c r="AM517">
        <f>intersection_ss_Lnight___surface[[#This Row],[Population totale 2024 ss]]*intersection_ss_Lnight___surface[[#This Row],[Part de la surface du qs dans le noise contour]]</f>
        <v>168.58809555481864</v>
      </c>
    </row>
    <row r="518" spans="1:39" x14ac:dyDescent="0.3">
      <c r="A518">
        <v>530</v>
      </c>
      <c r="B518" t="s">
        <v>1314</v>
      </c>
      <c r="C518" t="s">
        <v>1315</v>
      </c>
      <c r="D518" t="s">
        <v>1316</v>
      </c>
      <c r="E518" t="s">
        <v>1316</v>
      </c>
      <c r="F518" t="s">
        <v>1317</v>
      </c>
      <c r="G518" t="s">
        <v>1248</v>
      </c>
      <c r="H518" t="s">
        <v>1249</v>
      </c>
      <c r="I518" t="s">
        <v>1250</v>
      </c>
      <c r="J518" t="s">
        <v>36</v>
      </c>
      <c r="K518">
        <v>21018</v>
      </c>
      <c r="L518" t="s">
        <v>1251</v>
      </c>
      <c r="M518" t="s">
        <v>1252</v>
      </c>
      <c r="N518" t="s">
        <v>1252</v>
      </c>
      <c r="O518">
        <v>21000</v>
      </c>
      <c r="P518" t="s">
        <v>46</v>
      </c>
      <c r="Q518" t="s">
        <v>47</v>
      </c>
      <c r="R518" t="s">
        <v>48</v>
      </c>
      <c r="T518" t="s">
        <v>36</v>
      </c>
      <c r="U518" t="s">
        <v>36</v>
      </c>
      <c r="V518" t="s">
        <v>36</v>
      </c>
      <c r="W518">
        <v>4000</v>
      </c>
      <c r="X518" t="s">
        <v>49</v>
      </c>
      <c r="Y518" t="s">
        <v>50</v>
      </c>
      <c r="Z518" t="s">
        <v>51</v>
      </c>
      <c r="AA518" t="s">
        <v>37</v>
      </c>
      <c r="AB518" t="s">
        <v>52</v>
      </c>
      <c r="AC518" t="s">
        <v>53</v>
      </c>
      <c r="AD518" t="s">
        <v>54</v>
      </c>
      <c r="AE518">
        <v>6.9893356995399998</v>
      </c>
      <c r="AF518">
        <v>1261</v>
      </c>
      <c r="AG518">
        <v>1260.6790124300001</v>
      </c>
      <c r="AH518">
        <v>69894.497554300004</v>
      </c>
      <c r="AI518">
        <v>42</v>
      </c>
      <c r="AJ518">
        <v>69901.381559625297</v>
      </c>
      <c r="AK518" s="1">
        <f>intersection_ss_Lnight___surface[[#This Row],[surf m2 bout ss]]/intersection_ss_Lnight___surface[[#This Row],[Shape_Area]]</f>
        <v>1.0000984913772353</v>
      </c>
      <c r="AL518">
        <v>1660</v>
      </c>
      <c r="AM518">
        <f>intersection_ss_Lnight___surface[[#This Row],[Population totale 2024 ss]]*intersection_ss_Lnight___surface[[#This Row],[Part de la surface du qs dans le noise contour]]</f>
        <v>1660.1634956862106</v>
      </c>
    </row>
    <row r="519" spans="1:39" x14ac:dyDescent="0.3">
      <c r="A519">
        <v>531</v>
      </c>
      <c r="B519" t="s">
        <v>1318</v>
      </c>
      <c r="C519" t="s">
        <v>1319</v>
      </c>
      <c r="D519" t="s">
        <v>1319</v>
      </c>
      <c r="E519" t="s">
        <v>1319</v>
      </c>
      <c r="F519" t="s">
        <v>1317</v>
      </c>
      <c r="G519" t="s">
        <v>1248</v>
      </c>
      <c r="H519" t="s">
        <v>1249</v>
      </c>
      <c r="I519" t="s">
        <v>1250</v>
      </c>
      <c r="J519" t="s">
        <v>36</v>
      </c>
      <c r="K519">
        <v>21018</v>
      </c>
      <c r="L519" t="s">
        <v>1251</v>
      </c>
      <c r="M519" t="s">
        <v>1252</v>
      </c>
      <c r="N519" t="s">
        <v>1252</v>
      </c>
      <c r="O519">
        <v>21000</v>
      </c>
      <c r="P519" t="s">
        <v>46</v>
      </c>
      <c r="Q519" t="s">
        <v>47</v>
      </c>
      <c r="R519" t="s">
        <v>48</v>
      </c>
      <c r="T519" t="s">
        <v>36</v>
      </c>
      <c r="U519" t="s">
        <v>36</v>
      </c>
      <c r="V519" t="s">
        <v>36</v>
      </c>
      <c r="W519">
        <v>4000</v>
      </c>
      <c r="X519" t="s">
        <v>49</v>
      </c>
      <c r="Y519" t="s">
        <v>50</v>
      </c>
      <c r="Z519" t="s">
        <v>51</v>
      </c>
      <c r="AA519" t="s">
        <v>37</v>
      </c>
      <c r="AB519" t="s">
        <v>52</v>
      </c>
      <c r="AC519" t="s">
        <v>53</v>
      </c>
      <c r="AD519" t="s">
        <v>54</v>
      </c>
      <c r="AE519">
        <v>18.323399876100002</v>
      </c>
      <c r="AF519">
        <v>2869</v>
      </c>
      <c r="AG519">
        <v>2869.4698951300002</v>
      </c>
      <c r="AH519">
        <v>183236.97035300001</v>
      </c>
      <c r="AI519">
        <v>41</v>
      </c>
      <c r="AJ519">
        <v>27628.604728444501</v>
      </c>
      <c r="AK519" s="1">
        <f>intersection_ss_Lnight___surface[[#This Row],[surf m2 bout ss]]/intersection_ss_Lnight___surface[[#This Row],[Shape_Area]]</f>
        <v>0.15078073314145557</v>
      </c>
      <c r="AL519">
        <v>1310</v>
      </c>
      <c r="AM519">
        <f>intersection_ss_Lnight___surface[[#This Row],[Population totale 2024 ss]]*intersection_ss_Lnight___surface[[#This Row],[Part de la surface du qs dans le noise contour]]</f>
        <v>197.52276041530681</v>
      </c>
    </row>
    <row r="520" spans="1:39" x14ac:dyDescent="0.3">
      <c r="A520">
        <v>532</v>
      </c>
      <c r="B520" t="s">
        <v>1318</v>
      </c>
      <c r="C520" t="s">
        <v>1319</v>
      </c>
      <c r="D520" t="s">
        <v>1319</v>
      </c>
      <c r="E520" t="s">
        <v>1319</v>
      </c>
      <c r="F520" t="s">
        <v>1317</v>
      </c>
      <c r="G520" t="s">
        <v>1248</v>
      </c>
      <c r="H520" t="s">
        <v>1249</v>
      </c>
      <c r="I520" t="s">
        <v>1250</v>
      </c>
      <c r="J520" t="s">
        <v>36</v>
      </c>
      <c r="K520">
        <v>21018</v>
      </c>
      <c r="L520" t="s">
        <v>1251</v>
      </c>
      <c r="M520" t="s">
        <v>1252</v>
      </c>
      <c r="N520" t="s">
        <v>1252</v>
      </c>
      <c r="O520">
        <v>21000</v>
      </c>
      <c r="P520" t="s">
        <v>46</v>
      </c>
      <c r="Q520" t="s">
        <v>47</v>
      </c>
      <c r="R520" t="s">
        <v>48</v>
      </c>
      <c r="T520" t="s">
        <v>36</v>
      </c>
      <c r="U520" t="s">
        <v>36</v>
      </c>
      <c r="V520" t="s">
        <v>36</v>
      </c>
      <c r="W520">
        <v>4000</v>
      </c>
      <c r="X520" t="s">
        <v>49</v>
      </c>
      <c r="Y520" t="s">
        <v>50</v>
      </c>
      <c r="Z520" t="s">
        <v>51</v>
      </c>
      <c r="AA520" t="s">
        <v>37</v>
      </c>
      <c r="AB520" t="s">
        <v>52</v>
      </c>
      <c r="AC520" t="s">
        <v>53</v>
      </c>
      <c r="AD520" t="s">
        <v>54</v>
      </c>
      <c r="AE520">
        <v>18.323399876100002</v>
      </c>
      <c r="AF520">
        <v>2869</v>
      </c>
      <c r="AG520">
        <v>2869.4698951300002</v>
      </c>
      <c r="AH520">
        <v>183236.97035300001</v>
      </c>
      <c r="AI520">
        <v>42</v>
      </c>
      <c r="AJ520">
        <v>142892.749155086</v>
      </c>
      <c r="AK520" s="1">
        <f>intersection_ss_Lnight___surface[[#This Row],[surf m2 bout ss]]/intersection_ss_Lnight___surface[[#This Row],[Shape_Area]]</f>
        <v>0.77982488402753991</v>
      </c>
      <c r="AL520">
        <v>1310</v>
      </c>
      <c r="AM520">
        <f>intersection_ss_Lnight___surface[[#This Row],[Population totale 2024 ss]]*intersection_ss_Lnight___surface[[#This Row],[Part de la surface du qs dans le noise contour]]</f>
        <v>1021.5705980760773</v>
      </c>
    </row>
    <row r="521" spans="1:39" x14ac:dyDescent="0.3">
      <c r="A521">
        <v>533</v>
      </c>
      <c r="B521" t="s">
        <v>1318</v>
      </c>
      <c r="C521" t="s">
        <v>1319</v>
      </c>
      <c r="D521" t="s">
        <v>1319</v>
      </c>
      <c r="E521" t="s">
        <v>1319</v>
      </c>
      <c r="F521" t="s">
        <v>1317</v>
      </c>
      <c r="G521" t="s">
        <v>1248</v>
      </c>
      <c r="H521" t="s">
        <v>1249</v>
      </c>
      <c r="I521" t="s">
        <v>1250</v>
      </c>
      <c r="J521" t="s">
        <v>36</v>
      </c>
      <c r="K521">
        <v>21018</v>
      </c>
      <c r="L521" t="s">
        <v>1251</v>
      </c>
      <c r="M521" t="s">
        <v>1252</v>
      </c>
      <c r="N521" t="s">
        <v>1252</v>
      </c>
      <c r="O521">
        <v>21000</v>
      </c>
      <c r="P521" t="s">
        <v>46</v>
      </c>
      <c r="Q521" t="s">
        <v>47</v>
      </c>
      <c r="R521" t="s">
        <v>48</v>
      </c>
      <c r="T521" t="s">
        <v>36</v>
      </c>
      <c r="U521" t="s">
        <v>36</v>
      </c>
      <c r="V521" t="s">
        <v>36</v>
      </c>
      <c r="W521">
        <v>4000</v>
      </c>
      <c r="X521" t="s">
        <v>49</v>
      </c>
      <c r="Y521" t="s">
        <v>50</v>
      </c>
      <c r="Z521" t="s">
        <v>51</v>
      </c>
      <c r="AA521" t="s">
        <v>37</v>
      </c>
      <c r="AB521" t="s">
        <v>52</v>
      </c>
      <c r="AC521" t="s">
        <v>53</v>
      </c>
      <c r="AD521" t="s">
        <v>54</v>
      </c>
      <c r="AE521">
        <v>18.323399876100002</v>
      </c>
      <c r="AF521">
        <v>2869</v>
      </c>
      <c r="AG521">
        <v>2869.4698951300002</v>
      </c>
      <c r="AH521">
        <v>183236.97035300001</v>
      </c>
      <c r="AI521">
        <v>43</v>
      </c>
      <c r="AJ521">
        <v>12733.725223863499</v>
      </c>
      <c r="AK521" s="1">
        <f>intersection_ss_Lnight___surface[[#This Row],[surf m2 bout ss]]/intersection_ss_Lnight___surface[[#This Row],[Shape_Area]]</f>
        <v>6.9493209800033234E-2</v>
      </c>
      <c r="AL521">
        <v>1310</v>
      </c>
      <c r="AM521">
        <f>intersection_ss_Lnight___surface[[#This Row],[Population totale 2024 ss]]*intersection_ss_Lnight___surface[[#This Row],[Part de la surface du qs dans le noise contour]]</f>
        <v>91.036104838043542</v>
      </c>
    </row>
    <row r="522" spans="1:39" x14ac:dyDescent="0.3">
      <c r="A522">
        <v>534</v>
      </c>
      <c r="B522" t="s">
        <v>1320</v>
      </c>
      <c r="C522" t="s">
        <v>1321</v>
      </c>
      <c r="D522" t="s">
        <v>1321</v>
      </c>
      <c r="E522" t="s">
        <v>1321</v>
      </c>
      <c r="F522" t="s">
        <v>1317</v>
      </c>
      <c r="G522" t="s">
        <v>1248</v>
      </c>
      <c r="H522" t="s">
        <v>1249</v>
      </c>
      <c r="I522" t="s">
        <v>1250</v>
      </c>
      <c r="J522" t="s">
        <v>36</v>
      </c>
      <c r="K522">
        <v>21018</v>
      </c>
      <c r="L522" t="s">
        <v>1251</v>
      </c>
      <c r="M522" t="s">
        <v>1252</v>
      </c>
      <c r="N522" t="s">
        <v>1252</v>
      </c>
      <c r="O522">
        <v>21000</v>
      </c>
      <c r="P522" t="s">
        <v>46</v>
      </c>
      <c r="Q522" t="s">
        <v>47</v>
      </c>
      <c r="R522" t="s">
        <v>48</v>
      </c>
      <c r="T522" t="s">
        <v>36</v>
      </c>
      <c r="U522" t="s">
        <v>36</v>
      </c>
      <c r="V522" t="s">
        <v>36</v>
      </c>
      <c r="W522">
        <v>4000</v>
      </c>
      <c r="X522" t="s">
        <v>49</v>
      </c>
      <c r="Y522" t="s">
        <v>50</v>
      </c>
      <c r="Z522" t="s">
        <v>51</v>
      </c>
      <c r="AA522" t="s">
        <v>37</v>
      </c>
      <c r="AB522" t="s">
        <v>52</v>
      </c>
      <c r="AC522" t="s">
        <v>53</v>
      </c>
      <c r="AD522" t="s">
        <v>54</v>
      </c>
      <c r="AE522">
        <v>14.8851342058</v>
      </c>
      <c r="AF522">
        <v>2324</v>
      </c>
      <c r="AG522">
        <v>2324.2476862899998</v>
      </c>
      <c r="AH522">
        <v>148853.725634</v>
      </c>
      <c r="AI522">
        <v>41</v>
      </c>
      <c r="AJ522">
        <v>7409.5200032032999</v>
      </c>
      <c r="AK522" s="1">
        <f>intersection_ss_Lnight___surface[[#This Row],[surf m2 bout ss]]/intersection_ss_Lnight___surface[[#This Row],[Shape_Area]]</f>
        <v>4.9777188791510336E-2</v>
      </c>
      <c r="AL522">
        <v>1156</v>
      </c>
      <c r="AM522">
        <f>intersection_ss_Lnight___surface[[#This Row],[Population totale 2024 ss]]*intersection_ss_Lnight___surface[[#This Row],[Part de la surface du qs dans le noise contour]]</f>
        <v>57.542430242985951</v>
      </c>
    </row>
    <row r="523" spans="1:39" x14ac:dyDescent="0.3">
      <c r="A523">
        <v>535</v>
      </c>
      <c r="B523" t="s">
        <v>1320</v>
      </c>
      <c r="C523" t="s">
        <v>1321</v>
      </c>
      <c r="D523" t="s">
        <v>1321</v>
      </c>
      <c r="E523" t="s">
        <v>1321</v>
      </c>
      <c r="F523" t="s">
        <v>1317</v>
      </c>
      <c r="G523" t="s">
        <v>1248</v>
      </c>
      <c r="H523" t="s">
        <v>1249</v>
      </c>
      <c r="I523" t="s">
        <v>1250</v>
      </c>
      <c r="J523" t="s">
        <v>36</v>
      </c>
      <c r="K523">
        <v>21018</v>
      </c>
      <c r="L523" t="s">
        <v>1251</v>
      </c>
      <c r="M523" t="s">
        <v>1252</v>
      </c>
      <c r="N523" t="s">
        <v>1252</v>
      </c>
      <c r="O523">
        <v>21000</v>
      </c>
      <c r="P523" t="s">
        <v>46</v>
      </c>
      <c r="Q523" t="s">
        <v>47</v>
      </c>
      <c r="R523" t="s">
        <v>48</v>
      </c>
      <c r="T523" t="s">
        <v>36</v>
      </c>
      <c r="U523" t="s">
        <v>36</v>
      </c>
      <c r="V523" t="s">
        <v>36</v>
      </c>
      <c r="W523">
        <v>4000</v>
      </c>
      <c r="X523" t="s">
        <v>49</v>
      </c>
      <c r="Y523" t="s">
        <v>50</v>
      </c>
      <c r="Z523" t="s">
        <v>51</v>
      </c>
      <c r="AA523" t="s">
        <v>37</v>
      </c>
      <c r="AB523" t="s">
        <v>52</v>
      </c>
      <c r="AC523" t="s">
        <v>53</v>
      </c>
      <c r="AD523" t="s">
        <v>54</v>
      </c>
      <c r="AE523">
        <v>14.8851342058</v>
      </c>
      <c r="AF523">
        <v>2324</v>
      </c>
      <c r="AG523">
        <v>2324.2476862899998</v>
      </c>
      <c r="AH523">
        <v>148853.725634</v>
      </c>
      <c r="AI523">
        <v>42</v>
      </c>
      <c r="AJ523">
        <v>88227.841337243997</v>
      </c>
      <c r="AK523" s="1">
        <f>intersection_ss_Lnight___surface[[#This Row],[surf m2 bout ss]]/intersection_ss_Lnight___surface[[#This Row],[Shape_Area]]</f>
        <v>0.59271503592847719</v>
      </c>
      <c r="AL523">
        <v>1156</v>
      </c>
      <c r="AM523">
        <f>intersection_ss_Lnight___surface[[#This Row],[Population totale 2024 ss]]*intersection_ss_Lnight___surface[[#This Row],[Part de la surface du qs dans le noise contour]]</f>
        <v>685.17858153331963</v>
      </c>
    </row>
    <row r="524" spans="1:39" x14ac:dyDescent="0.3">
      <c r="A524">
        <v>536</v>
      </c>
      <c r="B524" t="s">
        <v>1320</v>
      </c>
      <c r="C524" t="s">
        <v>1321</v>
      </c>
      <c r="D524" t="s">
        <v>1321</v>
      </c>
      <c r="E524" t="s">
        <v>1321</v>
      </c>
      <c r="F524" t="s">
        <v>1317</v>
      </c>
      <c r="G524" t="s">
        <v>1248</v>
      </c>
      <c r="H524" t="s">
        <v>1249</v>
      </c>
      <c r="I524" t="s">
        <v>1250</v>
      </c>
      <c r="J524" t="s">
        <v>36</v>
      </c>
      <c r="K524">
        <v>21018</v>
      </c>
      <c r="L524" t="s">
        <v>1251</v>
      </c>
      <c r="M524" t="s">
        <v>1252</v>
      </c>
      <c r="N524" t="s">
        <v>1252</v>
      </c>
      <c r="O524">
        <v>21000</v>
      </c>
      <c r="P524" t="s">
        <v>46</v>
      </c>
      <c r="Q524" t="s">
        <v>47</v>
      </c>
      <c r="R524" t="s">
        <v>48</v>
      </c>
      <c r="T524" t="s">
        <v>36</v>
      </c>
      <c r="U524" t="s">
        <v>36</v>
      </c>
      <c r="V524" t="s">
        <v>36</v>
      </c>
      <c r="W524">
        <v>4000</v>
      </c>
      <c r="X524" t="s">
        <v>49</v>
      </c>
      <c r="Y524" t="s">
        <v>50</v>
      </c>
      <c r="Z524" t="s">
        <v>51</v>
      </c>
      <c r="AA524" t="s">
        <v>37</v>
      </c>
      <c r="AB524" t="s">
        <v>52</v>
      </c>
      <c r="AC524" t="s">
        <v>53</v>
      </c>
      <c r="AD524" t="s">
        <v>54</v>
      </c>
      <c r="AE524">
        <v>14.8851342058</v>
      </c>
      <c r="AF524">
        <v>2324</v>
      </c>
      <c r="AG524">
        <v>2324.2476862899998</v>
      </c>
      <c r="AH524">
        <v>148853.725634</v>
      </c>
      <c r="AI524">
        <v>43</v>
      </c>
      <c r="AJ524">
        <v>53230.9982036203</v>
      </c>
      <c r="AK524" s="1">
        <f>intersection_ss_Lnight___surface[[#This Row],[surf m2 bout ss]]/intersection_ss_Lnight___surface[[#This Row],[Shape_Area]]</f>
        <v>0.35760608595383181</v>
      </c>
      <c r="AL524">
        <v>1156</v>
      </c>
      <c r="AM524">
        <f>intersection_ss_Lnight___surface[[#This Row],[Population totale 2024 ss]]*intersection_ss_Lnight___surface[[#This Row],[Part de la surface du qs dans le noise contour]]</f>
        <v>413.39263536262956</v>
      </c>
    </row>
    <row r="525" spans="1:39" x14ac:dyDescent="0.3">
      <c r="A525">
        <v>537</v>
      </c>
      <c r="B525" t="s">
        <v>1326</v>
      </c>
      <c r="C525" t="s">
        <v>1327</v>
      </c>
      <c r="D525" t="s">
        <v>1328</v>
      </c>
      <c r="E525" t="s">
        <v>1328</v>
      </c>
      <c r="F525" t="s">
        <v>1329</v>
      </c>
      <c r="G525" t="s">
        <v>1248</v>
      </c>
      <c r="H525" t="s">
        <v>1249</v>
      </c>
      <c r="I525" t="s">
        <v>1250</v>
      </c>
      <c r="J525" t="s">
        <v>36</v>
      </c>
      <c r="K525">
        <v>21018</v>
      </c>
      <c r="L525" t="s">
        <v>1251</v>
      </c>
      <c r="M525" t="s">
        <v>1252</v>
      </c>
      <c r="N525" t="s">
        <v>1252</v>
      </c>
      <c r="O525">
        <v>21000</v>
      </c>
      <c r="P525" t="s">
        <v>46</v>
      </c>
      <c r="Q525" t="s">
        <v>47</v>
      </c>
      <c r="R525" t="s">
        <v>48</v>
      </c>
      <c r="T525" t="s">
        <v>36</v>
      </c>
      <c r="U525" t="s">
        <v>36</v>
      </c>
      <c r="V525" t="s">
        <v>36</v>
      </c>
      <c r="W525">
        <v>4000</v>
      </c>
      <c r="X525" t="s">
        <v>49</v>
      </c>
      <c r="Y525" t="s">
        <v>50</v>
      </c>
      <c r="Z525" t="s">
        <v>51</v>
      </c>
      <c r="AA525" t="s">
        <v>37</v>
      </c>
      <c r="AB525" t="s">
        <v>52</v>
      </c>
      <c r="AC525" t="s">
        <v>53</v>
      </c>
      <c r="AD525" t="s">
        <v>54</v>
      </c>
      <c r="AE525">
        <v>13.9222862657</v>
      </c>
      <c r="AF525">
        <v>1614</v>
      </c>
      <c r="AG525">
        <v>1614.1317827</v>
      </c>
      <c r="AH525">
        <v>139225.12716900001</v>
      </c>
      <c r="AI525">
        <v>41</v>
      </c>
      <c r="AJ525">
        <v>3163.8750068927202</v>
      </c>
      <c r="AK525" s="1">
        <f>intersection_ss_Lnight___surface[[#This Row],[surf m2 bout ss]]/intersection_ss_Lnight___surface[[#This Row],[Shape_Area]]</f>
        <v>2.2724885020591248E-2</v>
      </c>
      <c r="AL525">
        <v>563</v>
      </c>
      <c r="AM525">
        <f>intersection_ss_Lnight___surface[[#This Row],[Population totale 2024 ss]]*intersection_ss_Lnight___surface[[#This Row],[Part de la surface du qs dans le noise contour]]</f>
        <v>12.794110266592872</v>
      </c>
    </row>
    <row r="526" spans="1:39" x14ac:dyDescent="0.3">
      <c r="A526">
        <v>538</v>
      </c>
      <c r="B526" t="s">
        <v>1326</v>
      </c>
      <c r="C526" t="s">
        <v>1327</v>
      </c>
      <c r="D526" t="s">
        <v>1328</v>
      </c>
      <c r="E526" t="s">
        <v>1328</v>
      </c>
      <c r="F526" t="s">
        <v>1329</v>
      </c>
      <c r="G526" t="s">
        <v>1248</v>
      </c>
      <c r="H526" t="s">
        <v>1249</v>
      </c>
      <c r="I526" t="s">
        <v>1250</v>
      </c>
      <c r="J526" t="s">
        <v>36</v>
      </c>
      <c r="K526">
        <v>21018</v>
      </c>
      <c r="L526" t="s">
        <v>1251</v>
      </c>
      <c r="M526" t="s">
        <v>1252</v>
      </c>
      <c r="N526" t="s">
        <v>1252</v>
      </c>
      <c r="O526">
        <v>21000</v>
      </c>
      <c r="P526" t="s">
        <v>46</v>
      </c>
      <c r="Q526" t="s">
        <v>47</v>
      </c>
      <c r="R526" t="s">
        <v>48</v>
      </c>
      <c r="T526" t="s">
        <v>36</v>
      </c>
      <c r="U526" t="s">
        <v>36</v>
      </c>
      <c r="V526" t="s">
        <v>36</v>
      </c>
      <c r="W526">
        <v>4000</v>
      </c>
      <c r="X526" t="s">
        <v>49</v>
      </c>
      <c r="Y526" t="s">
        <v>50</v>
      </c>
      <c r="Z526" t="s">
        <v>51</v>
      </c>
      <c r="AA526" t="s">
        <v>37</v>
      </c>
      <c r="AB526" t="s">
        <v>52</v>
      </c>
      <c r="AC526" t="s">
        <v>53</v>
      </c>
      <c r="AD526" t="s">
        <v>54</v>
      </c>
      <c r="AE526">
        <v>13.9222862657</v>
      </c>
      <c r="AF526">
        <v>1614</v>
      </c>
      <c r="AG526">
        <v>1614.1317827</v>
      </c>
      <c r="AH526">
        <v>139225.12716900001</v>
      </c>
      <c r="AI526">
        <v>42</v>
      </c>
      <c r="AJ526">
        <v>135764.004677691</v>
      </c>
      <c r="AK526" s="1">
        <f>intersection_ss_Lnight___surface[[#This Row],[surf m2 bout ss]]/intersection_ss_Lnight___surface[[#This Row],[Shape_Area]]</f>
        <v>0.97514010177841182</v>
      </c>
      <c r="AL526">
        <v>563</v>
      </c>
      <c r="AM526">
        <f>intersection_ss_Lnight___surface[[#This Row],[Population totale 2024 ss]]*intersection_ss_Lnight___surface[[#This Row],[Part de la surface du qs dans le noise contour]]</f>
        <v>549.00387730124589</v>
      </c>
    </row>
    <row r="527" spans="1:39" x14ac:dyDescent="0.3">
      <c r="A527">
        <v>539</v>
      </c>
      <c r="B527" t="s">
        <v>1326</v>
      </c>
      <c r="C527" t="s">
        <v>1327</v>
      </c>
      <c r="D527" t="s">
        <v>1328</v>
      </c>
      <c r="E527" t="s">
        <v>1328</v>
      </c>
      <c r="F527" t="s">
        <v>1329</v>
      </c>
      <c r="G527" t="s">
        <v>1248</v>
      </c>
      <c r="H527" t="s">
        <v>1249</v>
      </c>
      <c r="I527" t="s">
        <v>1250</v>
      </c>
      <c r="J527" t="s">
        <v>36</v>
      </c>
      <c r="K527">
        <v>21018</v>
      </c>
      <c r="L527" t="s">
        <v>1251</v>
      </c>
      <c r="M527" t="s">
        <v>1252</v>
      </c>
      <c r="N527" t="s">
        <v>1252</v>
      </c>
      <c r="O527">
        <v>21000</v>
      </c>
      <c r="P527" t="s">
        <v>46</v>
      </c>
      <c r="Q527" t="s">
        <v>47</v>
      </c>
      <c r="R527" t="s">
        <v>48</v>
      </c>
      <c r="T527" t="s">
        <v>36</v>
      </c>
      <c r="U527" t="s">
        <v>36</v>
      </c>
      <c r="V527" t="s">
        <v>36</v>
      </c>
      <c r="W527">
        <v>4000</v>
      </c>
      <c r="X527" t="s">
        <v>49</v>
      </c>
      <c r="Y527" t="s">
        <v>50</v>
      </c>
      <c r="Z527" t="s">
        <v>51</v>
      </c>
      <c r="AA527" t="s">
        <v>37</v>
      </c>
      <c r="AB527" t="s">
        <v>52</v>
      </c>
      <c r="AC527" t="s">
        <v>53</v>
      </c>
      <c r="AD527" t="s">
        <v>54</v>
      </c>
      <c r="AE527">
        <v>13.9222862657</v>
      </c>
      <c r="AF527">
        <v>1614</v>
      </c>
      <c r="AG527">
        <v>1614.1317827</v>
      </c>
      <c r="AH527">
        <v>139225.12716900001</v>
      </c>
      <c r="AI527">
        <v>43</v>
      </c>
      <c r="AJ527">
        <v>310.88422123529</v>
      </c>
      <c r="AK527" s="1">
        <f>intersection_ss_Lnight___surface[[#This Row],[surf m2 bout ss]]/intersection_ss_Lnight___surface[[#This Row],[Shape_Area]]</f>
        <v>2.2329605837452002E-3</v>
      </c>
      <c r="AL527">
        <v>563</v>
      </c>
      <c r="AM527">
        <f>intersection_ss_Lnight___surface[[#This Row],[Population totale 2024 ss]]*intersection_ss_Lnight___surface[[#This Row],[Part de la surface du qs dans le noise contour]]</f>
        <v>1.2571568086485476</v>
      </c>
    </row>
    <row r="528" spans="1:39" x14ac:dyDescent="0.3">
      <c r="A528">
        <v>540</v>
      </c>
      <c r="B528" t="s">
        <v>1330</v>
      </c>
      <c r="C528" t="s">
        <v>1331</v>
      </c>
      <c r="D528" t="s">
        <v>1332</v>
      </c>
      <c r="E528" t="s">
        <v>1332</v>
      </c>
      <c r="F528" t="s">
        <v>1329</v>
      </c>
      <c r="G528" t="s">
        <v>1248</v>
      </c>
      <c r="H528" t="s">
        <v>1249</v>
      </c>
      <c r="I528" t="s">
        <v>1250</v>
      </c>
      <c r="J528" t="s">
        <v>36</v>
      </c>
      <c r="K528">
        <v>21018</v>
      </c>
      <c r="L528" t="s">
        <v>1251</v>
      </c>
      <c r="M528" t="s">
        <v>1252</v>
      </c>
      <c r="N528" t="s">
        <v>1252</v>
      </c>
      <c r="O528">
        <v>21000</v>
      </c>
      <c r="P528" t="s">
        <v>46</v>
      </c>
      <c r="Q528" t="s">
        <v>47</v>
      </c>
      <c r="R528" t="s">
        <v>48</v>
      </c>
      <c r="T528" t="s">
        <v>36</v>
      </c>
      <c r="U528" t="s">
        <v>36</v>
      </c>
      <c r="V528" t="s">
        <v>36</v>
      </c>
      <c r="W528">
        <v>4000</v>
      </c>
      <c r="X528" t="s">
        <v>49</v>
      </c>
      <c r="Y528" t="s">
        <v>50</v>
      </c>
      <c r="Z528" t="s">
        <v>51</v>
      </c>
      <c r="AA528" t="s">
        <v>37</v>
      </c>
      <c r="AB528" t="s">
        <v>52</v>
      </c>
      <c r="AC528" t="s">
        <v>53</v>
      </c>
      <c r="AD528" t="s">
        <v>54</v>
      </c>
      <c r="AE528">
        <v>14.002681948199999</v>
      </c>
      <c r="AF528">
        <v>1790</v>
      </c>
      <c r="AG528">
        <v>1789.7538993799999</v>
      </c>
      <c r="AH528">
        <v>140029.070905</v>
      </c>
      <c r="AI528">
        <v>40</v>
      </c>
      <c r="AJ528">
        <v>16766.659185508299</v>
      </c>
      <c r="AK528" s="1">
        <f>intersection_ss_Lnight___surface[[#This Row],[surf m2 bout ss]]/intersection_ss_Lnight___surface[[#This Row],[Shape_Area]]</f>
        <v>0.11973698802074687</v>
      </c>
      <c r="AL528">
        <v>1995</v>
      </c>
      <c r="AM528">
        <f>intersection_ss_Lnight___surface[[#This Row],[Population totale 2024 ss]]*intersection_ss_Lnight___surface[[#This Row],[Part de la surface du qs dans le noise contour]]</f>
        <v>238.87529110138999</v>
      </c>
    </row>
    <row r="529" spans="1:39" x14ac:dyDescent="0.3">
      <c r="A529">
        <v>541</v>
      </c>
      <c r="B529" t="s">
        <v>1330</v>
      </c>
      <c r="C529" t="s">
        <v>1331</v>
      </c>
      <c r="D529" t="s">
        <v>1332</v>
      </c>
      <c r="E529" t="s">
        <v>1332</v>
      </c>
      <c r="F529" t="s">
        <v>1329</v>
      </c>
      <c r="G529" t="s">
        <v>1248</v>
      </c>
      <c r="H529" t="s">
        <v>1249</v>
      </c>
      <c r="I529" t="s">
        <v>1250</v>
      </c>
      <c r="J529" t="s">
        <v>36</v>
      </c>
      <c r="K529">
        <v>21018</v>
      </c>
      <c r="L529" t="s">
        <v>1251</v>
      </c>
      <c r="M529" t="s">
        <v>1252</v>
      </c>
      <c r="N529" t="s">
        <v>1252</v>
      </c>
      <c r="O529">
        <v>21000</v>
      </c>
      <c r="P529" t="s">
        <v>46</v>
      </c>
      <c r="Q529" t="s">
        <v>47</v>
      </c>
      <c r="R529" t="s">
        <v>48</v>
      </c>
      <c r="T529" t="s">
        <v>36</v>
      </c>
      <c r="U529" t="s">
        <v>36</v>
      </c>
      <c r="V529" t="s">
        <v>36</v>
      </c>
      <c r="W529">
        <v>4000</v>
      </c>
      <c r="X529" t="s">
        <v>49</v>
      </c>
      <c r="Y529" t="s">
        <v>50</v>
      </c>
      <c r="Z529" t="s">
        <v>51</v>
      </c>
      <c r="AA529" t="s">
        <v>37</v>
      </c>
      <c r="AB529" t="s">
        <v>52</v>
      </c>
      <c r="AC529" t="s">
        <v>53</v>
      </c>
      <c r="AD529" t="s">
        <v>54</v>
      </c>
      <c r="AE529">
        <v>14.002681948199999</v>
      </c>
      <c r="AF529">
        <v>1790</v>
      </c>
      <c r="AG529">
        <v>1789.7538993799999</v>
      </c>
      <c r="AH529">
        <v>140029.070905</v>
      </c>
      <c r="AI529">
        <v>41</v>
      </c>
      <c r="AJ529">
        <v>119083.837417441</v>
      </c>
      <c r="AK529" s="1">
        <f>intersection_ss_Lnight___surface[[#This Row],[surf m2 bout ss]]/intersection_ss_Lnight___surface[[#This Row],[Shape_Area]]</f>
        <v>0.85042224909305519</v>
      </c>
      <c r="AL529">
        <v>1995</v>
      </c>
      <c r="AM529">
        <f>intersection_ss_Lnight___surface[[#This Row],[Population totale 2024 ss]]*intersection_ss_Lnight___surface[[#This Row],[Part de la surface du qs dans le noise contour]]</f>
        <v>1696.5923869406452</v>
      </c>
    </row>
    <row r="530" spans="1:39" x14ac:dyDescent="0.3">
      <c r="A530">
        <v>542</v>
      </c>
      <c r="B530" t="s">
        <v>1330</v>
      </c>
      <c r="C530" t="s">
        <v>1331</v>
      </c>
      <c r="D530" t="s">
        <v>1332</v>
      </c>
      <c r="E530" t="s">
        <v>1332</v>
      </c>
      <c r="F530" t="s">
        <v>1329</v>
      </c>
      <c r="G530" t="s">
        <v>1248</v>
      </c>
      <c r="H530" t="s">
        <v>1249</v>
      </c>
      <c r="I530" t="s">
        <v>1250</v>
      </c>
      <c r="J530" t="s">
        <v>36</v>
      </c>
      <c r="K530">
        <v>21018</v>
      </c>
      <c r="L530" t="s">
        <v>1251</v>
      </c>
      <c r="M530" t="s">
        <v>1252</v>
      </c>
      <c r="N530" t="s">
        <v>1252</v>
      </c>
      <c r="O530">
        <v>21000</v>
      </c>
      <c r="P530" t="s">
        <v>46</v>
      </c>
      <c r="Q530" t="s">
        <v>47</v>
      </c>
      <c r="R530" t="s">
        <v>48</v>
      </c>
      <c r="T530" t="s">
        <v>36</v>
      </c>
      <c r="U530" t="s">
        <v>36</v>
      </c>
      <c r="V530" t="s">
        <v>36</v>
      </c>
      <c r="W530">
        <v>4000</v>
      </c>
      <c r="X530" t="s">
        <v>49</v>
      </c>
      <c r="Y530" t="s">
        <v>50</v>
      </c>
      <c r="Z530" t="s">
        <v>51</v>
      </c>
      <c r="AA530" t="s">
        <v>37</v>
      </c>
      <c r="AB530" t="s">
        <v>52</v>
      </c>
      <c r="AC530" t="s">
        <v>53</v>
      </c>
      <c r="AD530" t="s">
        <v>54</v>
      </c>
      <c r="AE530">
        <v>14.002681948199999</v>
      </c>
      <c r="AF530">
        <v>1790</v>
      </c>
      <c r="AG530">
        <v>1789.7538993799999</v>
      </c>
      <c r="AH530">
        <v>140029.070905</v>
      </c>
      <c r="AI530">
        <v>42</v>
      </c>
      <c r="AJ530">
        <v>4192.3487655147901</v>
      </c>
      <c r="AK530" s="1">
        <f>intersection_ss_Lnight___surface[[#This Row],[surf m2 bout ss]]/intersection_ss_Lnight___surface[[#This Row],[Shape_Area]]</f>
        <v>2.993913148476867E-2</v>
      </c>
      <c r="AL530">
        <v>1995</v>
      </c>
      <c r="AM530">
        <f>intersection_ss_Lnight___surface[[#This Row],[Population totale 2024 ss]]*intersection_ss_Lnight___surface[[#This Row],[Part de la surface du qs dans le noise contour]]</f>
        <v>59.728567312113498</v>
      </c>
    </row>
    <row r="531" spans="1:39" x14ac:dyDescent="0.3">
      <c r="A531">
        <v>543</v>
      </c>
      <c r="B531" t="s">
        <v>1333</v>
      </c>
      <c r="C531" t="s">
        <v>1334</v>
      </c>
      <c r="D531" t="s">
        <v>1335</v>
      </c>
      <c r="E531" t="s">
        <v>1335</v>
      </c>
      <c r="F531" t="s">
        <v>1329</v>
      </c>
      <c r="G531" t="s">
        <v>1248</v>
      </c>
      <c r="H531" t="s">
        <v>1249</v>
      </c>
      <c r="I531" t="s">
        <v>1250</v>
      </c>
      <c r="J531" t="s">
        <v>36</v>
      </c>
      <c r="K531">
        <v>21018</v>
      </c>
      <c r="L531" t="s">
        <v>1251</v>
      </c>
      <c r="M531" t="s">
        <v>1252</v>
      </c>
      <c r="N531" t="s">
        <v>1252</v>
      </c>
      <c r="O531">
        <v>21000</v>
      </c>
      <c r="P531" t="s">
        <v>46</v>
      </c>
      <c r="Q531" t="s">
        <v>47</v>
      </c>
      <c r="R531" t="s">
        <v>48</v>
      </c>
      <c r="T531" t="s">
        <v>36</v>
      </c>
      <c r="U531" t="s">
        <v>36</v>
      </c>
      <c r="V531" t="s">
        <v>36</v>
      </c>
      <c r="W531">
        <v>4000</v>
      </c>
      <c r="X531" t="s">
        <v>49</v>
      </c>
      <c r="Y531" t="s">
        <v>50</v>
      </c>
      <c r="Z531" t="s">
        <v>51</v>
      </c>
      <c r="AA531" t="s">
        <v>37</v>
      </c>
      <c r="AB531" t="s">
        <v>52</v>
      </c>
      <c r="AC531" t="s">
        <v>53</v>
      </c>
      <c r="AD531" t="s">
        <v>54</v>
      </c>
      <c r="AE531">
        <v>22.106276885100002</v>
      </c>
      <c r="AF531">
        <v>2127</v>
      </c>
      <c r="AG531">
        <v>2126.77129268</v>
      </c>
      <c r="AH531">
        <v>221066.32917700001</v>
      </c>
      <c r="AI531">
        <v>40</v>
      </c>
      <c r="AJ531">
        <v>143676.14352196601</v>
      </c>
      <c r="AK531" s="1">
        <f>intersection_ss_Lnight___surface[[#This Row],[surf m2 bout ss]]/intersection_ss_Lnight___surface[[#This Row],[Shape_Area]]</f>
        <v>0.64992323370480176</v>
      </c>
      <c r="AL531">
        <v>3574</v>
      </c>
      <c r="AM531">
        <f>intersection_ss_Lnight___surface[[#This Row],[Population totale 2024 ss]]*intersection_ss_Lnight___surface[[#This Row],[Part de la surface du qs dans le noise contour]]</f>
        <v>2322.8256372609617</v>
      </c>
    </row>
    <row r="532" spans="1:39" x14ac:dyDescent="0.3">
      <c r="A532">
        <v>544</v>
      </c>
      <c r="B532" t="s">
        <v>1333</v>
      </c>
      <c r="C532" t="s">
        <v>1334</v>
      </c>
      <c r="D532" t="s">
        <v>1335</v>
      </c>
      <c r="E532" t="s">
        <v>1335</v>
      </c>
      <c r="F532" t="s">
        <v>1329</v>
      </c>
      <c r="G532" t="s">
        <v>1248</v>
      </c>
      <c r="H532" t="s">
        <v>1249</v>
      </c>
      <c r="I532" t="s">
        <v>1250</v>
      </c>
      <c r="J532" t="s">
        <v>36</v>
      </c>
      <c r="K532">
        <v>21018</v>
      </c>
      <c r="L532" t="s">
        <v>1251</v>
      </c>
      <c r="M532" t="s">
        <v>1252</v>
      </c>
      <c r="N532" t="s">
        <v>1252</v>
      </c>
      <c r="O532">
        <v>21000</v>
      </c>
      <c r="P532" t="s">
        <v>46</v>
      </c>
      <c r="Q532" t="s">
        <v>47</v>
      </c>
      <c r="R532" t="s">
        <v>48</v>
      </c>
      <c r="T532" t="s">
        <v>36</v>
      </c>
      <c r="U532" t="s">
        <v>36</v>
      </c>
      <c r="V532" t="s">
        <v>36</v>
      </c>
      <c r="W532">
        <v>4000</v>
      </c>
      <c r="X532" t="s">
        <v>49</v>
      </c>
      <c r="Y532" t="s">
        <v>50</v>
      </c>
      <c r="Z532" t="s">
        <v>51</v>
      </c>
      <c r="AA532" t="s">
        <v>37</v>
      </c>
      <c r="AB532" t="s">
        <v>52</v>
      </c>
      <c r="AC532" t="s">
        <v>53</v>
      </c>
      <c r="AD532" t="s">
        <v>54</v>
      </c>
      <c r="AE532">
        <v>22.106276885100002</v>
      </c>
      <c r="AF532">
        <v>2127</v>
      </c>
      <c r="AG532">
        <v>2126.77129268</v>
      </c>
      <c r="AH532">
        <v>221066.32917700001</v>
      </c>
      <c r="AI532">
        <v>41</v>
      </c>
      <c r="AJ532">
        <v>76664.747838418698</v>
      </c>
      <c r="AK532" s="1">
        <f>intersection_ss_Lnight___surface[[#This Row],[surf m2 bout ss]]/intersection_ss_Lnight___surface[[#This Row],[Shape_Area]]</f>
        <v>0.34679522713310151</v>
      </c>
      <c r="AL532">
        <v>3574</v>
      </c>
      <c r="AM532">
        <f>intersection_ss_Lnight___surface[[#This Row],[Population totale 2024 ss]]*intersection_ss_Lnight___surface[[#This Row],[Part de la surface du qs dans le noise contour]]</f>
        <v>1239.4461417737048</v>
      </c>
    </row>
    <row r="533" spans="1:39" x14ac:dyDescent="0.3">
      <c r="A533">
        <v>545</v>
      </c>
      <c r="B533" t="s">
        <v>1336</v>
      </c>
      <c r="C533" t="s">
        <v>1337</v>
      </c>
      <c r="D533" t="s">
        <v>1338</v>
      </c>
      <c r="E533" t="s">
        <v>1338</v>
      </c>
      <c r="F533" t="s">
        <v>1329</v>
      </c>
      <c r="G533" t="s">
        <v>1248</v>
      </c>
      <c r="H533" t="s">
        <v>1249</v>
      </c>
      <c r="I533" t="s">
        <v>1250</v>
      </c>
      <c r="J533" t="s">
        <v>36</v>
      </c>
      <c r="K533">
        <v>21018</v>
      </c>
      <c r="L533" t="s">
        <v>1251</v>
      </c>
      <c r="M533" t="s">
        <v>1252</v>
      </c>
      <c r="N533" t="s">
        <v>1252</v>
      </c>
      <c r="O533">
        <v>21000</v>
      </c>
      <c r="P533" t="s">
        <v>46</v>
      </c>
      <c r="Q533" t="s">
        <v>47</v>
      </c>
      <c r="R533" t="s">
        <v>48</v>
      </c>
      <c r="T533" t="s">
        <v>36</v>
      </c>
      <c r="U533" t="s">
        <v>36</v>
      </c>
      <c r="V533" t="s">
        <v>36</v>
      </c>
      <c r="W533">
        <v>4000</v>
      </c>
      <c r="X533" t="s">
        <v>49</v>
      </c>
      <c r="Y533" t="s">
        <v>50</v>
      </c>
      <c r="Z533" t="s">
        <v>51</v>
      </c>
      <c r="AA533" t="s">
        <v>37</v>
      </c>
      <c r="AB533" t="s">
        <v>52</v>
      </c>
      <c r="AC533" t="s">
        <v>53</v>
      </c>
      <c r="AD533" t="s">
        <v>54</v>
      </c>
      <c r="AE533">
        <v>35.141958876399997</v>
      </c>
      <c r="AF533">
        <v>2559</v>
      </c>
      <c r="AG533">
        <v>2558.5240081699999</v>
      </c>
      <c r="AH533">
        <v>351425.24032899999</v>
      </c>
      <c r="AI533">
        <v>41</v>
      </c>
      <c r="AJ533">
        <v>79819.968222873096</v>
      </c>
      <c r="AK533" s="1">
        <f>intersection_ss_Lnight___surface[[#This Row],[surf m2 bout ss]]/intersection_ss_Lnight___surface[[#This Row],[Shape_Area]]</f>
        <v>0.22713214380431701</v>
      </c>
      <c r="AL533">
        <v>2095</v>
      </c>
      <c r="AM533">
        <f>intersection_ss_Lnight___surface[[#This Row],[Population totale 2024 ss]]*intersection_ss_Lnight___surface[[#This Row],[Part de la surface du qs dans le noise contour]]</f>
        <v>475.84184127004414</v>
      </c>
    </row>
    <row r="534" spans="1:39" x14ac:dyDescent="0.3">
      <c r="A534">
        <v>546</v>
      </c>
      <c r="B534" t="s">
        <v>1336</v>
      </c>
      <c r="C534" t="s">
        <v>1337</v>
      </c>
      <c r="D534" t="s">
        <v>1338</v>
      </c>
      <c r="E534" t="s">
        <v>1338</v>
      </c>
      <c r="F534" t="s">
        <v>1329</v>
      </c>
      <c r="G534" t="s">
        <v>1248</v>
      </c>
      <c r="H534" t="s">
        <v>1249</v>
      </c>
      <c r="I534" t="s">
        <v>1250</v>
      </c>
      <c r="J534" t="s">
        <v>36</v>
      </c>
      <c r="K534">
        <v>21018</v>
      </c>
      <c r="L534" t="s">
        <v>1251</v>
      </c>
      <c r="M534" t="s">
        <v>1252</v>
      </c>
      <c r="N534" t="s">
        <v>1252</v>
      </c>
      <c r="O534">
        <v>21000</v>
      </c>
      <c r="P534" t="s">
        <v>46</v>
      </c>
      <c r="Q534" t="s">
        <v>47</v>
      </c>
      <c r="R534" t="s">
        <v>48</v>
      </c>
      <c r="T534" t="s">
        <v>36</v>
      </c>
      <c r="U534" t="s">
        <v>36</v>
      </c>
      <c r="V534" t="s">
        <v>36</v>
      </c>
      <c r="W534">
        <v>4000</v>
      </c>
      <c r="X534" t="s">
        <v>49</v>
      </c>
      <c r="Y534" t="s">
        <v>50</v>
      </c>
      <c r="Z534" t="s">
        <v>51</v>
      </c>
      <c r="AA534" t="s">
        <v>37</v>
      </c>
      <c r="AB534" t="s">
        <v>52</v>
      </c>
      <c r="AC534" t="s">
        <v>53</v>
      </c>
      <c r="AD534" t="s">
        <v>54</v>
      </c>
      <c r="AE534">
        <v>35.141958876399997</v>
      </c>
      <c r="AF534">
        <v>2559</v>
      </c>
      <c r="AG534">
        <v>2558.5240081699999</v>
      </c>
      <c r="AH534">
        <v>351425.24032899999</v>
      </c>
      <c r="AI534">
        <v>42</v>
      </c>
      <c r="AJ534">
        <v>180174.86783313</v>
      </c>
      <c r="AK534" s="1">
        <f>intersection_ss_Lnight___surface[[#This Row],[surf m2 bout ss]]/intersection_ss_Lnight___surface[[#This Row],[Shape_Area]]</f>
        <v>0.51269757307259012</v>
      </c>
      <c r="AL534">
        <v>2095</v>
      </c>
      <c r="AM534">
        <f>intersection_ss_Lnight___surface[[#This Row],[Population totale 2024 ss]]*intersection_ss_Lnight___surface[[#This Row],[Part de la surface du qs dans le noise contour]]</f>
        <v>1074.1014155870762</v>
      </c>
    </row>
    <row r="535" spans="1:39" x14ac:dyDescent="0.3">
      <c r="A535">
        <v>547</v>
      </c>
      <c r="B535" t="s">
        <v>1336</v>
      </c>
      <c r="C535" t="s">
        <v>1337</v>
      </c>
      <c r="D535" t="s">
        <v>1338</v>
      </c>
      <c r="E535" t="s">
        <v>1338</v>
      </c>
      <c r="F535" t="s">
        <v>1329</v>
      </c>
      <c r="G535" t="s">
        <v>1248</v>
      </c>
      <c r="H535" t="s">
        <v>1249</v>
      </c>
      <c r="I535" t="s">
        <v>1250</v>
      </c>
      <c r="J535" t="s">
        <v>36</v>
      </c>
      <c r="K535">
        <v>21018</v>
      </c>
      <c r="L535" t="s">
        <v>1251</v>
      </c>
      <c r="M535" t="s">
        <v>1252</v>
      </c>
      <c r="N535" t="s">
        <v>1252</v>
      </c>
      <c r="O535">
        <v>21000</v>
      </c>
      <c r="P535" t="s">
        <v>46</v>
      </c>
      <c r="Q535" t="s">
        <v>47</v>
      </c>
      <c r="R535" t="s">
        <v>48</v>
      </c>
      <c r="T535" t="s">
        <v>36</v>
      </c>
      <c r="U535" t="s">
        <v>36</v>
      </c>
      <c r="V535" t="s">
        <v>36</v>
      </c>
      <c r="W535">
        <v>4000</v>
      </c>
      <c r="X535" t="s">
        <v>49</v>
      </c>
      <c r="Y535" t="s">
        <v>50</v>
      </c>
      <c r="Z535" t="s">
        <v>51</v>
      </c>
      <c r="AA535" t="s">
        <v>37</v>
      </c>
      <c r="AB535" t="s">
        <v>52</v>
      </c>
      <c r="AC535" t="s">
        <v>53</v>
      </c>
      <c r="AD535" t="s">
        <v>54</v>
      </c>
      <c r="AE535">
        <v>35.141958876399997</v>
      </c>
      <c r="AF535">
        <v>2559</v>
      </c>
      <c r="AG535">
        <v>2558.5240081699999</v>
      </c>
      <c r="AH535">
        <v>351425.24032899999</v>
      </c>
      <c r="AI535">
        <v>43</v>
      </c>
      <c r="AJ535">
        <v>91464.627622083295</v>
      </c>
      <c r="AK535" s="1">
        <f>intersection_ss_Lnight___surface[[#This Row],[surf m2 bout ss]]/intersection_ss_Lnight___surface[[#This Row],[Shape_Area]]</f>
        <v>0.26026766755983499</v>
      </c>
      <c r="AL535">
        <v>2095</v>
      </c>
      <c r="AM535">
        <f>intersection_ss_Lnight___surface[[#This Row],[Population totale 2024 ss]]*intersection_ss_Lnight___surface[[#This Row],[Part de la surface du qs dans le noise contour]]</f>
        <v>545.26076353785436</v>
      </c>
    </row>
    <row r="536" spans="1:39" x14ac:dyDescent="0.3">
      <c r="A536">
        <v>548</v>
      </c>
      <c r="B536" t="s">
        <v>1339</v>
      </c>
      <c r="C536" t="s">
        <v>1340</v>
      </c>
      <c r="D536" t="s">
        <v>1341</v>
      </c>
      <c r="E536" t="s">
        <v>1341</v>
      </c>
      <c r="F536" t="s">
        <v>1329</v>
      </c>
      <c r="G536" t="s">
        <v>1248</v>
      </c>
      <c r="H536" t="s">
        <v>1249</v>
      </c>
      <c r="I536" t="s">
        <v>1250</v>
      </c>
      <c r="J536" t="s">
        <v>36</v>
      </c>
      <c r="K536">
        <v>21018</v>
      </c>
      <c r="L536" t="s">
        <v>1251</v>
      </c>
      <c r="M536" t="s">
        <v>1252</v>
      </c>
      <c r="N536" t="s">
        <v>1252</v>
      </c>
      <c r="O536">
        <v>21000</v>
      </c>
      <c r="P536" t="s">
        <v>46</v>
      </c>
      <c r="Q536" t="s">
        <v>47</v>
      </c>
      <c r="R536" t="s">
        <v>48</v>
      </c>
      <c r="T536" t="s">
        <v>36</v>
      </c>
      <c r="U536" t="s">
        <v>36</v>
      </c>
      <c r="V536" t="s">
        <v>36</v>
      </c>
      <c r="W536">
        <v>4000</v>
      </c>
      <c r="X536" t="s">
        <v>49</v>
      </c>
      <c r="Y536" t="s">
        <v>50</v>
      </c>
      <c r="Z536" t="s">
        <v>51</v>
      </c>
      <c r="AA536" t="s">
        <v>37</v>
      </c>
      <c r="AB536" t="s">
        <v>52</v>
      </c>
      <c r="AC536" t="s">
        <v>53</v>
      </c>
      <c r="AD536" t="s">
        <v>54</v>
      </c>
      <c r="AE536">
        <v>12.399104101200001</v>
      </c>
      <c r="AF536">
        <v>1636</v>
      </c>
      <c r="AG536">
        <v>1635.9210393799999</v>
      </c>
      <c r="AH536">
        <v>123993.040137</v>
      </c>
      <c r="AI536">
        <v>42</v>
      </c>
      <c r="AJ536">
        <v>13584.5775611028</v>
      </c>
      <c r="AK536" s="1">
        <f>intersection_ss_Lnight___surface[[#This Row],[surf m2 bout ss]]/intersection_ss_Lnight___surface[[#This Row],[Shape_Area]]</f>
        <v>0.10955919417810217</v>
      </c>
      <c r="AL536">
        <v>1942</v>
      </c>
      <c r="AM536">
        <f>intersection_ss_Lnight___surface[[#This Row],[Population totale 2024 ss]]*intersection_ss_Lnight___surface[[#This Row],[Part de la surface du qs dans le noise contour]]</f>
        <v>212.76395509387442</v>
      </c>
    </row>
    <row r="537" spans="1:39" x14ac:dyDescent="0.3">
      <c r="A537">
        <v>549</v>
      </c>
      <c r="B537" t="s">
        <v>1339</v>
      </c>
      <c r="C537" t="s">
        <v>1340</v>
      </c>
      <c r="D537" t="s">
        <v>1341</v>
      </c>
      <c r="E537" t="s">
        <v>1341</v>
      </c>
      <c r="F537" t="s">
        <v>1329</v>
      </c>
      <c r="G537" t="s">
        <v>1248</v>
      </c>
      <c r="H537" t="s">
        <v>1249</v>
      </c>
      <c r="I537" t="s">
        <v>1250</v>
      </c>
      <c r="J537" t="s">
        <v>36</v>
      </c>
      <c r="K537">
        <v>21018</v>
      </c>
      <c r="L537" t="s">
        <v>1251</v>
      </c>
      <c r="M537" t="s">
        <v>1252</v>
      </c>
      <c r="N537" t="s">
        <v>1252</v>
      </c>
      <c r="O537">
        <v>21000</v>
      </c>
      <c r="P537" t="s">
        <v>46</v>
      </c>
      <c r="Q537" t="s">
        <v>47</v>
      </c>
      <c r="R537" t="s">
        <v>48</v>
      </c>
      <c r="T537" t="s">
        <v>36</v>
      </c>
      <c r="U537" t="s">
        <v>36</v>
      </c>
      <c r="V537" t="s">
        <v>36</v>
      </c>
      <c r="W537">
        <v>4000</v>
      </c>
      <c r="X537" t="s">
        <v>49</v>
      </c>
      <c r="Y537" t="s">
        <v>50</v>
      </c>
      <c r="Z537" t="s">
        <v>51</v>
      </c>
      <c r="AA537" t="s">
        <v>37</v>
      </c>
      <c r="AB537" t="s">
        <v>52</v>
      </c>
      <c r="AC537" t="s">
        <v>53</v>
      </c>
      <c r="AD537" t="s">
        <v>54</v>
      </c>
      <c r="AE537">
        <v>12.399104101200001</v>
      </c>
      <c r="AF537">
        <v>1636</v>
      </c>
      <c r="AG537">
        <v>1635.9210393799999</v>
      </c>
      <c r="AH537">
        <v>123993.040137</v>
      </c>
      <c r="AI537">
        <v>43</v>
      </c>
      <c r="AJ537">
        <v>110420.525672114</v>
      </c>
      <c r="AK537" s="1">
        <f>intersection_ss_Lnight___surface[[#This Row],[surf m2 bout ss]]/intersection_ss_Lnight___surface[[#This Row],[Shape_Area]]</f>
        <v>0.89053809431650588</v>
      </c>
      <c r="AL537">
        <v>1942</v>
      </c>
      <c r="AM537">
        <f>intersection_ss_Lnight___surface[[#This Row],[Population totale 2024 ss]]*intersection_ss_Lnight___surface[[#This Row],[Part de la surface du qs dans le noise contour]]</f>
        <v>1729.4249791626544</v>
      </c>
    </row>
    <row r="538" spans="1:39" x14ac:dyDescent="0.3">
      <c r="A538">
        <v>550</v>
      </c>
      <c r="B538" t="s">
        <v>1346</v>
      </c>
      <c r="C538" t="s">
        <v>1347</v>
      </c>
      <c r="D538" t="s">
        <v>1348</v>
      </c>
      <c r="E538" t="s">
        <v>1348</v>
      </c>
      <c r="F538" t="s">
        <v>1349</v>
      </c>
      <c r="G538" t="s">
        <v>1248</v>
      </c>
      <c r="H538" t="s">
        <v>1249</v>
      </c>
      <c r="I538" t="s">
        <v>1250</v>
      </c>
      <c r="J538" t="s">
        <v>36</v>
      </c>
      <c r="K538">
        <v>21018</v>
      </c>
      <c r="L538" t="s">
        <v>1251</v>
      </c>
      <c r="M538" t="s">
        <v>1252</v>
      </c>
      <c r="N538" t="s">
        <v>1252</v>
      </c>
      <c r="O538">
        <v>21000</v>
      </c>
      <c r="P538" t="s">
        <v>46</v>
      </c>
      <c r="Q538" t="s">
        <v>47</v>
      </c>
      <c r="R538" t="s">
        <v>48</v>
      </c>
      <c r="T538" t="s">
        <v>36</v>
      </c>
      <c r="U538" t="s">
        <v>36</v>
      </c>
      <c r="V538" t="s">
        <v>36</v>
      </c>
      <c r="W538">
        <v>4000</v>
      </c>
      <c r="X538" t="s">
        <v>49</v>
      </c>
      <c r="Y538" t="s">
        <v>50</v>
      </c>
      <c r="Z538" t="s">
        <v>51</v>
      </c>
      <c r="AA538" t="s">
        <v>37</v>
      </c>
      <c r="AB538" t="s">
        <v>52</v>
      </c>
      <c r="AC538" t="s">
        <v>53</v>
      </c>
      <c r="AD538" t="s">
        <v>54</v>
      </c>
      <c r="AE538">
        <v>15.9004271885</v>
      </c>
      <c r="AF538">
        <v>2443</v>
      </c>
      <c r="AG538">
        <v>2442.6150367</v>
      </c>
      <c r="AH538">
        <v>159006.86215599999</v>
      </c>
      <c r="AI538">
        <v>42</v>
      </c>
      <c r="AJ538">
        <v>5411.4339183969396</v>
      </c>
      <c r="AK538" s="1">
        <f>intersection_ss_Lnight___surface[[#This Row],[surf m2 bout ss]]/intersection_ss_Lnight___surface[[#This Row],[Shape_Area]]</f>
        <v>3.4032706796564775E-2</v>
      </c>
      <c r="AL538">
        <v>678</v>
      </c>
      <c r="AM538">
        <f>intersection_ss_Lnight___surface[[#This Row],[Population totale 2024 ss]]*intersection_ss_Lnight___surface[[#This Row],[Part de la surface du qs dans le noise contour]]</f>
        <v>23.074175208070919</v>
      </c>
    </row>
    <row r="539" spans="1:39" x14ac:dyDescent="0.3">
      <c r="A539">
        <v>551</v>
      </c>
      <c r="B539" t="s">
        <v>1346</v>
      </c>
      <c r="C539" t="s">
        <v>1347</v>
      </c>
      <c r="D539" t="s">
        <v>1348</v>
      </c>
      <c r="E539" t="s">
        <v>1348</v>
      </c>
      <c r="F539" t="s">
        <v>1349</v>
      </c>
      <c r="G539" t="s">
        <v>1248</v>
      </c>
      <c r="H539" t="s">
        <v>1249</v>
      </c>
      <c r="I539" t="s">
        <v>1250</v>
      </c>
      <c r="J539" t="s">
        <v>36</v>
      </c>
      <c r="K539">
        <v>21018</v>
      </c>
      <c r="L539" t="s">
        <v>1251</v>
      </c>
      <c r="M539" t="s">
        <v>1252</v>
      </c>
      <c r="N539" t="s">
        <v>1252</v>
      </c>
      <c r="O539">
        <v>21000</v>
      </c>
      <c r="P539" t="s">
        <v>46</v>
      </c>
      <c r="Q539" t="s">
        <v>47</v>
      </c>
      <c r="R539" t="s">
        <v>48</v>
      </c>
      <c r="T539" t="s">
        <v>36</v>
      </c>
      <c r="U539" t="s">
        <v>36</v>
      </c>
      <c r="V539" t="s">
        <v>36</v>
      </c>
      <c r="W539">
        <v>4000</v>
      </c>
      <c r="X539" t="s">
        <v>49</v>
      </c>
      <c r="Y539" t="s">
        <v>50</v>
      </c>
      <c r="Z539" t="s">
        <v>51</v>
      </c>
      <c r="AA539" t="s">
        <v>37</v>
      </c>
      <c r="AB539" t="s">
        <v>52</v>
      </c>
      <c r="AC539" t="s">
        <v>53</v>
      </c>
      <c r="AD539" t="s">
        <v>54</v>
      </c>
      <c r="AE539">
        <v>15.9004271885</v>
      </c>
      <c r="AF539">
        <v>2443</v>
      </c>
      <c r="AG539">
        <v>2442.6150367</v>
      </c>
      <c r="AH539">
        <v>159006.86215599999</v>
      </c>
      <c r="AI539">
        <v>43</v>
      </c>
      <c r="AJ539">
        <v>153611.15599301699</v>
      </c>
      <c r="AK539" s="1">
        <f>intersection_ss_Lnight___surface[[#This Row],[surf m2 bout ss]]/intersection_ss_Lnight___surface[[#This Row],[Shape_Area]]</f>
        <v>0.96606620563526791</v>
      </c>
      <c r="AL539">
        <v>678</v>
      </c>
      <c r="AM539">
        <f>intersection_ss_Lnight___surface[[#This Row],[Population totale 2024 ss]]*intersection_ss_Lnight___surface[[#This Row],[Part de la surface du qs dans le noise contour]]</f>
        <v>654.99288742071167</v>
      </c>
    </row>
    <row r="540" spans="1:39" x14ac:dyDescent="0.3">
      <c r="A540">
        <v>552</v>
      </c>
      <c r="B540" t="s">
        <v>1350</v>
      </c>
      <c r="C540" t="s">
        <v>1351</v>
      </c>
      <c r="D540" t="s">
        <v>1352</v>
      </c>
      <c r="E540" t="s">
        <v>1352</v>
      </c>
      <c r="F540" t="s">
        <v>1349</v>
      </c>
      <c r="G540" t="s">
        <v>1248</v>
      </c>
      <c r="H540" t="s">
        <v>1249</v>
      </c>
      <c r="I540" t="s">
        <v>1250</v>
      </c>
      <c r="J540" t="s">
        <v>36</v>
      </c>
      <c r="K540">
        <v>21018</v>
      </c>
      <c r="L540" t="s">
        <v>1251</v>
      </c>
      <c r="M540" t="s">
        <v>1252</v>
      </c>
      <c r="N540" t="s">
        <v>1252</v>
      </c>
      <c r="O540">
        <v>21000</v>
      </c>
      <c r="P540" t="s">
        <v>46</v>
      </c>
      <c r="Q540" t="s">
        <v>47</v>
      </c>
      <c r="R540" t="s">
        <v>48</v>
      </c>
      <c r="T540" t="s">
        <v>36</v>
      </c>
      <c r="U540" t="s">
        <v>36</v>
      </c>
      <c r="V540" t="s">
        <v>36</v>
      </c>
      <c r="W540">
        <v>4000</v>
      </c>
      <c r="X540" t="s">
        <v>49</v>
      </c>
      <c r="Y540" t="s">
        <v>50</v>
      </c>
      <c r="Z540" t="s">
        <v>51</v>
      </c>
      <c r="AA540" t="s">
        <v>37</v>
      </c>
      <c r="AB540" t="s">
        <v>52</v>
      </c>
      <c r="AC540" t="s">
        <v>53</v>
      </c>
      <c r="AD540" t="s">
        <v>54</v>
      </c>
      <c r="AE540">
        <v>19.855177275799999</v>
      </c>
      <c r="AF540">
        <v>2070</v>
      </c>
      <c r="AG540">
        <v>2070.2779182200002</v>
      </c>
      <c r="AH540">
        <v>198554.95837000001</v>
      </c>
      <c r="AI540">
        <v>42</v>
      </c>
      <c r="AJ540">
        <v>84821.541377633301</v>
      </c>
      <c r="AK540" s="1">
        <f>intersection_ss_Lnight___surface[[#This Row],[surf m2 bout ss]]/intersection_ss_Lnight___surface[[#This Row],[Shape_Area]]</f>
        <v>0.42719427444149449</v>
      </c>
      <c r="AL540">
        <v>612</v>
      </c>
      <c r="AM540">
        <f>intersection_ss_Lnight___surface[[#This Row],[Population totale 2024 ss]]*intersection_ss_Lnight___surface[[#This Row],[Part de la surface du qs dans le noise contour]]</f>
        <v>261.44289595819464</v>
      </c>
    </row>
    <row r="541" spans="1:39" x14ac:dyDescent="0.3">
      <c r="A541">
        <v>553</v>
      </c>
      <c r="B541" t="s">
        <v>1350</v>
      </c>
      <c r="C541" t="s">
        <v>1351</v>
      </c>
      <c r="D541" t="s">
        <v>1352</v>
      </c>
      <c r="E541" t="s">
        <v>1352</v>
      </c>
      <c r="F541" t="s">
        <v>1349</v>
      </c>
      <c r="G541" t="s">
        <v>1248</v>
      </c>
      <c r="H541" t="s">
        <v>1249</v>
      </c>
      <c r="I541" t="s">
        <v>1250</v>
      </c>
      <c r="J541" t="s">
        <v>36</v>
      </c>
      <c r="K541">
        <v>21018</v>
      </c>
      <c r="L541" t="s">
        <v>1251</v>
      </c>
      <c r="M541" t="s">
        <v>1252</v>
      </c>
      <c r="N541" t="s">
        <v>1252</v>
      </c>
      <c r="O541">
        <v>21000</v>
      </c>
      <c r="P541" t="s">
        <v>46</v>
      </c>
      <c r="Q541" t="s">
        <v>47</v>
      </c>
      <c r="R541" t="s">
        <v>48</v>
      </c>
      <c r="T541" t="s">
        <v>36</v>
      </c>
      <c r="U541" t="s">
        <v>36</v>
      </c>
      <c r="V541" t="s">
        <v>36</v>
      </c>
      <c r="W541">
        <v>4000</v>
      </c>
      <c r="X541" t="s">
        <v>49</v>
      </c>
      <c r="Y541" t="s">
        <v>50</v>
      </c>
      <c r="Z541" t="s">
        <v>51</v>
      </c>
      <c r="AA541" t="s">
        <v>37</v>
      </c>
      <c r="AB541" t="s">
        <v>52</v>
      </c>
      <c r="AC541" t="s">
        <v>53</v>
      </c>
      <c r="AD541" t="s">
        <v>54</v>
      </c>
      <c r="AE541">
        <v>19.855177275799999</v>
      </c>
      <c r="AF541">
        <v>2070</v>
      </c>
      <c r="AG541">
        <v>2070.2779182200002</v>
      </c>
      <c r="AH541">
        <v>198554.95837000001</v>
      </c>
      <c r="AI541">
        <v>43</v>
      </c>
      <c r="AJ541">
        <v>113753.040222895</v>
      </c>
      <c r="AK541" s="1">
        <f>intersection_ss_Lnight___surface[[#This Row],[surf m2 bout ss]]/intersection_ss_Lnight___surface[[#This Row],[Shape_Area]]</f>
        <v>0.57290455578006927</v>
      </c>
      <c r="AL541">
        <v>612</v>
      </c>
      <c r="AM541">
        <f>intersection_ss_Lnight___surface[[#This Row],[Population totale 2024 ss]]*intersection_ss_Lnight___surface[[#This Row],[Part de la surface du qs dans le noise contour]]</f>
        <v>350.61758813740238</v>
      </c>
    </row>
    <row r="542" spans="1:39" x14ac:dyDescent="0.3">
      <c r="A542">
        <v>554</v>
      </c>
      <c r="B542" t="s">
        <v>1353</v>
      </c>
      <c r="C542" t="s">
        <v>1354</v>
      </c>
      <c r="D542" t="s">
        <v>1354</v>
      </c>
      <c r="E542" t="s">
        <v>1354</v>
      </c>
      <c r="F542" t="s">
        <v>1349</v>
      </c>
      <c r="G542" t="s">
        <v>1248</v>
      </c>
      <c r="H542" t="s">
        <v>1249</v>
      </c>
      <c r="I542" t="s">
        <v>1250</v>
      </c>
      <c r="J542" t="s">
        <v>36</v>
      </c>
      <c r="K542">
        <v>21018</v>
      </c>
      <c r="L542" t="s">
        <v>1251</v>
      </c>
      <c r="M542" t="s">
        <v>1252</v>
      </c>
      <c r="N542" t="s">
        <v>1252</v>
      </c>
      <c r="O542">
        <v>21000</v>
      </c>
      <c r="P542" t="s">
        <v>46</v>
      </c>
      <c r="Q542" t="s">
        <v>47</v>
      </c>
      <c r="R542" t="s">
        <v>48</v>
      </c>
      <c r="T542" t="s">
        <v>36</v>
      </c>
      <c r="U542" t="s">
        <v>36</v>
      </c>
      <c r="V542" t="s">
        <v>36</v>
      </c>
      <c r="W542">
        <v>4000</v>
      </c>
      <c r="X542" t="s">
        <v>49</v>
      </c>
      <c r="Y542" t="s">
        <v>50</v>
      </c>
      <c r="Z542" t="s">
        <v>51</v>
      </c>
      <c r="AA542" t="s">
        <v>37</v>
      </c>
      <c r="AB542" t="s">
        <v>52</v>
      </c>
      <c r="AC542" t="s">
        <v>53</v>
      </c>
      <c r="AD542" t="s">
        <v>54</v>
      </c>
      <c r="AE542">
        <v>19.674086131900001</v>
      </c>
      <c r="AF542">
        <v>2114</v>
      </c>
      <c r="AG542">
        <v>2114.0706142200002</v>
      </c>
      <c r="AH542">
        <v>196744.039307</v>
      </c>
      <c r="AI542">
        <v>43</v>
      </c>
      <c r="AJ542">
        <v>187364.06616909101</v>
      </c>
      <c r="AK542" s="1">
        <f>intersection_ss_Lnight___surface[[#This Row],[surf m2 bout ss]]/intersection_ss_Lnight___surface[[#This Row],[Shape_Area]]</f>
        <v>0.95232397804300206</v>
      </c>
      <c r="AL542">
        <v>1056</v>
      </c>
      <c r="AM542">
        <f>intersection_ss_Lnight___surface[[#This Row],[Population totale 2024 ss]]*intersection_ss_Lnight___surface[[#This Row],[Part de la surface du qs dans le noise contour]]</f>
        <v>1005.6541208134101</v>
      </c>
    </row>
    <row r="543" spans="1:39" x14ac:dyDescent="0.3">
      <c r="A543">
        <v>555</v>
      </c>
      <c r="B543" t="s">
        <v>1353</v>
      </c>
      <c r="C543" t="s">
        <v>1354</v>
      </c>
      <c r="D543" t="s">
        <v>1354</v>
      </c>
      <c r="E543" t="s">
        <v>1354</v>
      </c>
      <c r="F543" t="s">
        <v>1349</v>
      </c>
      <c r="G543" t="s">
        <v>1248</v>
      </c>
      <c r="H543" t="s">
        <v>1249</v>
      </c>
      <c r="I543" t="s">
        <v>1250</v>
      </c>
      <c r="J543" t="s">
        <v>36</v>
      </c>
      <c r="K543">
        <v>21018</v>
      </c>
      <c r="L543" t="s">
        <v>1251</v>
      </c>
      <c r="M543" t="s">
        <v>1252</v>
      </c>
      <c r="N543" t="s">
        <v>1252</v>
      </c>
      <c r="O543">
        <v>21000</v>
      </c>
      <c r="P543" t="s">
        <v>46</v>
      </c>
      <c r="Q543" t="s">
        <v>47</v>
      </c>
      <c r="R543" t="s">
        <v>48</v>
      </c>
      <c r="T543" t="s">
        <v>36</v>
      </c>
      <c r="U543" t="s">
        <v>36</v>
      </c>
      <c r="V543" t="s">
        <v>36</v>
      </c>
      <c r="W543">
        <v>4000</v>
      </c>
      <c r="X543" t="s">
        <v>49</v>
      </c>
      <c r="Y543" t="s">
        <v>50</v>
      </c>
      <c r="Z543" t="s">
        <v>51</v>
      </c>
      <c r="AA543" t="s">
        <v>37</v>
      </c>
      <c r="AB543" t="s">
        <v>52</v>
      </c>
      <c r="AC543" t="s">
        <v>53</v>
      </c>
      <c r="AD543" t="s">
        <v>54</v>
      </c>
      <c r="AE543">
        <v>19.674086131900001</v>
      </c>
      <c r="AF543">
        <v>2114</v>
      </c>
      <c r="AG543">
        <v>2114.0706142200002</v>
      </c>
      <c r="AH543">
        <v>196744.039307</v>
      </c>
      <c r="AI543">
        <v>44</v>
      </c>
      <c r="AJ543">
        <v>9399.2918501184304</v>
      </c>
      <c r="AK543" s="1">
        <f>intersection_ss_Lnight___surface[[#This Row],[surf m2 bout ss]]/intersection_ss_Lnight___surface[[#This Row],[Shape_Area]]</f>
        <v>4.7774214066286132E-2</v>
      </c>
      <c r="AL543">
        <v>1056</v>
      </c>
      <c r="AM543">
        <f>intersection_ss_Lnight___surface[[#This Row],[Population totale 2024 ss]]*intersection_ss_Lnight___surface[[#This Row],[Part de la surface du qs dans le noise contour]]</f>
        <v>50.449570053998158</v>
      </c>
    </row>
    <row r="544" spans="1:39" x14ac:dyDescent="0.3">
      <c r="A544">
        <v>556</v>
      </c>
      <c r="B544" t="s">
        <v>1355</v>
      </c>
      <c r="C544" t="s">
        <v>1356</v>
      </c>
      <c r="D544" t="s">
        <v>1357</v>
      </c>
      <c r="E544" t="s">
        <v>1357</v>
      </c>
      <c r="F544" t="s">
        <v>1349</v>
      </c>
      <c r="G544" t="s">
        <v>1248</v>
      </c>
      <c r="H544" t="s">
        <v>1249</v>
      </c>
      <c r="I544" t="s">
        <v>1250</v>
      </c>
      <c r="J544" t="s">
        <v>36</v>
      </c>
      <c r="K544">
        <v>21018</v>
      </c>
      <c r="L544" t="s">
        <v>1251</v>
      </c>
      <c r="M544" t="s">
        <v>1252</v>
      </c>
      <c r="N544" t="s">
        <v>1252</v>
      </c>
      <c r="O544">
        <v>21000</v>
      </c>
      <c r="P544" t="s">
        <v>46</v>
      </c>
      <c r="Q544" t="s">
        <v>47</v>
      </c>
      <c r="R544" t="s">
        <v>48</v>
      </c>
      <c r="T544" t="s">
        <v>36</v>
      </c>
      <c r="U544" t="s">
        <v>36</v>
      </c>
      <c r="V544" t="s">
        <v>36</v>
      </c>
      <c r="W544">
        <v>4000</v>
      </c>
      <c r="X544" t="s">
        <v>49</v>
      </c>
      <c r="Y544" t="s">
        <v>50</v>
      </c>
      <c r="Z544" t="s">
        <v>51</v>
      </c>
      <c r="AA544" t="s">
        <v>37</v>
      </c>
      <c r="AB544" t="s">
        <v>52</v>
      </c>
      <c r="AC544" t="s">
        <v>53</v>
      </c>
      <c r="AD544" t="s">
        <v>54</v>
      </c>
      <c r="AE544">
        <v>19.303843825800001</v>
      </c>
      <c r="AF544">
        <v>2437</v>
      </c>
      <c r="AG544">
        <v>2436.65266303</v>
      </c>
      <c r="AH544">
        <v>193041.561112</v>
      </c>
      <c r="AI544">
        <v>43</v>
      </c>
      <c r="AJ544">
        <v>122248.40856308999</v>
      </c>
      <c r="AK544" s="1">
        <f>intersection_ss_Lnight___surface[[#This Row],[surf m2 bout ss]]/intersection_ss_Lnight___surface[[#This Row],[Shape_Area]]</f>
        <v>0.63327507226365198</v>
      </c>
      <c r="AL544">
        <v>917</v>
      </c>
      <c r="AM544">
        <f>intersection_ss_Lnight___surface[[#This Row],[Population totale 2024 ss]]*intersection_ss_Lnight___surface[[#This Row],[Part de la surface du qs dans le noise contour]]</f>
        <v>580.71324126576883</v>
      </c>
    </row>
    <row r="545" spans="1:39" x14ac:dyDescent="0.3">
      <c r="A545">
        <v>557</v>
      </c>
      <c r="B545" t="s">
        <v>1355</v>
      </c>
      <c r="C545" t="s">
        <v>1356</v>
      </c>
      <c r="D545" t="s">
        <v>1357</v>
      </c>
      <c r="E545" t="s">
        <v>1357</v>
      </c>
      <c r="F545" t="s">
        <v>1349</v>
      </c>
      <c r="G545" t="s">
        <v>1248</v>
      </c>
      <c r="H545" t="s">
        <v>1249</v>
      </c>
      <c r="I545" t="s">
        <v>1250</v>
      </c>
      <c r="J545" t="s">
        <v>36</v>
      </c>
      <c r="K545">
        <v>21018</v>
      </c>
      <c r="L545" t="s">
        <v>1251</v>
      </c>
      <c r="M545" t="s">
        <v>1252</v>
      </c>
      <c r="N545" t="s">
        <v>1252</v>
      </c>
      <c r="O545">
        <v>21000</v>
      </c>
      <c r="P545" t="s">
        <v>46</v>
      </c>
      <c r="Q545" t="s">
        <v>47</v>
      </c>
      <c r="R545" t="s">
        <v>48</v>
      </c>
      <c r="T545" t="s">
        <v>36</v>
      </c>
      <c r="U545" t="s">
        <v>36</v>
      </c>
      <c r="V545" t="s">
        <v>36</v>
      </c>
      <c r="W545">
        <v>4000</v>
      </c>
      <c r="X545" t="s">
        <v>49</v>
      </c>
      <c r="Y545" t="s">
        <v>50</v>
      </c>
      <c r="Z545" t="s">
        <v>51</v>
      </c>
      <c r="AA545" t="s">
        <v>37</v>
      </c>
      <c r="AB545" t="s">
        <v>52</v>
      </c>
      <c r="AC545" t="s">
        <v>53</v>
      </c>
      <c r="AD545" t="s">
        <v>54</v>
      </c>
      <c r="AE545">
        <v>19.303843825800001</v>
      </c>
      <c r="AF545">
        <v>2437</v>
      </c>
      <c r="AG545">
        <v>2436.65266303</v>
      </c>
      <c r="AH545">
        <v>193041.561112</v>
      </c>
      <c r="AI545">
        <v>44</v>
      </c>
      <c r="AJ545">
        <v>70812.162587158702</v>
      </c>
      <c r="AK545" s="1">
        <f>intersection_ss_Lnight___surface[[#This Row],[surf m2 bout ss]]/intersection_ss_Lnight___surface[[#This Row],[Shape_Area]]</f>
        <v>0.36682340413769488</v>
      </c>
      <c r="AL545">
        <v>917</v>
      </c>
      <c r="AM545">
        <f>intersection_ss_Lnight___surface[[#This Row],[Population totale 2024 ss]]*intersection_ss_Lnight___surface[[#This Row],[Part de la surface du qs dans le noise contour]]</f>
        <v>336.37706159426619</v>
      </c>
    </row>
    <row r="546" spans="1:39" x14ac:dyDescent="0.3">
      <c r="A546">
        <v>558</v>
      </c>
      <c r="B546" t="s">
        <v>1358</v>
      </c>
      <c r="C546" t="s">
        <v>1359</v>
      </c>
      <c r="D546" t="s">
        <v>1360</v>
      </c>
      <c r="E546" t="s">
        <v>1360</v>
      </c>
      <c r="F546" t="s">
        <v>1349</v>
      </c>
      <c r="G546" t="s">
        <v>1248</v>
      </c>
      <c r="H546" t="s">
        <v>1249</v>
      </c>
      <c r="I546" t="s">
        <v>1250</v>
      </c>
      <c r="J546" t="s">
        <v>36</v>
      </c>
      <c r="K546">
        <v>21018</v>
      </c>
      <c r="L546" t="s">
        <v>1251</v>
      </c>
      <c r="M546" t="s">
        <v>1252</v>
      </c>
      <c r="N546" t="s">
        <v>1252</v>
      </c>
      <c r="O546">
        <v>21000</v>
      </c>
      <c r="P546" t="s">
        <v>46</v>
      </c>
      <c r="Q546" t="s">
        <v>47</v>
      </c>
      <c r="R546" t="s">
        <v>48</v>
      </c>
      <c r="T546" t="s">
        <v>36</v>
      </c>
      <c r="U546" t="s">
        <v>36</v>
      </c>
      <c r="V546" t="s">
        <v>36</v>
      </c>
      <c r="W546">
        <v>4000</v>
      </c>
      <c r="X546" t="s">
        <v>49</v>
      </c>
      <c r="Y546" t="s">
        <v>50</v>
      </c>
      <c r="Z546" t="s">
        <v>51</v>
      </c>
      <c r="AA546" t="s">
        <v>37</v>
      </c>
      <c r="AB546" t="s">
        <v>52</v>
      </c>
      <c r="AC546" t="s">
        <v>53</v>
      </c>
      <c r="AD546" t="s">
        <v>54</v>
      </c>
      <c r="AE546">
        <v>60.065963037000003</v>
      </c>
      <c r="AF546">
        <v>4192</v>
      </c>
      <c r="AG546">
        <v>4191.7591494799999</v>
      </c>
      <c r="AH546">
        <v>600669.26913999999</v>
      </c>
      <c r="AI546">
        <v>43</v>
      </c>
      <c r="AJ546">
        <v>75511.890085353501</v>
      </c>
      <c r="AK546" s="1">
        <f>intersection_ss_Lnight___surface[[#This Row],[surf m2 bout ss]]/intersection_ss_Lnight___surface[[#This Row],[Shape_Area]]</f>
        <v>0.12571292384154531</v>
      </c>
      <c r="AL546">
        <v>1291</v>
      </c>
      <c r="AM546">
        <f>intersection_ss_Lnight___surface[[#This Row],[Population totale 2024 ss]]*intersection_ss_Lnight___surface[[#This Row],[Part de la surface du qs dans le noise contour]]</f>
        <v>162.29538467943499</v>
      </c>
    </row>
    <row r="547" spans="1:39" x14ac:dyDescent="0.3">
      <c r="A547">
        <v>559</v>
      </c>
      <c r="B547" t="s">
        <v>1358</v>
      </c>
      <c r="C547" t="s">
        <v>1359</v>
      </c>
      <c r="D547" t="s">
        <v>1360</v>
      </c>
      <c r="E547" t="s">
        <v>1360</v>
      </c>
      <c r="F547" t="s">
        <v>1349</v>
      </c>
      <c r="G547" t="s">
        <v>1248</v>
      </c>
      <c r="H547" t="s">
        <v>1249</v>
      </c>
      <c r="I547" t="s">
        <v>1250</v>
      </c>
      <c r="J547" t="s">
        <v>36</v>
      </c>
      <c r="K547">
        <v>21018</v>
      </c>
      <c r="L547" t="s">
        <v>1251</v>
      </c>
      <c r="M547" t="s">
        <v>1252</v>
      </c>
      <c r="N547" t="s">
        <v>1252</v>
      </c>
      <c r="O547">
        <v>21000</v>
      </c>
      <c r="P547" t="s">
        <v>46</v>
      </c>
      <c r="Q547" t="s">
        <v>47</v>
      </c>
      <c r="R547" t="s">
        <v>48</v>
      </c>
      <c r="T547" t="s">
        <v>36</v>
      </c>
      <c r="U547" t="s">
        <v>36</v>
      </c>
      <c r="V547" t="s">
        <v>36</v>
      </c>
      <c r="W547">
        <v>4000</v>
      </c>
      <c r="X547" t="s">
        <v>49</v>
      </c>
      <c r="Y547" t="s">
        <v>50</v>
      </c>
      <c r="Z547" t="s">
        <v>51</v>
      </c>
      <c r="AA547" t="s">
        <v>37</v>
      </c>
      <c r="AB547" t="s">
        <v>52</v>
      </c>
      <c r="AC547" t="s">
        <v>53</v>
      </c>
      <c r="AD547" t="s">
        <v>54</v>
      </c>
      <c r="AE547">
        <v>60.065963037000003</v>
      </c>
      <c r="AF547">
        <v>4192</v>
      </c>
      <c r="AG547">
        <v>4191.7591494799999</v>
      </c>
      <c r="AH547">
        <v>600669.26913999999</v>
      </c>
      <c r="AI547">
        <v>44</v>
      </c>
      <c r="AJ547">
        <v>525216.043501782</v>
      </c>
      <c r="AK547" s="1">
        <f>intersection_ss_Lnight___surface[[#This Row],[surf m2 bout ss]]/intersection_ss_Lnight___surface[[#This Row],[Shape_Area]]</f>
        <v>0.87438474129657551</v>
      </c>
      <c r="AL547">
        <v>1291</v>
      </c>
      <c r="AM547">
        <f>intersection_ss_Lnight___surface[[#This Row],[Population totale 2024 ss]]*intersection_ss_Lnight___surface[[#This Row],[Part de la surface du qs dans le noise contour]]</f>
        <v>1128.830701013879</v>
      </c>
    </row>
    <row r="548" spans="1:39" x14ac:dyDescent="0.3">
      <c r="A548">
        <v>560</v>
      </c>
      <c r="B548" t="s">
        <v>1361</v>
      </c>
      <c r="C548" t="s">
        <v>246</v>
      </c>
      <c r="D548" t="s">
        <v>247</v>
      </c>
      <c r="E548" t="s">
        <v>247</v>
      </c>
      <c r="F548" t="s">
        <v>1362</v>
      </c>
      <c r="G548" t="s">
        <v>1363</v>
      </c>
      <c r="H548" t="s">
        <v>1364</v>
      </c>
      <c r="I548" t="s">
        <v>1365</v>
      </c>
      <c r="J548" t="s">
        <v>36</v>
      </c>
      <c r="K548">
        <v>21019</v>
      </c>
      <c r="L548" t="s">
        <v>1366</v>
      </c>
      <c r="M548" t="s">
        <v>1367</v>
      </c>
      <c r="N548" t="s">
        <v>1367</v>
      </c>
      <c r="O548">
        <v>21000</v>
      </c>
      <c r="P548" t="s">
        <v>46</v>
      </c>
      <c r="Q548" t="s">
        <v>47</v>
      </c>
      <c r="R548" t="s">
        <v>48</v>
      </c>
      <c r="T548" t="s">
        <v>36</v>
      </c>
      <c r="U548" t="s">
        <v>36</v>
      </c>
      <c r="V548" t="s">
        <v>36</v>
      </c>
      <c r="W548">
        <v>4000</v>
      </c>
      <c r="X548" t="s">
        <v>49</v>
      </c>
      <c r="Y548" t="s">
        <v>50</v>
      </c>
      <c r="Z548" t="s">
        <v>51</v>
      </c>
      <c r="AA548" t="s">
        <v>37</v>
      </c>
      <c r="AB548" t="s">
        <v>52</v>
      </c>
      <c r="AC548" t="s">
        <v>53</v>
      </c>
      <c r="AD548" t="s">
        <v>54</v>
      </c>
      <c r="AE548">
        <v>15.4094844399</v>
      </c>
      <c r="AF548">
        <v>1909</v>
      </c>
      <c r="AG548">
        <v>1908.5655687599999</v>
      </c>
      <c r="AH548">
        <v>154097.32383499999</v>
      </c>
      <c r="AI548">
        <v>40</v>
      </c>
      <c r="AJ548">
        <v>54260.422392038599</v>
      </c>
      <c r="AK548" s="1">
        <f>intersection_ss_Lnight___surface[[#This Row],[surf m2 bout ss]]/intersection_ss_Lnight___surface[[#This Row],[Shape_Area]]</f>
        <v>0.35211787616855728</v>
      </c>
      <c r="AL548">
        <v>1746</v>
      </c>
      <c r="AM548">
        <f>intersection_ss_Lnight___surface[[#This Row],[Population totale 2024 ss]]*intersection_ss_Lnight___surface[[#This Row],[Part de la surface du qs dans le noise contour]]</f>
        <v>614.79781179030101</v>
      </c>
    </row>
    <row r="549" spans="1:39" x14ac:dyDescent="0.3">
      <c r="A549">
        <v>561</v>
      </c>
      <c r="B549" t="s">
        <v>1368</v>
      </c>
      <c r="C549" t="s">
        <v>1369</v>
      </c>
      <c r="D549" t="s">
        <v>1370</v>
      </c>
      <c r="E549" t="s">
        <v>1370</v>
      </c>
      <c r="F549" t="s">
        <v>1362</v>
      </c>
      <c r="G549" t="s">
        <v>1363</v>
      </c>
      <c r="H549" t="s">
        <v>1364</v>
      </c>
      <c r="I549" t="s">
        <v>1365</v>
      </c>
      <c r="J549" t="s">
        <v>36</v>
      </c>
      <c r="K549">
        <v>21019</v>
      </c>
      <c r="L549" t="s">
        <v>1366</v>
      </c>
      <c r="M549" t="s">
        <v>1367</v>
      </c>
      <c r="N549" t="s">
        <v>1367</v>
      </c>
      <c r="O549">
        <v>21000</v>
      </c>
      <c r="P549" t="s">
        <v>46</v>
      </c>
      <c r="Q549" t="s">
        <v>47</v>
      </c>
      <c r="R549" t="s">
        <v>48</v>
      </c>
      <c r="T549" t="s">
        <v>36</v>
      </c>
      <c r="U549" t="s">
        <v>36</v>
      </c>
      <c r="V549" t="s">
        <v>36</v>
      </c>
      <c r="W549">
        <v>4000</v>
      </c>
      <c r="X549" t="s">
        <v>49</v>
      </c>
      <c r="Y549" t="s">
        <v>50</v>
      </c>
      <c r="Z549" t="s">
        <v>51</v>
      </c>
      <c r="AA549" t="s">
        <v>37</v>
      </c>
      <c r="AB549" t="s">
        <v>52</v>
      </c>
      <c r="AC549" t="s">
        <v>53</v>
      </c>
      <c r="AD549" t="s">
        <v>54</v>
      </c>
      <c r="AE549">
        <v>23.597011190500002</v>
      </c>
      <c r="AF549">
        <v>2478</v>
      </c>
      <c r="AG549">
        <v>2477.8607502200002</v>
      </c>
      <c r="AH549">
        <v>235973.90358700001</v>
      </c>
      <c r="AI549">
        <v>40</v>
      </c>
      <c r="AJ549">
        <v>19410.9771226253</v>
      </c>
      <c r="AK549" s="1">
        <f>intersection_ss_Lnight___surface[[#This Row],[surf m2 bout ss]]/intersection_ss_Lnight___surface[[#This Row],[Shape_Area]]</f>
        <v>8.225899909931679E-2</v>
      </c>
      <c r="AL549">
        <v>733</v>
      </c>
      <c r="AM549">
        <f>intersection_ss_Lnight___surface[[#This Row],[Population totale 2024 ss]]*intersection_ss_Lnight___surface[[#This Row],[Part de la surface du qs dans le noise contour]]</f>
        <v>60.295846339799205</v>
      </c>
    </row>
    <row r="550" spans="1:39" x14ac:dyDescent="0.3">
      <c r="A550">
        <v>562</v>
      </c>
      <c r="B550" t="s">
        <v>1380</v>
      </c>
      <c r="C550" t="s">
        <v>1381</v>
      </c>
      <c r="D550" t="s">
        <v>1381</v>
      </c>
      <c r="E550" t="s">
        <v>1381</v>
      </c>
      <c r="F550" t="s">
        <v>1362</v>
      </c>
      <c r="G550" t="s">
        <v>1363</v>
      </c>
      <c r="H550" t="s">
        <v>1364</v>
      </c>
      <c r="I550" t="s">
        <v>1365</v>
      </c>
      <c r="J550" t="s">
        <v>36</v>
      </c>
      <c r="K550">
        <v>21019</v>
      </c>
      <c r="L550" t="s">
        <v>1366</v>
      </c>
      <c r="M550" t="s">
        <v>1367</v>
      </c>
      <c r="N550" t="s">
        <v>1367</v>
      </c>
      <c r="O550">
        <v>21000</v>
      </c>
      <c r="P550" t="s">
        <v>46</v>
      </c>
      <c r="Q550" t="s">
        <v>47</v>
      </c>
      <c r="R550" t="s">
        <v>48</v>
      </c>
      <c r="T550" t="s">
        <v>36</v>
      </c>
      <c r="U550" t="s">
        <v>36</v>
      </c>
      <c r="V550" t="s">
        <v>36</v>
      </c>
      <c r="W550">
        <v>4000</v>
      </c>
      <c r="X550" t="s">
        <v>49</v>
      </c>
      <c r="Y550" t="s">
        <v>50</v>
      </c>
      <c r="Z550" t="s">
        <v>51</v>
      </c>
      <c r="AA550" t="s">
        <v>37</v>
      </c>
      <c r="AB550" t="s">
        <v>52</v>
      </c>
      <c r="AC550" t="s">
        <v>53</v>
      </c>
      <c r="AD550" t="s">
        <v>54</v>
      </c>
      <c r="AE550">
        <v>12.0036611434</v>
      </c>
      <c r="AF550">
        <v>1925</v>
      </c>
      <c r="AG550">
        <v>1924.9961749199999</v>
      </c>
      <c r="AH550">
        <v>120038.536269</v>
      </c>
      <c r="AI550">
        <v>40</v>
      </c>
      <c r="AJ550">
        <v>19843.599951899399</v>
      </c>
      <c r="AK550" s="1">
        <f>intersection_ss_Lnight___surface[[#This Row],[surf m2 bout ss]]/intersection_ss_Lnight___surface[[#This Row],[Shape_Area]]</f>
        <v>0.16531024593161436</v>
      </c>
      <c r="AL550">
        <v>1037</v>
      </c>
      <c r="AM550">
        <f>intersection_ss_Lnight___surface[[#This Row],[Population totale 2024 ss]]*intersection_ss_Lnight___surface[[#This Row],[Part de la surface du qs dans le noise contour]]</f>
        <v>171.42672503108409</v>
      </c>
    </row>
    <row r="551" spans="1:39" x14ac:dyDescent="0.3">
      <c r="A551">
        <v>563</v>
      </c>
      <c r="B551" t="s">
        <v>1385</v>
      </c>
      <c r="C551" t="s">
        <v>1386</v>
      </c>
      <c r="D551" t="s">
        <v>1387</v>
      </c>
      <c r="E551" t="s">
        <v>1387</v>
      </c>
      <c r="F551" t="s">
        <v>1388</v>
      </c>
      <c r="G551" t="s">
        <v>1363</v>
      </c>
      <c r="H551" t="s">
        <v>1364</v>
      </c>
      <c r="I551" t="s">
        <v>1365</v>
      </c>
      <c r="J551" t="s">
        <v>36</v>
      </c>
      <c r="K551">
        <v>21019</v>
      </c>
      <c r="L551" t="s">
        <v>1366</v>
      </c>
      <c r="M551" t="s">
        <v>1367</v>
      </c>
      <c r="N551" t="s">
        <v>1367</v>
      </c>
      <c r="O551">
        <v>21000</v>
      </c>
      <c r="P551" t="s">
        <v>46</v>
      </c>
      <c r="Q551" t="s">
        <v>47</v>
      </c>
      <c r="R551" t="s">
        <v>48</v>
      </c>
      <c r="T551" t="s">
        <v>36</v>
      </c>
      <c r="U551" t="s">
        <v>36</v>
      </c>
      <c r="V551" t="s">
        <v>36</v>
      </c>
      <c r="W551">
        <v>4000</v>
      </c>
      <c r="X551" t="s">
        <v>49</v>
      </c>
      <c r="Y551" t="s">
        <v>50</v>
      </c>
      <c r="Z551" t="s">
        <v>51</v>
      </c>
      <c r="AA551" t="s">
        <v>37</v>
      </c>
      <c r="AB551" t="s">
        <v>52</v>
      </c>
      <c r="AC551" t="s">
        <v>53</v>
      </c>
      <c r="AD551" t="s">
        <v>54</v>
      </c>
      <c r="AE551">
        <v>26.391712234100002</v>
      </c>
      <c r="AF551">
        <v>2184</v>
      </c>
      <c r="AG551">
        <v>2184.18527167</v>
      </c>
      <c r="AH551">
        <v>263921.374305</v>
      </c>
      <c r="AI551">
        <v>43</v>
      </c>
      <c r="AJ551">
        <v>33150.898843984098</v>
      </c>
      <c r="AK551" s="1">
        <f>intersection_ss_Lnight___surface[[#This Row],[surf m2 bout ss]]/intersection_ss_Lnight___surface[[#This Row],[Shape_Area]]</f>
        <v>0.12560899597951228</v>
      </c>
      <c r="AL551">
        <v>2533</v>
      </c>
      <c r="AM551">
        <f>intersection_ss_Lnight___surface[[#This Row],[Population totale 2024 ss]]*intersection_ss_Lnight___surface[[#This Row],[Part de la surface du qs dans le noise contour]]</f>
        <v>318.16758681610457</v>
      </c>
    </row>
    <row r="552" spans="1:39" x14ac:dyDescent="0.3">
      <c r="A552">
        <v>564</v>
      </c>
      <c r="B552" t="s">
        <v>1385</v>
      </c>
      <c r="C552" t="s">
        <v>1386</v>
      </c>
      <c r="D552" t="s">
        <v>1387</v>
      </c>
      <c r="E552" t="s">
        <v>1387</v>
      </c>
      <c r="F552" t="s">
        <v>1388</v>
      </c>
      <c r="G552" t="s">
        <v>1363</v>
      </c>
      <c r="H552" t="s">
        <v>1364</v>
      </c>
      <c r="I552" t="s">
        <v>1365</v>
      </c>
      <c r="J552" t="s">
        <v>36</v>
      </c>
      <c r="K552">
        <v>21019</v>
      </c>
      <c r="L552" t="s">
        <v>1366</v>
      </c>
      <c r="M552" t="s">
        <v>1367</v>
      </c>
      <c r="N552" t="s">
        <v>1367</v>
      </c>
      <c r="O552">
        <v>21000</v>
      </c>
      <c r="P552" t="s">
        <v>46</v>
      </c>
      <c r="Q552" t="s">
        <v>47</v>
      </c>
      <c r="R552" t="s">
        <v>48</v>
      </c>
      <c r="T552" t="s">
        <v>36</v>
      </c>
      <c r="U552" t="s">
        <v>36</v>
      </c>
      <c r="V552" t="s">
        <v>36</v>
      </c>
      <c r="W552">
        <v>4000</v>
      </c>
      <c r="X552" t="s">
        <v>49</v>
      </c>
      <c r="Y552" t="s">
        <v>50</v>
      </c>
      <c r="Z552" t="s">
        <v>51</v>
      </c>
      <c r="AA552" t="s">
        <v>37</v>
      </c>
      <c r="AB552" t="s">
        <v>52</v>
      </c>
      <c r="AC552" t="s">
        <v>53</v>
      </c>
      <c r="AD552" t="s">
        <v>54</v>
      </c>
      <c r="AE552">
        <v>26.391712234100002</v>
      </c>
      <c r="AF552">
        <v>2184</v>
      </c>
      <c r="AG552">
        <v>2184.18527167</v>
      </c>
      <c r="AH552">
        <v>263921.374305</v>
      </c>
      <c r="AI552">
        <v>44</v>
      </c>
      <c r="AJ552">
        <v>130302.56064972701</v>
      </c>
      <c r="AK552" s="1">
        <f>intersection_ss_Lnight___surface[[#This Row],[surf m2 bout ss]]/intersection_ss_Lnight___surface[[#This Row],[Shape_Area]]</f>
        <v>0.49371734666379546</v>
      </c>
      <c r="AL552">
        <v>2533</v>
      </c>
      <c r="AM552">
        <f>intersection_ss_Lnight___surface[[#This Row],[Population totale 2024 ss]]*intersection_ss_Lnight___surface[[#This Row],[Part de la surface du qs dans le noise contour]]</f>
        <v>1250.5860390993939</v>
      </c>
    </row>
    <row r="553" spans="1:39" x14ac:dyDescent="0.3">
      <c r="A553">
        <v>565</v>
      </c>
      <c r="B553" t="s">
        <v>1385</v>
      </c>
      <c r="C553" t="s">
        <v>1386</v>
      </c>
      <c r="D553" t="s">
        <v>1387</v>
      </c>
      <c r="E553" t="s">
        <v>1387</v>
      </c>
      <c r="F553" t="s">
        <v>1388</v>
      </c>
      <c r="G553" t="s">
        <v>1363</v>
      </c>
      <c r="H553" t="s">
        <v>1364</v>
      </c>
      <c r="I553" t="s">
        <v>1365</v>
      </c>
      <c r="J553" t="s">
        <v>36</v>
      </c>
      <c r="K553">
        <v>21019</v>
      </c>
      <c r="L553" t="s">
        <v>1366</v>
      </c>
      <c r="M553" t="s">
        <v>1367</v>
      </c>
      <c r="N553" t="s">
        <v>1367</v>
      </c>
      <c r="O553">
        <v>21000</v>
      </c>
      <c r="P553" t="s">
        <v>46</v>
      </c>
      <c r="Q553" t="s">
        <v>47</v>
      </c>
      <c r="R553" t="s">
        <v>48</v>
      </c>
      <c r="T553" t="s">
        <v>36</v>
      </c>
      <c r="U553" t="s">
        <v>36</v>
      </c>
      <c r="V553" t="s">
        <v>36</v>
      </c>
      <c r="W553">
        <v>4000</v>
      </c>
      <c r="X553" t="s">
        <v>49</v>
      </c>
      <c r="Y553" t="s">
        <v>50</v>
      </c>
      <c r="Z553" t="s">
        <v>51</v>
      </c>
      <c r="AA553" t="s">
        <v>37</v>
      </c>
      <c r="AB553" t="s">
        <v>52</v>
      </c>
      <c r="AC553" t="s">
        <v>53</v>
      </c>
      <c r="AD553" t="s">
        <v>54</v>
      </c>
      <c r="AE553">
        <v>26.391712234100002</v>
      </c>
      <c r="AF553">
        <v>2184</v>
      </c>
      <c r="AG553">
        <v>2184.18527167</v>
      </c>
      <c r="AH553">
        <v>263921.374305</v>
      </c>
      <c r="AI553">
        <v>45</v>
      </c>
      <c r="AJ553">
        <v>84569.791519878403</v>
      </c>
      <c r="AK553" s="1">
        <f>intersection_ss_Lnight___surface[[#This Row],[surf m2 bout ss]]/intersection_ss_Lnight___surface[[#This Row],[Shape_Area]]</f>
        <v>0.32043555298460047</v>
      </c>
      <c r="AL553">
        <v>2533</v>
      </c>
      <c r="AM553">
        <f>intersection_ss_Lnight___surface[[#This Row],[Population totale 2024 ss]]*intersection_ss_Lnight___surface[[#This Row],[Part de la surface du qs dans le noise contour]]</f>
        <v>811.663255709993</v>
      </c>
    </row>
    <row r="554" spans="1:39" x14ac:dyDescent="0.3">
      <c r="A554">
        <v>566</v>
      </c>
      <c r="B554" t="s">
        <v>1385</v>
      </c>
      <c r="C554" t="s">
        <v>1386</v>
      </c>
      <c r="D554" t="s">
        <v>1387</v>
      </c>
      <c r="E554" t="s">
        <v>1387</v>
      </c>
      <c r="F554" t="s">
        <v>1388</v>
      </c>
      <c r="G554" t="s">
        <v>1363</v>
      </c>
      <c r="H554" t="s">
        <v>1364</v>
      </c>
      <c r="I554" t="s">
        <v>1365</v>
      </c>
      <c r="J554" t="s">
        <v>36</v>
      </c>
      <c r="K554">
        <v>21019</v>
      </c>
      <c r="L554" t="s">
        <v>1366</v>
      </c>
      <c r="M554" t="s">
        <v>1367</v>
      </c>
      <c r="N554" t="s">
        <v>1367</v>
      </c>
      <c r="O554">
        <v>21000</v>
      </c>
      <c r="P554" t="s">
        <v>46</v>
      </c>
      <c r="Q554" t="s">
        <v>47</v>
      </c>
      <c r="R554" t="s">
        <v>48</v>
      </c>
      <c r="T554" t="s">
        <v>36</v>
      </c>
      <c r="U554" t="s">
        <v>36</v>
      </c>
      <c r="V554" t="s">
        <v>36</v>
      </c>
      <c r="W554">
        <v>4000</v>
      </c>
      <c r="X554" t="s">
        <v>49</v>
      </c>
      <c r="Y554" t="s">
        <v>50</v>
      </c>
      <c r="Z554" t="s">
        <v>51</v>
      </c>
      <c r="AA554" t="s">
        <v>37</v>
      </c>
      <c r="AB554" t="s">
        <v>52</v>
      </c>
      <c r="AC554" t="s">
        <v>53</v>
      </c>
      <c r="AD554" t="s">
        <v>54</v>
      </c>
      <c r="AE554">
        <v>26.391712234100002</v>
      </c>
      <c r="AF554">
        <v>2184</v>
      </c>
      <c r="AG554">
        <v>2184.18527167</v>
      </c>
      <c r="AH554">
        <v>263921.374305</v>
      </c>
      <c r="AI554">
        <v>46</v>
      </c>
      <c r="AJ554">
        <v>15924.4756451594</v>
      </c>
      <c r="AK554" s="1">
        <f>intersection_ss_Lnight___surface[[#This Row],[surf m2 bout ss]]/intersection_ss_Lnight___surface[[#This Row],[Shape_Area]]</f>
        <v>6.0337953631433898E-2</v>
      </c>
      <c r="AL554">
        <v>2533</v>
      </c>
      <c r="AM554">
        <f>intersection_ss_Lnight___surface[[#This Row],[Population totale 2024 ss]]*intersection_ss_Lnight___surface[[#This Row],[Part de la surface du qs dans le noise contour]]</f>
        <v>152.83603654842207</v>
      </c>
    </row>
    <row r="555" spans="1:39" x14ac:dyDescent="0.3">
      <c r="A555">
        <v>567</v>
      </c>
      <c r="B555" t="s">
        <v>1389</v>
      </c>
      <c r="C555" t="s">
        <v>1390</v>
      </c>
      <c r="D555" t="s">
        <v>1391</v>
      </c>
      <c r="E555" t="s">
        <v>1391</v>
      </c>
      <c r="F555" t="s">
        <v>1388</v>
      </c>
      <c r="G555" t="s">
        <v>1363</v>
      </c>
      <c r="H555" t="s">
        <v>1364</v>
      </c>
      <c r="I555" t="s">
        <v>1365</v>
      </c>
      <c r="J555" t="s">
        <v>36</v>
      </c>
      <c r="K555">
        <v>21019</v>
      </c>
      <c r="L555" t="s">
        <v>1366</v>
      </c>
      <c r="M555" t="s">
        <v>1367</v>
      </c>
      <c r="N555" t="s">
        <v>1367</v>
      </c>
      <c r="O555">
        <v>21000</v>
      </c>
      <c r="P555" t="s">
        <v>46</v>
      </c>
      <c r="Q555" t="s">
        <v>47</v>
      </c>
      <c r="R555" t="s">
        <v>48</v>
      </c>
      <c r="T555" t="s">
        <v>36</v>
      </c>
      <c r="U555" t="s">
        <v>36</v>
      </c>
      <c r="V555" t="s">
        <v>36</v>
      </c>
      <c r="W555">
        <v>4000</v>
      </c>
      <c r="X555" t="s">
        <v>49</v>
      </c>
      <c r="Y555" t="s">
        <v>50</v>
      </c>
      <c r="Z555" t="s">
        <v>51</v>
      </c>
      <c r="AA555" t="s">
        <v>37</v>
      </c>
      <c r="AB555" t="s">
        <v>52</v>
      </c>
      <c r="AC555" t="s">
        <v>53</v>
      </c>
      <c r="AD555" t="s">
        <v>54</v>
      </c>
      <c r="AE555">
        <v>32.2304247346</v>
      </c>
      <c r="AF555">
        <v>2547</v>
      </c>
      <c r="AG555">
        <v>2547.2314379700001</v>
      </c>
      <c r="AH555">
        <v>322309.43720099999</v>
      </c>
      <c r="AI555">
        <v>42</v>
      </c>
      <c r="AJ555">
        <v>6462.8883629273596</v>
      </c>
      <c r="AK555" s="1">
        <f>intersection_ss_Lnight___surface[[#This Row],[surf m2 bout ss]]/intersection_ss_Lnight___surface[[#This Row],[Shape_Area]]</f>
        <v>2.0051812379595156E-2</v>
      </c>
      <c r="AL555">
        <v>1091</v>
      </c>
      <c r="AM555">
        <f>intersection_ss_Lnight___surface[[#This Row],[Population totale 2024 ss]]*intersection_ss_Lnight___surface[[#This Row],[Part de la surface du qs dans le noise contour]]</f>
        <v>21.876527306138314</v>
      </c>
    </row>
    <row r="556" spans="1:39" x14ac:dyDescent="0.3">
      <c r="A556">
        <v>568</v>
      </c>
      <c r="B556" t="s">
        <v>1389</v>
      </c>
      <c r="C556" t="s">
        <v>1390</v>
      </c>
      <c r="D556" t="s">
        <v>1391</v>
      </c>
      <c r="E556" t="s">
        <v>1391</v>
      </c>
      <c r="F556" t="s">
        <v>1388</v>
      </c>
      <c r="G556" t="s">
        <v>1363</v>
      </c>
      <c r="H556" t="s">
        <v>1364</v>
      </c>
      <c r="I556" t="s">
        <v>1365</v>
      </c>
      <c r="J556" t="s">
        <v>36</v>
      </c>
      <c r="K556">
        <v>21019</v>
      </c>
      <c r="L556" t="s">
        <v>1366</v>
      </c>
      <c r="M556" t="s">
        <v>1367</v>
      </c>
      <c r="N556" t="s">
        <v>1367</v>
      </c>
      <c r="O556">
        <v>21000</v>
      </c>
      <c r="P556" t="s">
        <v>46</v>
      </c>
      <c r="Q556" t="s">
        <v>47</v>
      </c>
      <c r="R556" t="s">
        <v>48</v>
      </c>
      <c r="T556" t="s">
        <v>36</v>
      </c>
      <c r="U556" t="s">
        <v>36</v>
      </c>
      <c r="V556" t="s">
        <v>36</v>
      </c>
      <c r="W556">
        <v>4000</v>
      </c>
      <c r="X556" t="s">
        <v>49</v>
      </c>
      <c r="Y556" t="s">
        <v>50</v>
      </c>
      <c r="Z556" t="s">
        <v>51</v>
      </c>
      <c r="AA556" t="s">
        <v>37</v>
      </c>
      <c r="AB556" t="s">
        <v>52</v>
      </c>
      <c r="AC556" t="s">
        <v>53</v>
      </c>
      <c r="AD556" t="s">
        <v>54</v>
      </c>
      <c r="AE556">
        <v>32.2304247346</v>
      </c>
      <c r="AF556">
        <v>2547</v>
      </c>
      <c r="AG556">
        <v>2547.2314379700001</v>
      </c>
      <c r="AH556">
        <v>322309.43720099999</v>
      </c>
      <c r="AI556">
        <v>43</v>
      </c>
      <c r="AJ556">
        <v>82777.812703726202</v>
      </c>
      <c r="AK556" s="1">
        <f>intersection_ss_Lnight___surface[[#This Row],[surf m2 bout ss]]/intersection_ss_Lnight___surface[[#This Row],[Shape_Area]]</f>
        <v>0.25682714543696078</v>
      </c>
      <c r="AL556">
        <v>1091</v>
      </c>
      <c r="AM556">
        <f>intersection_ss_Lnight___surface[[#This Row],[Population totale 2024 ss]]*intersection_ss_Lnight___surface[[#This Row],[Part de la surface du qs dans le noise contour]]</f>
        <v>280.19841567172421</v>
      </c>
    </row>
    <row r="557" spans="1:39" x14ac:dyDescent="0.3">
      <c r="A557">
        <v>569</v>
      </c>
      <c r="B557" t="s">
        <v>1389</v>
      </c>
      <c r="C557" t="s">
        <v>1390</v>
      </c>
      <c r="D557" t="s">
        <v>1391</v>
      </c>
      <c r="E557" t="s">
        <v>1391</v>
      </c>
      <c r="F557" t="s">
        <v>1388</v>
      </c>
      <c r="G557" t="s">
        <v>1363</v>
      </c>
      <c r="H557" t="s">
        <v>1364</v>
      </c>
      <c r="I557" t="s">
        <v>1365</v>
      </c>
      <c r="J557" t="s">
        <v>36</v>
      </c>
      <c r="K557">
        <v>21019</v>
      </c>
      <c r="L557" t="s">
        <v>1366</v>
      </c>
      <c r="M557" t="s">
        <v>1367</v>
      </c>
      <c r="N557" t="s">
        <v>1367</v>
      </c>
      <c r="O557">
        <v>21000</v>
      </c>
      <c r="P557" t="s">
        <v>46</v>
      </c>
      <c r="Q557" t="s">
        <v>47</v>
      </c>
      <c r="R557" t="s">
        <v>48</v>
      </c>
      <c r="T557" t="s">
        <v>36</v>
      </c>
      <c r="U557" t="s">
        <v>36</v>
      </c>
      <c r="V557" t="s">
        <v>36</v>
      </c>
      <c r="W557">
        <v>4000</v>
      </c>
      <c r="X557" t="s">
        <v>49</v>
      </c>
      <c r="Y557" t="s">
        <v>50</v>
      </c>
      <c r="Z557" t="s">
        <v>51</v>
      </c>
      <c r="AA557" t="s">
        <v>37</v>
      </c>
      <c r="AB557" t="s">
        <v>52</v>
      </c>
      <c r="AC557" t="s">
        <v>53</v>
      </c>
      <c r="AD557" t="s">
        <v>54</v>
      </c>
      <c r="AE557">
        <v>32.2304247346</v>
      </c>
      <c r="AF557">
        <v>2547</v>
      </c>
      <c r="AG557">
        <v>2547.2314379700001</v>
      </c>
      <c r="AH557">
        <v>322309.43720099999</v>
      </c>
      <c r="AI557">
        <v>44</v>
      </c>
      <c r="AJ557">
        <v>110627.657266129</v>
      </c>
      <c r="AK557" s="1">
        <f>intersection_ss_Lnight___surface[[#This Row],[surf m2 bout ss]]/intersection_ss_Lnight___surface[[#This Row],[Shape_Area]]</f>
        <v>0.34323430994401477</v>
      </c>
      <c r="AL557">
        <v>1091</v>
      </c>
      <c r="AM557">
        <f>intersection_ss_Lnight___surface[[#This Row],[Population totale 2024 ss]]*intersection_ss_Lnight___surface[[#This Row],[Part de la surface du qs dans le noise contour]]</f>
        <v>374.46863214892011</v>
      </c>
    </row>
    <row r="558" spans="1:39" x14ac:dyDescent="0.3">
      <c r="A558">
        <v>570</v>
      </c>
      <c r="B558" t="s">
        <v>1389</v>
      </c>
      <c r="C558" t="s">
        <v>1390</v>
      </c>
      <c r="D558" t="s">
        <v>1391</v>
      </c>
      <c r="E558" t="s">
        <v>1391</v>
      </c>
      <c r="F558" t="s">
        <v>1388</v>
      </c>
      <c r="G558" t="s">
        <v>1363</v>
      </c>
      <c r="H558" t="s">
        <v>1364</v>
      </c>
      <c r="I558" t="s">
        <v>1365</v>
      </c>
      <c r="J558" t="s">
        <v>36</v>
      </c>
      <c r="K558">
        <v>21019</v>
      </c>
      <c r="L558" t="s">
        <v>1366</v>
      </c>
      <c r="M558" t="s">
        <v>1367</v>
      </c>
      <c r="N558" t="s">
        <v>1367</v>
      </c>
      <c r="O558">
        <v>21000</v>
      </c>
      <c r="P558" t="s">
        <v>46</v>
      </c>
      <c r="Q558" t="s">
        <v>47</v>
      </c>
      <c r="R558" t="s">
        <v>48</v>
      </c>
      <c r="T558" t="s">
        <v>36</v>
      </c>
      <c r="U558" t="s">
        <v>36</v>
      </c>
      <c r="V558" t="s">
        <v>36</v>
      </c>
      <c r="W558">
        <v>4000</v>
      </c>
      <c r="X558" t="s">
        <v>49</v>
      </c>
      <c r="Y558" t="s">
        <v>50</v>
      </c>
      <c r="Z558" t="s">
        <v>51</v>
      </c>
      <c r="AA558" t="s">
        <v>37</v>
      </c>
      <c r="AB558" t="s">
        <v>52</v>
      </c>
      <c r="AC558" t="s">
        <v>53</v>
      </c>
      <c r="AD558" t="s">
        <v>54</v>
      </c>
      <c r="AE558">
        <v>32.2304247346</v>
      </c>
      <c r="AF558">
        <v>2547</v>
      </c>
      <c r="AG558">
        <v>2547.2314379700001</v>
      </c>
      <c r="AH558">
        <v>322309.43720099999</v>
      </c>
      <c r="AI558">
        <v>45</v>
      </c>
      <c r="AJ558">
        <v>73912.655530337506</v>
      </c>
      <c r="AK558" s="1">
        <f>intersection_ss_Lnight___surface[[#This Row],[surf m2 bout ss]]/intersection_ss_Lnight___surface[[#This Row],[Shape_Area]]</f>
        <v>0.2293220334229425</v>
      </c>
      <c r="AL558">
        <v>1091</v>
      </c>
      <c r="AM558">
        <f>intersection_ss_Lnight___surface[[#This Row],[Population totale 2024 ss]]*intersection_ss_Lnight___surface[[#This Row],[Part de la surface du qs dans le noise contour]]</f>
        <v>250.19033846443025</v>
      </c>
    </row>
    <row r="559" spans="1:39" x14ac:dyDescent="0.3">
      <c r="A559">
        <v>571</v>
      </c>
      <c r="B559" t="s">
        <v>1389</v>
      </c>
      <c r="C559" t="s">
        <v>1390</v>
      </c>
      <c r="D559" t="s">
        <v>1391</v>
      </c>
      <c r="E559" t="s">
        <v>1391</v>
      </c>
      <c r="F559" t="s">
        <v>1388</v>
      </c>
      <c r="G559" t="s">
        <v>1363</v>
      </c>
      <c r="H559" t="s">
        <v>1364</v>
      </c>
      <c r="I559" t="s">
        <v>1365</v>
      </c>
      <c r="J559" t="s">
        <v>36</v>
      </c>
      <c r="K559">
        <v>21019</v>
      </c>
      <c r="L559" t="s">
        <v>1366</v>
      </c>
      <c r="M559" t="s">
        <v>1367</v>
      </c>
      <c r="N559" t="s">
        <v>1367</v>
      </c>
      <c r="O559">
        <v>21000</v>
      </c>
      <c r="P559" t="s">
        <v>46</v>
      </c>
      <c r="Q559" t="s">
        <v>47</v>
      </c>
      <c r="R559" t="s">
        <v>48</v>
      </c>
      <c r="T559" t="s">
        <v>36</v>
      </c>
      <c r="U559" t="s">
        <v>36</v>
      </c>
      <c r="V559" t="s">
        <v>36</v>
      </c>
      <c r="W559">
        <v>4000</v>
      </c>
      <c r="X559" t="s">
        <v>49</v>
      </c>
      <c r="Y559" t="s">
        <v>50</v>
      </c>
      <c r="Z559" t="s">
        <v>51</v>
      </c>
      <c r="AA559" t="s">
        <v>37</v>
      </c>
      <c r="AB559" t="s">
        <v>52</v>
      </c>
      <c r="AC559" t="s">
        <v>53</v>
      </c>
      <c r="AD559" t="s">
        <v>54</v>
      </c>
      <c r="AE559">
        <v>32.2304247346</v>
      </c>
      <c r="AF559">
        <v>2547</v>
      </c>
      <c r="AG559">
        <v>2547.2314379700001</v>
      </c>
      <c r="AH559">
        <v>322309.43720099999</v>
      </c>
      <c r="AI559">
        <v>46</v>
      </c>
      <c r="AJ559">
        <v>44697.771967323002</v>
      </c>
      <c r="AK559" s="1">
        <f>intersection_ss_Lnight___surface[[#This Row],[surf m2 bout ss]]/intersection_ss_Lnight___surface[[#This Row],[Shape_Area]]</f>
        <v>0.13867968730759933</v>
      </c>
      <c r="AL559">
        <v>1091</v>
      </c>
      <c r="AM559">
        <f>intersection_ss_Lnight___surface[[#This Row],[Population totale 2024 ss]]*intersection_ss_Lnight___surface[[#This Row],[Part de la surface du qs dans le noise contour]]</f>
        <v>151.29953885259087</v>
      </c>
    </row>
    <row r="560" spans="1:39" x14ac:dyDescent="0.3">
      <c r="A560">
        <v>572</v>
      </c>
      <c r="B560" t="s">
        <v>1389</v>
      </c>
      <c r="C560" t="s">
        <v>1390</v>
      </c>
      <c r="D560" t="s">
        <v>1391</v>
      </c>
      <c r="E560" t="s">
        <v>1391</v>
      </c>
      <c r="F560" t="s">
        <v>1388</v>
      </c>
      <c r="G560" t="s">
        <v>1363</v>
      </c>
      <c r="H560" t="s">
        <v>1364</v>
      </c>
      <c r="I560" t="s">
        <v>1365</v>
      </c>
      <c r="J560" t="s">
        <v>36</v>
      </c>
      <c r="K560">
        <v>21019</v>
      </c>
      <c r="L560" t="s">
        <v>1366</v>
      </c>
      <c r="M560" t="s">
        <v>1367</v>
      </c>
      <c r="N560" t="s">
        <v>1367</v>
      </c>
      <c r="O560">
        <v>21000</v>
      </c>
      <c r="P560" t="s">
        <v>46</v>
      </c>
      <c r="Q560" t="s">
        <v>47</v>
      </c>
      <c r="R560" t="s">
        <v>48</v>
      </c>
      <c r="T560" t="s">
        <v>36</v>
      </c>
      <c r="U560" t="s">
        <v>36</v>
      </c>
      <c r="V560" t="s">
        <v>36</v>
      </c>
      <c r="W560">
        <v>4000</v>
      </c>
      <c r="X560" t="s">
        <v>49</v>
      </c>
      <c r="Y560" t="s">
        <v>50</v>
      </c>
      <c r="Z560" t="s">
        <v>51</v>
      </c>
      <c r="AA560" t="s">
        <v>37</v>
      </c>
      <c r="AB560" t="s">
        <v>52</v>
      </c>
      <c r="AC560" t="s">
        <v>53</v>
      </c>
      <c r="AD560" t="s">
        <v>54</v>
      </c>
      <c r="AE560">
        <v>32.2304247346</v>
      </c>
      <c r="AF560">
        <v>2547</v>
      </c>
      <c r="AG560">
        <v>2547.2314379700001</v>
      </c>
      <c r="AH560">
        <v>322309.43720099999</v>
      </c>
      <c r="AI560">
        <v>47</v>
      </c>
      <c r="AJ560">
        <v>3863.2027804907402</v>
      </c>
      <c r="AK560" s="1">
        <f>intersection_ss_Lnight___surface[[#This Row],[surf m2 bout ss]]/intersection_ss_Lnight___surface[[#This Row],[Shape_Area]]</f>
        <v>1.1986005790086603E-2</v>
      </c>
      <c r="AL560">
        <v>1091</v>
      </c>
      <c r="AM560">
        <f>intersection_ss_Lnight___surface[[#This Row],[Population totale 2024 ss]]*intersection_ss_Lnight___surface[[#This Row],[Part de la surface du qs dans le noise contour]]</f>
        <v>13.076732316984485</v>
      </c>
    </row>
    <row r="561" spans="1:39" x14ac:dyDescent="0.3">
      <c r="A561">
        <v>573</v>
      </c>
      <c r="B561" t="s">
        <v>1392</v>
      </c>
      <c r="C561" t="s">
        <v>1393</v>
      </c>
      <c r="D561" t="s">
        <v>1394</v>
      </c>
      <c r="E561" t="s">
        <v>1394</v>
      </c>
      <c r="F561" t="s">
        <v>1388</v>
      </c>
      <c r="G561" t="s">
        <v>1363</v>
      </c>
      <c r="H561" t="s">
        <v>1364</v>
      </c>
      <c r="I561" t="s">
        <v>1365</v>
      </c>
      <c r="J561" t="s">
        <v>36</v>
      </c>
      <c r="K561">
        <v>21019</v>
      </c>
      <c r="L561" t="s">
        <v>1366</v>
      </c>
      <c r="M561" t="s">
        <v>1367</v>
      </c>
      <c r="N561" t="s">
        <v>1367</v>
      </c>
      <c r="O561">
        <v>21000</v>
      </c>
      <c r="P561" t="s">
        <v>46</v>
      </c>
      <c r="Q561" t="s">
        <v>47</v>
      </c>
      <c r="R561" t="s">
        <v>48</v>
      </c>
      <c r="T561" t="s">
        <v>36</v>
      </c>
      <c r="U561" t="s">
        <v>36</v>
      </c>
      <c r="V561" t="s">
        <v>36</v>
      </c>
      <c r="W561">
        <v>4000</v>
      </c>
      <c r="X561" t="s">
        <v>49</v>
      </c>
      <c r="Y561" t="s">
        <v>50</v>
      </c>
      <c r="Z561" t="s">
        <v>51</v>
      </c>
      <c r="AA561" t="s">
        <v>37</v>
      </c>
      <c r="AB561" t="s">
        <v>52</v>
      </c>
      <c r="AC561" t="s">
        <v>53</v>
      </c>
      <c r="AD561" t="s">
        <v>54</v>
      </c>
      <c r="AE561">
        <v>21.386016987200001</v>
      </c>
      <c r="AF561">
        <v>1937</v>
      </c>
      <c r="AG561">
        <v>1937.17759671</v>
      </c>
      <c r="AH561">
        <v>213863.60789000001</v>
      </c>
      <c r="AI561">
        <v>42</v>
      </c>
      <c r="AJ561">
        <v>61629.7268263726</v>
      </c>
      <c r="AK561" s="1">
        <f>intersection_ss_Lnight___surface[[#This Row],[surf m2 bout ss]]/intersection_ss_Lnight___surface[[#This Row],[Shape_Area]]</f>
        <v>0.28817304371892777</v>
      </c>
      <c r="AL561">
        <v>582</v>
      </c>
      <c r="AM561">
        <f>intersection_ss_Lnight___surface[[#This Row],[Population totale 2024 ss]]*intersection_ss_Lnight___surface[[#This Row],[Part de la surface du qs dans le noise contour]]</f>
        <v>167.71671144441595</v>
      </c>
    </row>
    <row r="562" spans="1:39" x14ac:dyDescent="0.3">
      <c r="A562">
        <v>574</v>
      </c>
      <c r="B562" t="s">
        <v>1392</v>
      </c>
      <c r="C562" t="s">
        <v>1393</v>
      </c>
      <c r="D562" t="s">
        <v>1394</v>
      </c>
      <c r="E562" t="s">
        <v>1394</v>
      </c>
      <c r="F562" t="s">
        <v>1388</v>
      </c>
      <c r="G562" t="s">
        <v>1363</v>
      </c>
      <c r="H562" t="s">
        <v>1364</v>
      </c>
      <c r="I562" t="s">
        <v>1365</v>
      </c>
      <c r="J562" t="s">
        <v>36</v>
      </c>
      <c r="K562">
        <v>21019</v>
      </c>
      <c r="L562" t="s">
        <v>1366</v>
      </c>
      <c r="M562" t="s">
        <v>1367</v>
      </c>
      <c r="N562" t="s">
        <v>1367</v>
      </c>
      <c r="O562">
        <v>21000</v>
      </c>
      <c r="P562" t="s">
        <v>46</v>
      </c>
      <c r="Q562" t="s">
        <v>47</v>
      </c>
      <c r="R562" t="s">
        <v>48</v>
      </c>
      <c r="T562" t="s">
        <v>36</v>
      </c>
      <c r="U562" t="s">
        <v>36</v>
      </c>
      <c r="V562" t="s">
        <v>36</v>
      </c>
      <c r="W562">
        <v>4000</v>
      </c>
      <c r="X562" t="s">
        <v>49</v>
      </c>
      <c r="Y562" t="s">
        <v>50</v>
      </c>
      <c r="Z562" t="s">
        <v>51</v>
      </c>
      <c r="AA562" t="s">
        <v>37</v>
      </c>
      <c r="AB562" t="s">
        <v>52</v>
      </c>
      <c r="AC562" t="s">
        <v>53</v>
      </c>
      <c r="AD562" t="s">
        <v>54</v>
      </c>
      <c r="AE562">
        <v>21.386016987200001</v>
      </c>
      <c r="AF562">
        <v>1937</v>
      </c>
      <c r="AG562">
        <v>1937.17759671</v>
      </c>
      <c r="AH562">
        <v>213863.60789000001</v>
      </c>
      <c r="AI562">
        <v>43</v>
      </c>
      <c r="AJ562">
        <v>129805.67760160301</v>
      </c>
      <c r="AK562" s="1">
        <f>intersection_ss_Lnight___surface[[#This Row],[surf m2 bout ss]]/intersection_ss_Lnight___surface[[#This Row],[Shape_Area]]</f>
        <v>0.60695542772460886</v>
      </c>
      <c r="AL562">
        <v>582</v>
      </c>
      <c r="AM562">
        <f>intersection_ss_Lnight___surface[[#This Row],[Population totale 2024 ss]]*intersection_ss_Lnight___surface[[#This Row],[Part de la surface du qs dans le noise contour]]</f>
        <v>353.24805893572238</v>
      </c>
    </row>
    <row r="563" spans="1:39" x14ac:dyDescent="0.3">
      <c r="A563">
        <v>575</v>
      </c>
      <c r="B563" t="s">
        <v>1392</v>
      </c>
      <c r="C563" t="s">
        <v>1393</v>
      </c>
      <c r="D563" t="s">
        <v>1394</v>
      </c>
      <c r="E563" t="s">
        <v>1394</v>
      </c>
      <c r="F563" t="s">
        <v>1388</v>
      </c>
      <c r="G563" t="s">
        <v>1363</v>
      </c>
      <c r="H563" t="s">
        <v>1364</v>
      </c>
      <c r="I563" t="s">
        <v>1365</v>
      </c>
      <c r="J563" t="s">
        <v>36</v>
      </c>
      <c r="K563">
        <v>21019</v>
      </c>
      <c r="L563" t="s">
        <v>1366</v>
      </c>
      <c r="M563" t="s">
        <v>1367</v>
      </c>
      <c r="N563" t="s">
        <v>1367</v>
      </c>
      <c r="O563">
        <v>21000</v>
      </c>
      <c r="P563" t="s">
        <v>46</v>
      </c>
      <c r="Q563" t="s">
        <v>47</v>
      </c>
      <c r="R563" t="s">
        <v>48</v>
      </c>
      <c r="T563" t="s">
        <v>36</v>
      </c>
      <c r="U563" t="s">
        <v>36</v>
      </c>
      <c r="V563" t="s">
        <v>36</v>
      </c>
      <c r="W563">
        <v>4000</v>
      </c>
      <c r="X563" t="s">
        <v>49</v>
      </c>
      <c r="Y563" t="s">
        <v>50</v>
      </c>
      <c r="Z563" t="s">
        <v>51</v>
      </c>
      <c r="AA563" t="s">
        <v>37</v>
      </c>
      <c r="AB563" t="s">
        <v>52</v>
      </c>
      <c r="AC563" t="s">
        <v>53</v>
      </c>
      <c r="AD563" t="s">
        <v>54</v>
      </c>
      <c r="AE563">
        <v>21.386016987200001</v>
      </c>
      <c r="AF563">
        <v>1937</v>
      </c>
      <c r="AG563">
        <v>1937.17759671</v>
      </c>
      <c r="AH563">
        <v>213863.60789000001</v>
      </c>
      <c r="AI563">
        <v>44</v>
      </c>
      <c r="AJ563">
        <v>22449.701363289299</v>
      </c>
      <c r="AK563" s="1">
        <f>intersection_ss_Lnight___surface[[#This Row],[surf m2 bout ss]]/intersection_ss_Lnight___surface[[#This Row],[Shape_Area]]</f>
        <v>0.10497205010604807</v>
      </c>
      <c r="AL563">
        <v>582</v>
      </c>
      <c r="AM563">
        <f>intersection_ss_Lnight___surface[[#This Row],[Population totale 2024 ss]]*intersection_ss_Lnight___surface[[#This Row],[Part de la surface du qs dans le noise contour]]</f>
        <v>61.093733161719975</v>
      </c>
    </row>
    <row r="564" spans="1:39" x14ac:dyDescent="0.3">
      <c r="A564">
        <v>576</v>
      </c>
      <c r="B564" t="s">
        <v>1395</v>
      </c>
      <c r="C564" t="s">
        <v>1396</v>
      </c>
      <c r="D564" t="s">
        <v>1396</v>
      </c>
      <c r="E564" t="s">
        <v>1396</v>
      </c>
      <c r="F564" t="s">
        <v>1388</v>
      </c>
      <c r="G564" t="s">
        <v>1363</v>
      </c>
      <c r="H564" t="s">
        <v>1364</v>
      </c>
      <c r="I564" t="s">
        <v>1365</v>
      </c>
      <c r="J564" t="s">
        <v>36</v>
      </c>
      <c r="K564">
        <v>21019</v>
      </c>
      <c r="L564" t="s">
        <v>1366</v>
      </c>
      <c r="M564" t="s">
        <v>1367</v>
      </c>
      <c r="N564" t="s">
        <v>1367</v>
      </c>
      <c r="O564">
        <v>21000</v>
      </c>
      <c r="P564" t="s">
        <v>46</v>
      </c>
      <c r="Q564" t="s">
        <v>47</v>
      </c>
      <c r="R564" t="s">
        <v>48</v>
      </c>
      <c r="T564" t="s">
        <v>36</v>
      </c>
      <c r="U564" t="s">
        <v>36</v>
      </c>
      <c r="V564" t="s">
        <v>36</v>
      </c>
      <c r="W564">
        <v>4000</v>
      </c>
      <c r="X564" t="s">
        <v>49</v>
      </c>
      <c r="Y564" t="s">
        <v>50</v>
      </c>
      <c r="Z564" t="s">
        <v>51</v>
      </c>
      <c r="AA564" t="s">
        <v>37</v>
      </c>
      <c r="AB564" t="s">
        <v>52</v>
      </c>
      <c r="AC564" t="s">
        <v>53</v>
      </c>
      <c r="AD564" t="s">
        <v>54</v>
      </c>
      <c r="AE564">
        <v>27.465124213900001</v>
      </c>
      <c r="AF564">
        <v>2554</v>
      </c>
      <c r="AG564">
        <v>2554.0049551900001</v>
      </c>
      <c r="AH564">
        <v>274655.66463499999</v>
      </c>
      <c r="AI564">
        <v>41</v>
      </c>
      <c r="AJ564">
        <v>127767.171728513</v>
      </c>
      <c r="AK564" s="1">
        <f>intersection_ss_Lnight___surface[[#This Row],[surf m2 bout ss]]/intersection_ss_Lnight___surface[[#This Row],[Shape_Area]]</f>
        <v>0.46519037536803581</v>
      </c>
      <c r="AL564">
        <v>1844</v>
      </c>
      <c r="AM564">
        <f>intersection_ss_Lnight___surface[[#This Row],[Population totale 2024 ss]]*intersection_ss_Lnight___surface[[#This Row],[Part de la surface du qs dans le noise contour]]</f>
        <v>857.81105217865809</v>
      </c>
    </row>
    <row r="565" spans="1:39" x14ac:dyDescent="0.3">
      <c r="A565">
        <v>577</v>
      </c>
      <c r="B565" t="s">
        <v>1395</v>
      </c>
      <c r="C565" t="s">
        <v>1396</v>
      </c>
      <c r="D565" t="s">
        <v>1396</v>
      </c>
      <c r="E565" t="s">
        <v>1396</v>
      </c>
      <c r="F565" t="s">
        <v>1388</v>
      </c>
      <c r="G565" t="s">
        <v>1363</v>
      </c>
      <c r="H565" t="s">
        <v>1364</v>
      </c>
      <c r="I565" t="s">
        <v>1365</v>
      </c>
      <c r="J565" t="s">
        <v>36</v>
      </c>
      <c r="K565">
        <v>21019</v>
      </c>
      <c r="L565" t="s">
        <v>1366</v>
      </c>
      <c r="M565" t="s">
        <v>1367</v>
      </c>
      <c r="N565" t="s">
        <v>1367</v>
      </c>
      <c r="O565">
        <v>21000</v>
      </c>
      <c r="P565" t="s">
        <v>46</v>
      </c>
      <c r="Q565" t="s">
        <v>47</v>
      </c>
      <c r="R565" t="s">
        <v>48</v>
      </c>
      <c r="T565" t="s">
        <v>36</v>
      </c>
      <c r="U565" t="s">
        <v>36</v>
      </c>
      <c r="V565" t="s">
        <v>36</v>
      </c>
      <c r="W565">
        <v>4000</v>
      </c>
      <c r="X565" t="s">
        <v>49</v>
      </c>
      <c r="Y565" t="s">
        <v>50</v>
      </c>
      <c r="Z565" t="s">
        <v>51</v>
      </c>
      <c r="AA565" t="s">
        <v>37</v>
      </c>
      <c r="AB565" t="s">
        <v>52</v>
      </c>
      <c r="AC565" t="s">
        <v>53</v>
      </c>
      <c r="AD565" t="s">
        <v>54</v>
      </c>
      <c r="AE565">
        <v>27.465124213900001</v>
      </c>
      <c r="AF565">
        <v>2554</v>
      </c>
      <c r="AG565">
        <v>2554.0049551900001</v>
      </c>
      <c r="AH565">
        <v>274655.66463499999</v>
      </c>
      <c r="AI565">
        <v>42</v>
      </c>
      <c r="AJ565">
        <v>131202.30132936101</v>
      </c>
      <c r="AK565" s="1">
        <f>intersection_ss_Lnight___surface[[#This Row],[surf m2 bout ss]]/intersection_ss_Lnight___surface[[#This Row],[Shape_Area]]</f>
        <v>0.47769741615823058</v>
      </c>
      <c r="AL565">
        <v>1844</v>
      </c>
      <c r="AM565">
        <f>intersection_ss_Lnight___surface[[#This Row],[Population totale 2024 ss]]*intersection_ss_Lnight___surface[[#This Row],[Part de la surface du qs dans le noise contour]]</f>
        <v>880.87403539577724</v>
      </c>
    </row>
    <row r="566" spans="1:39" x14ac:dyDescent="0.3">
      <c r="A566">
        <v>578</v>
      </c>
      <c r="B566" t="s">
        <v>1395</v>
      </c>
      <c r="C566" t="s">
        <v>1396</v>
      </c>
      <c r="D566" t="s">
        <v>1396</v>
      </c>
      <c r="E566" t="s">
        <v>1396</v>
      </c>
      <c r="F566" t="s">
        <v>1388</v>
      </c>
      <c r="G566" t="s">
        <v>1363</v>
      </c>
      <c r="H566" t="s">
        <v>1364</v>
      </c>
      <c r="I566" t="s">
        <v>1365</v>
      </c>
      <c r="J566" t="s">
        <v>36</v>
      </c>
      <c r="K566">
        <v>21019</v>
      </c>
      <c r="L566" t="s">
        <v>1366</v>
      </c>
      <c r="M566" t="s">
        <v>1367</v>
      </c>
      <c r="N566" t="s">
        <v>1367</v>
      </c>
      <c r="O566">
        <v>21000</v>
      </c>
      <c r="P566" t="s">
        <v>46</v>
      </c>
      <c r="Q566" t="s">
        <v>47</v>
      </c>
      <c r="R566" t="s">
        <v>48</v>
      </c>
      <c r="T566" t="s">
        <v>36</v>
      </c>
      <c r="U566" t="s">
        <v>36</v>
      </c>
      <c r="V566" t="s">
        <v>36</v>
      </c>
      <c r="W566">
        <v>4000</v>
      </c>
      <c r="X566" t="s">
        <v>49</v>
      </c>
      <c r="Y566" t="s">
        <v>50</v>
      </c>
      <c r="Z566" t="s">
        <v>51</v>
      </c>
      <c r="AA566" t="s">
        <v>37</v>
      </c>
      <c r="AB566" t="s">
        <v>52</v>
      </c>
      <c r="AC566" t="s">
        <v>53</v>
      </c>
      <c r="AD566" t="s">
        <v>54</v>
      </c>
      <c r="AE566">
        <v>27.465124213900001</v>
      </c>
      <c r="AF566">
        <v>2554</v>
      </c>
      <c r="AG566">
        <v>2554.0049551900001</v>
      </c>
      <c r="AH566">
        <v>274655.66463499999</v>
      </c>
      <c r="AI566">
        <v>43</v>
      </c>
      <c r="AJ566">
        <v>15713.788197231001</v>
      </c>
      <c r="AK566" s="1">
        <f>intersection_ss_Lnight___surface[[#This Row],[surf m2 bout ss]]/intersection_ss_Lnight___surface[[#This Row],[Shape_Area]]</f>
        <v>5.7212685629890909E-2</v>
      </c>
      <c r="AL566">
        <v>1844</v>
      </c>
      <c r="AM566">
        <f>intersection_ss_Lnight___surface[[#This Row],[Population totale 2024 ss]]*intersection_ss_Lnight___surface[[#This Row],[Part de la surface du qs dans le noise contour]]</f>
        <v>105.50019230151884</v>
      </c>
    </row>
    <row r="567" spans="1:39" x14ac:dyDescent="0.3">
      <c r="A567">
        <v>579</v>
      </c>
      <c r="B567" t="s">
        <v>1397</v>
      </c>
      <c r="C567" t="s">
        <v>1398</v>
      </c>
      <c r="D567" t="s">
        <v>1399</v>
      </c>
      <c r="E567" t="s">
        <v>1399</v>
      </c>
      <c r="F567" t="s">
        <v>1388</v>
      </c>
      <c r="G567" t="s">
        <v>1363</v>
      </c>
      <c r="H567" t="s">
        <v>1364</v>
      </c>
      <c r="I567" t="s">
        <v>1365</v>
      </c>
      <c r="J567" t="s">
        <v>36</v>
      </c>
      <c r="K567">
        <v>21019</v>
      </c>
      <c r="L567" t="s">
        <v>1366</v>
      </c>
      <c r="M567" t="s">
        <v>1367</v>
      </c>
      <c r="N567" t="s">
        <v>1367</v>
      </c>
      <c r="O567">
        <v>21000</v>
      </c>
      <c r="P567" t="s">
        <v>46</v>
      </c>
      <c r="Q567" t="s">
        <v>47</v>
      </c>
      <c r="R567" t="s">
        <v>48</v>
      </c>
      <c r="T567" t="s">
        <v>36</v>
      </c>
      <c r="U567" t="s">
        <v>36</v>
      </c>
      <c r="V567" t="s">
        <v>36</v>
      </c>
      <c r="W567">
        <v>4000</v>
      </c>
      <c r="X567" t="s">
        <v>49</v>
      </c>
      <c r="Y567" t="s">
        <v>50</v>
      </c>
      <c r="Z567" t="s">
        <v>51</v>
      </c>
      <c r="AA567" t="s">
        <v>37</v>
      </c>
      <c r="AB567" t="s">
        <v>52</v>
      </c>
      <c r="AC567" t="s">
        <v>53</v>
      </c>
      <c r="AD567" t="s">
        <v>54</v>
      </c>
      <c r="AE567">
        <v>27.021679370200001</v>
      </c>
      <c r="AF567">
        <v>2406</v>
      </c>
      <c r="AG567">
        <v>2405.9105198500001</v>
      </c>
      <c r="AH567">
        <v>270221.15723299998</v>
      </c>
      <c r="AI567">
        <v>42</v>
      </c>
      <c r="AJ567">
        <v>18141.571816910098</v>
      </c>
      <c r="AK567" s="1">
        <f>intersection_ss_Lnight___surface[[#This Row],[surf m2 bout ss]]/intersection_ss_Lnight___surface[[#This Row],[Shape_Area]]</f>
        <v>6.7136015561014742E-2</v>
      </c>
      <c r="AL567">
        <v>1632</v>
      </c>
      <c r="AM567">
        <f>intersection_ss_Lnight___surface[[#This Row],[Population totale 2024 ss]]*intersection_ss_Lnight___surface[[#This Row],[Part de la surface du qs dans le noise contour]]</f>
        <v>109.56597739557606</v>
      </c>
    </row>
    <row r="568" spans="1:39" x14ac:dyDescent="0.3">
      <c r="A568">
        <v>580</v>
      </c>
      <c r="B568" t="s">
        <v>1397</v>
      </c>
      <c r="C568" t="s">
        <v>1398</v>
      </c>
      <c r="D568" t="s">
        <v>1399</v>
      </c>
      <c r="E568" t="s">
        <v>1399</v>
      </c>
      <c r="F568" t="s">
        <v>1388</v>
      </c>
      <c r="G568" t="s">
        <v>1363</v>
      </c>
      <c r="H568" t="s">
        <v>1364</v>
      </c>
      <c r="I568" t="s">
        <v>1365</v>
      </c>
      <c r="J568" t="s">
        <v>36</v>
      </c>
      <c r="K568">
        <v>21019</v>
      </c>
      <c r="L568" t="s">
        <v>1366</v>
      </c>
      <c r="M568" t="s">
        <v>1367</v>
      </c>
      <c r="N568" t="s">
        <v>1367</v>
      </c>
      <c r="O568">
        <v>21000</v>
      </c>
      <c r="P568" t="s">
        <v>46</v>
      </c>
      <c r="Q568" t="s">
        <v>47</v>
      </c>
      <c r="R568" t="s">
        <v>48</v>
      </c>
      <c r="T568" t="s">
        <v>36</v>
      </c>
      <c r="U568" t="s">
        <v>36</v>
      </c>
      <c r="V568" t="s">
        <v>36</v>
      </c>
      <c r="W568">
        <v>4000</v>
      </c>
      <c r="X568" t="s">
        <v>49</v>
      </c>
      <c r="Y568" t="s">
        <v>50</v>
      </c>
      <c r="Z568" t="s">
        <v>51</v>
      </c>
      <c r="AA568" t="s">
        <v>37</v>
      </c>
      <c r="AB568" t="s">
        <v>52</v>
      </c>
      <c r="AC568" t="s">
        <v>53</v>
      </c>
      <c r="AD568" t="s">
        <v>54</v>
      </c>
      <c r="AE568">
        <v>27.021679370200001</v>
      </c>
      <c r="AF568">
        <v>2406</v>
      </c>
      <c r="AG568">
        <v>2405.9105198500001</v>
      </c>
      <c r="AH568">
        <v>270221.15723299998</v>
      </c>
      <c r="AI568">
        <v>43</v>
      </c>
      <c r="AJ568">
        <v>238582.29944635899</v>
      </c>
      <c r="AK568" s="1">
        <f>intersection_ss_Lnight___surface[[#This Row],[surf m2 bout ss]]/intersection_ss_Lnight___surface[[#This Row],[Shape_Area]]</f>
        <v>0.88291494970040341</v>
      </c>
      <c r="AL568">
        <v>1632</v>
      </c>
      <c r="AM568">
        <f>intersection_ss_Lnight___surface[[#This Row],[Population totale 2024 ss]]*intersection_ss_Lnight___surface[[#This Row],[Part de la surface du qs dans le noise contour]]</f>
        <v>1440.9171979110583</v>
      </c>
    </row>
    <row r="569" spans="1:39" x14ac:dyDescent="0.3">
      <c r="A569">
        <v>581</v>
      </c>
      <c r="B569" t="s">
        <v>1397</v>
      </c>
      <c r="C569" t="s">
        <v>1398</v>
      </c>
      <c r="D569" t="s">
        <v>1399</v>
      </c>
      <c r="E569" t="s">
        <v>1399</v>
      </c>
      <c r="F569" t="s">
        <v>1388</v>
      </c>
      <c r="G569" t="s">
        <v>1363</v>
      </c>
      <c r="H569" t="s">
        <v>1364</v>
      </c>
      <c r="I569" t="s">
        <v>1365</v>
      </c>
      <c r="J569" t="s">
        <v>36</v>
      </c>
      <c r="K569">
        <v>21019</v>
      </c>
      <c r="L569" t="s">
        <v>1366</v>
      </c>
      <c r="M569" t="s">
        <v>1367</v>
      </c>
      <c r="N569" t="s">
        <v>1367</v>
      </c>
      <c r="O569">
        <v>21000</v>
      </c>
      <c r="P569" t="s">
        <v>46</v>
      </c>
      <c r="Q569" t="s">
        <v>47</v>
      </c>
      <c r="R569" t="s">
        <v>48</v>
      </c>
      <c r="T569" t="s">
        <v>36</v>
      </c>
      <c r="U569" t="s">
        <v>36</v>
      </c>
      <c r="V569" t="s">
        <v>36</v>
      </c>
      <c r="W569">
        <v>4000</v>
      </c>
      <c r="X569" t="s">
        <v>49</v>
      </c>
      <c r="Y569" t="s">
        <v>50</v>
      </c>
      <c r="Z569" t="s">
        <v>51</v>
      </c>
      <c r="AA569" t="s">
        <v>37</v>
      </c>
      <c r="AB569" t="s">
        <v>52</v>
      </c>
      <c r="AC569" t="s">
        <v>53</v>
      </c>
      <c r="AD569" t="s">
        <v>54</v>
      </c>
      <c r="AE569">
        <v>27.021679370200001</v>
      </c>
      <c r="AF569">
        <v>2406</v>
      </c>
      <c r="AG569">
        <v>2405.9105198500001</v>
      </c>
      <c r="AH569">
        <v>270221.15723299998</v>
      </c>
      <c r="AI569">
        <v>44</v>
      </c>
      <c r="AJ569">
        <v>13524.184319026301</v>
      </c>
      <c r="AK569" s="1">
        <f>intersection_ss_Lnight___surface[[#This Row],[surf m2 bout ss]]/intersection_ss_Lnight___surface[[#This Row],[Shape_Area]]</f>
        <v>5.0048576719568201E-2</v>
      </c>
      <c r="AL569">
        <v>1632</v>
      </c>
      <c r="AM569">
        <f>intersection_ss_Lnight___surface[[#This Row],[Population totale 2024 ss]]*intersection_ss_Lnight___surface[[#This Row],[Part de la surface du qs dans le noise contour]]</f>
        <v>81.6792772063353</v>
      </c>
    </row>
    <row r="570" spans="1:39" x14ac:dyDescent="0.3">
      <c r="A570">
        <v>582</v>
      </c>
      <c r="B570" t="s">
        <v>1400</v>
      </c>
      <c r="C570" t="s">
        <v>1401</v>
      </c>
      <c r="D570" t="s">
        <v>1401</v>
      </c>
      <c r="E570" t="s">
        <v>1401</v>
      </c>
      <c r="F570" t="s">
        <v>1388</v>
      </c>
      <c r="G570" t="s">
        <v>1363</v>
      </c>
      <c r="H570" t="s">
        <v>1364</v>
      </c>
      <c r="I570" t="s">
        <v>1365</v>
      </c>
      <c r="J570" t="s">
        <v>36</v>
      </c>
      <c r="K570">
        <v>21019</v>
      </c>
      <c r="L570" t="s">
        <v>1366</v>
      </c>
      <c r="M570" t="s">
        <v>1367</v>
      </c>
      <c r="N570" t="s">
        <v>1367</v>
      </c>
      <c r="O570">
        <v>21000</v>
      </c>
      <c r="P570" t="s">
        <v>46</v>
      </c>
      <c r="Q570" t="s">
        <v>47</v>
      </c>
      <c r="R570" t="s">
        <v>48</v>
      </c>
      <c r="T570" t="s">
        <v>36</v>
      </c>
      <c r="U570" t="s">
        <v>36</v>
      </c>
      <c r="V570" t="s">
        <v>36</v>
      </c>
      <c r="W570">
        <v>4000</v>
      </c>
      <c r="X570" t="s">
        <v>49</v>
      </c>
      <c r="Y570" t="s">
        <v>50</v>
      </c>
      <c r="Z570" t="s">
        <v>51</v>
      </c>
      <c r="AA570" t="s">
        <v>37</v>
      </c>
      <c r="AB570" t="s">
        <v>52</v>
      </c>
      <c r="AC570" t="s">
        <v>53</v>
      </c>
      <c r="AD570" t="s">
        <v>54</v>
      </c>
      <c r="AE570">
        <v>25.672450619999999</v>
      </c>
      <c r="AF570">
        <v>2678</v>
      </c>
      <c r="AG570">
        <v>2678.1002389800001</v>
      </c>
      <c r="AH570">
        <v>256728.64338299999</v>
      </c>
      <c r="AI570">
        <v>43</v>
      </c>
      <c r="AJ570">
        <v>18068.381405738401</v>
      </c>
      <c r="AK570" s="1">
        <f>intersection_ss_Lnight___surface[[#This Row],[surf m2 bout ss]]/intersection_ss_Lnight___surface[[#This Row],[Shape_Area]]</f>
        <v>7.037929686241956E-2</v>
      </c>
      <c r="AL570">
        <v>1652</v>
      </c>
      <c r="AM570">
        <f>intersection_ss_Lnight___surface[[#This Row],[Population totale 2024 ss]]*intersection_ss_Lnight___surface[[#This Row],[Part de la surface du qs dans le noise contour]]</f>
        <v>116.26659841671712</v>
      </c>
    </row>
    <row r="571" spans="1:39" x14ac:dyDescent="0.3">
      <c r="A571">
        <v>583</v>
      </c>
      <c r="B571" t="s">
        <v>1400</v>
      </c>
      <c r="C571" t="s">
        <v>1401</v>
      </c>
      <c r="D571" t="s">
        <v>1401</v>
      </c>
      <c r="E571" t="s">
        <v>1401</v>
      </c>
      <c r="F571" t="s">
        <v>1388</v>
      </c>
      <c r="G571" t="s">
        <v>1363</v>
      </c>
      <c r="H571" t="s">
        <v>1364</v>
      </c>
      <c r="I571" t="s">
        <v>1365</v>
      </c>
      <c r="J571" t="s">
        <v>36</v>
      </c>
      <c r="K571">
        <v>21019</v>
      </c>
      <c r="L571" t="s">
        <v>1366</v>
      </c>
      <c r="M571" t="s">
        <v>1367</v>
      </c>
      <c r="N571" t="s">
        <v>1367</v>
      </c>
      <c r="O571">
        <v>21000</v>
      </c>
      <c r="P571" t="s">
        <v>46</v>
      </c>
      <c r="Q571" t="s">
        <v>47</v>
      </c>
      <c r="R571" t="s">
        <v>48</v>
      </c>
      <c r="T571" t="s">
        <v>36</v>
      </c>
      <c r="U571" t="s">
        <v>36</v>
      </c>
      <c r="V571" t="s">
        <v>36</v>
      </c>
      <c r="W571">
        <v>4000</v>
      </c>
      <c r="X571" t="s">
        <v>49</v>
      </c>
      <c r="Y571" t="s">
        <v>50</v>
      </c>
      <c r="Z571" t="s">
        <v>51</v>
      </c>
      <c r="AA571" t="s">
        <v>37</v>
      </c>
      <c r="AB571" t="s">
        <v>52</v>
      </c>
      <c r="AC571" t="s">
        <v>53</v>
      </c>
      <c r="AD571" t="s">
        <v>54</v>
      </c>
      <c r="AE571">
        <v>25.672450619999999</v>
      </c>
      <c r="AF571">
        <v>2678</v>
      </c>
      <c r="AG571">
        <v>2678.1002389800001</v>
      </c>
      <c r="AH571">
        <v>256728.64338299999</v>
      </c>
      <c r="AI571">
        <v>44</v>
      </c>
      <c r="AJ571">
        <v>215375.120689915</v>
      </c>
      <c r="AK571" s="1">
        <f>intersection_ss_Lnight___surface[[#This Row],[surf m2 bout ss]]/intersection_ss_Lnight___surface[[#This Row],[Shape_Area]]</f>
        <v>0.83892127443141651</v>
      </c>
      <c r="AL571">
        <v>1652</v>
      </c>
      <c r="AM571">
        <f>intersection_ss_Lnight___surface[[#This Row],[Population totale 2024 ss]]*intersection_ss_Lnight___surface[[#This Row],[Part de la surface du qs dans le noise contour]]</f>
        <v>1385.8979453607001</v>
      </c>
    </row>
    <row r="572" spans="1:39" x14ac:dyDescent="0.3">
      <c r="A572">
        <v>584</v>
      </c>
      <c r="B572" t="s">
        <v>1400</v>
      </c>
      <c r="C572" t="s">
        <v>1401</v>
      </c>
      <c r="D572" t="s">
        <v>1401</v>
      </c>
      <c r="E572" t="s">
        <v>1401</v>
      </c>
      <c r="F572" t="s">
        <v>1388</v>
      </c>
      <c r="G572" t="s">
        <v>1363</v>
      </c>
      <c r="H572" t="s">
        <v>1364</v>
      </c>
      <c r="I572" t="s">
        <v>1365</v>
      </c>
      <c r="J572" t="s">
        <v>36</v>
      </c>
      <c r="K572">
        <v>21019</v>
      </c>
      <c r="L572" t="s">
        <v>1366</v>
      </c>
      <c r="M572" t="s">
        <v>1367</v>
      </c>
      <c r="N572" t="s">
        <v>1367</v>
      </c>
      <c r="O572">
        <v>21000</v>
      </c>
      <c r="P572" t="s">
        <v>46</v>
      </c>
      <c r="Q572" t="s">
        <v>47</v>
      </c>
      <c r="R572" t="s">
        <v>48</v>
      </c>
      <c r="T572" t="s">
        <v>36</v>
      </c>
      <c r="U572" t="s">
        <v>36</v>
      </c>
      <c r="V572" t="s">
        <v>36</v>
      </c>
      <c r="W572">
        <v>4000</v>
      </c>
      <c r="X572" t="s">
        <v>49</v>
      </c>
      <c r="Y572" t="s">
        <v>50</v>
      </c>
      <c r="Z572" t="s">
        <v>51</v>
      </c>
      <c r="AA572" t="s">
        <v>37</v>
      </c>
      <c r="AB572" t="s">
        <v>52</v>
      </c>
      <c r="AC572" t="s">
        <v>53</v>
      </c>
      <c r="AD572" t="s">
        <v>54</v>
      </c>
      <c r="AE572">
        <v>25.672450619999999</v>
      </c>
      <c r="AF572">
        <v>2678</v>
      </c>
      <c r="AG572">
        <v>2678.1002389800001</v>
      </c>
      <c r="AH572">
        <v>256728.64338299999</v>
      </c>
      <c r="AI572">
        <v>45</v>
      </c>
      <c r="AJ572">
        <v>23253.746557671398</v>
      </c>
      <c r="AK572" s="1">
        <f>intersection_ss_Lnight___surface[[#This Row],[surf m2 bout ss]]/intersection_ss_Lnight___surface[[#This Row],[Shape_Area]]</f>
        <v>9.0577141106067988E-2</v>
      </c>
      <c r="AL572">
        <v>1652</v>
      </c>
      <c r="AM572">
        <f>intersection_ss_Lnight___surface[[#This Row],[Population totale 2024 ss]]*intersection_ss_Lnight___surface[[#This Row],[Part de la surface du qs dans le noise contour]]</f>
        <v>149.63343710722432</v>
      </c>
    </row>
    <row r="573" spans="1:39" x14ac:dyDescent="0.3">
      <c r="A573">
        <v>585</v>
      </c>
      <c r="B573" t="s">
        <v>1400</v>
      </c>
      <c r="C573" t="s">
        <v>1401</v>
      </c>
      <c r="D573" t="s">
        <v>1401</v>
      </c>
      <c r="E573" t="s">
        <v>1401</v>
      </c>
      <c r="F573" t="s">
        <v>1388</v>
      </c>
      <c r="G573" t="s">
        <v>1363</v>
      </c>
      <c r="H573" t="s">
        <v>1364</v>
      </c>
      <c r="I573" t="s">
        <v>1365</v>
      </c>
      <c r="J573" t="s">
        <v>36</v>
      </c>
      <c r="K573">
        <v>21019</v>
      </c>
      <c r="L573" t="s">
        <v>1366</v>
      </c>
      <c r="M573" t="s">
        <v>1367</v>
      </c>
      <c r="N573" t="s">
        <v>1367</v>
      </c>
      <c r="O573">
        <v>21000</v>
      </c>
      <c r="P573" t="s">
        <v>46</v>
      </c>
      <c r="Q573" t="s">
        <v>47</v>
      </c>
      <c r="R573" t="s">
        <v>48</v>
      </c>
      <c r="T573" t="s">
        <v>36</v>
      </c>
      <c r="U573" t="s">
        <v>36</v>
      </c>
      <c r="V573" t="s">
        <v>36</v>
      </c>
      <c r="W573">
        <v>4000</v>
      </c>
      <c r="X573" t="s">
        <v>49</v>
      </c>
      <c r="Y573" t="s">
        <v>50</v>
      </c>
      <c r="Z573" t="s">
        <v>51</v>
      </c>
      <c r="AA573" t="s">
        <v>37</v>
      </c>
      <c r="AB573" t="s">
        <v>52</v>
      </c>
      <c r="AC573" t="s">
        <v>53</v>
      </c>
      <c r="AD573" t="s">
        <v>54</v>
      </c>
      <c r="AE573">
        <v>25.672450619999999</v>
      </c>
      <c r="AF573">
        <v>2678</v>
      </c>
      <c r="AG573">
        <v>2678.1002389800001</v>
      </c>
      <c r="AH573">
        <v>256728.64338299999</v>
      </c>
      <c r="AI573">
        <v>46</v>
      </c>
      <c r="AJ573">
        <v>56.774832391180098</v>
      </c>
      <c r="AK573" s="1">
        <f>intersection_ss_Lnight___surface[[#This Row],[surf m2 bout ss]]/intersection_ss_Lnight___surface[[#This Row],[Shape_Area]]</f>
        <v>2.2114724575738402E-4</v>
      </c>
      <c r="AL573">
        <v>1652</v>
      </c>
      <c r="AM573">
        <f>intersection_ss_Lnight___surface[[#This Row],[Population totale 2024 ss]]*intersection_ss_Lnight___surface[[#This Row],[Part de la surface du qs dans le noise contour]]</f>
        <v>0.36533524999119843</v>
      </c>
    </row>
    <row r="574" spans="1:39" x14ac:dyDescent="0.3">
      <c r="A574">
        <v>586</v>
      </c>
      <c r="B574" t="s">
        <v>1402</v>
      </c>
      <c r="C574" t="s">
        <v>1403</v>
      </c>
      <c r="D574" t="s">
        <v>1404</v>
      </c>
      <c r="E574" t="s">
        <v>1404</v>
      </c>
      <c r="F574" t="s">
        <v>1405</v>
      </c>
      <c r="G574" t="s">
        <v>1363</v>
      </c>
      <c r="H574" t="s">
        <v>1364</v>
      </c>
      <c r="I574" t="s">
        <v>1365</v>
      </c>
      <c r="J574" t="s">
        <v>36</v>
      </c>
      <c r="K574">
        <v>21019</v>
      </c>
      <c r="L574" t="s">
        <v>1366</v>
      </c>
      <c r="M574" t="s">
        <v>1367</v>
      </c>
      <c r="N574" t="s">
        <v>1367</v>
      </c>
      <c r="O574">
        <v>21000</v>
      </c>
      <c r="P574" t="s">
        <v>46</v>
      </c>
      <c r="Q574" t="s">
        <v>47</v>
      </c>
      <c r="R574" t="s">
        <v>48</v>
      </c>
      <c r="T574" t="s">
        <v>36</v>
      </c>
      <c r="U574" t="s">
        <v>36</v>
      </c>
      <c r="V574" t="s">
        <v>36</v>
      </c>
      <c r="W574">
        <v>4000</v>
      </c>
      <c r="X574" t="s">
        <v>49</v>
      </c>
      <c r="Y574" t="s">
        <v>50</v>
      </c>
      <c r="Z574" t="s">
        <v>51</v>
      </c>
      <c r="AA574" t="s">
        <v>37</v>
      </c>
      <c r="AB574" t="s">
        <v>52</v>
      </c>
      <c r="AC574" t="s">
        <v>53</v>
      </c>
      <c r="AD574" t="s">
        <v>54</v>
      </c>
      <c r="AE574">
        <v>29.978761550400002</v>
      </c>
      <c r="AF574">
        <v>2407</v>
      </c>
      <c r="AG574">
        <v>2407.3723852399999</v>
      </c>
      <c r="AH574">
        <v>299792.42954600003</v>
      </c>
      <c r="AI574">
        <v>40</v>
      </c>
      <c r="AJ574">
        <v>126978.759596227</v>
      </c>
      <c r="AK574" s="1">
        <f>intersection_ss_Lnight___surface[[#This Row],[surf m2 bout ss]]/intersection_ss_Lnight___surface[[#This Row],[Shape_Area]]</f>
        <v>0.42355559074163823</v>
      </c>
      <c r="AL574">
        <v>1243</v>
      </c>
      <c r="AM574">
        <f>intersection_ss_Lnight___surface[[#This Row],[Population totale 2024 ss]]*intersection_ss_Lnight___surface[[#This Row],[Part de la surface du qs dans le noise contour]]</f>
        <v>526.47959929185629</v>
      </c>
    </row>
    <row r="575" spans="1:39" x14ac:dyDescent="0.3">
      <c r="A575">
        <v>587</v>
      </c>
      <c r="B575" t="s">
        <v>1402</v>
      </c>
      <c r="C575" t="s">
        <v>1403</v>
      </c>
      <c r="D575" t="s">
        <v>1404</v>
      </c>
      <c r="E575" t="s">
        <v>1404</v>
      </c>
      <c r="F575" t="s">
        <v>1405</v>
      </c>
      <c r="G575" t="s">
        <v>1363</v>
      </c>
      <c r="H575" t="s">
        <v>1364</v>
      </c>
      <c r="I575" t="s">
        <v>1365</v>
      </c>
      <c r="J575" t="s">
        <v>36</v>
      </c>
      <c r="K575">
        <v>21019</v>
      </c>
      <c r="L575" t="s">
        <v>1366</v>
      </c>
      <c r="M575" t="s">
        <v>1367</v>
      </c>
      <c r="N575" t="s">
        <v>1367</v>
      </c>
      <c r="O575">
        <v>21000</v>
      </c>
      <c r="P575" t="s">
        <v>46</v>
      </c>
      <c r="Q575" t="s">
        <v>47</v>
      </c>
      <c r="R575" t="s">
        <v>48</v>
      </c>
      <c r="T575" t="s">
        <v>36</v>
      </c>
      <c r="U575" t="s">
        <v>36</v>
      </c>
      <c r="V575" t="s">
        <v>36</v>
      </c>
      <c r="W575">
        <v>4000</v>
      </c>
      <c r="X575" t="s">
        <v>49</v>
      </c>
      <c r="Y575" t="s">
        <v>50</v>
      </c>
      <c r="Z575" t="s">
        <v>51</v>
      </c>
      <c r="AA575" t="s">
        <v>37</v>
      </c>
      <c r="AB575" t="s">
        <v>52</v>
      </c>
      <c r="AC575" t="s">
        <v>53</v>
      </c>
      <c r="AD575" t="s">
        <v>54</v>
      </c>
      <c r="AE575">
        <v>29.978761550400002</v>
      </c>
      <c r="AF575">
        <v>2407</v>
      </c>
      <c r="AG575">
        <v>2407.3723852399999</v>
      </c>
      <c r="AH575">
        <v>299792.42954600003</v>
      </c>
      <c r="AI575">
        <v>41</v>
      </c>
      <c r="AJ575">
        <v>5028.5779699999803</v>
      </c>
      <c r="AK575" s="1">
        <f>intersection_ss_Lnight___surface[[#This Row],[surf m2 bout ss]]/intersection_ss_Lnight___surface[[#This Row],[Shape_Area]]</f>
        <v>1.6773532198979018E-2</v>
      </c>
      <c r="AL575">
        <v>1243</v>
      </c>
      <c r="AM575">
        <f>intersection_ss_Lnight___surface[[#This Row],[Population totale 2024 ss]]*intersection_ss_Lnight___surface[[#This Row],[Part de la surface du qs dans le noise contour]]</f>
        <v>20.849500523330921</v>
      </c>
    </row>
    <row r="576" spans="1:39" x14ac:dyDescent="0.3">
      <c r="A576">
        <v>588</v>
      </c>
      <c r="B576" t="s">
        <v>1406</v>
      </c>
      <c r="C576" t="s">
        <v>1407</v>
      </c>
      <c r="D576" t="s">
        <v>1407</v>
      </c>
      <c r="E576" t="s">
        <v>1407</v>
      </c>
      <c r="F576" t="s">
        <v>1405</v>
      </c>
      <c r="G576" t="s">
        <v>1363</v>
      </c>
      <c r="H576" t="s">
        <v>1364</v>
      </c>
      <c r="I576" t="s">
        <v>1365</v>
      </c>
      <c r="J576" t="s">
        <v>36</v>
      </c>
      <c r="K576">
        <v>21019</v>
      </c>
      <c r="L576" t="s">
        <v>1366</v>
      </c>
      <c r="M576" t="s">
        <v>1367</v>
      </c>
      <c r="N576" t="s">
        <v>1367</v>
      </c>
      <c r="O576">
        <v>21000</v>
      </c>
      <c r="P576" t="s">
        <v>46</v>
      </c>
      <c r="Q576" t="s">
        <v>47</v>
      </c>
      <c r="R576" t="s">
        <v>48</v>
      </c>
      <c r="T576" t="s">
        <v>36</v>
      </c>
      <c r="U576" t="s">
        <v>36</v>
      </c>
      <c r="V576" t="s">
        <v>36</v>
      </c>
      <c r="W576">
        <v>4000</v>
      </c>
      <c r="X576" t="s">
        <v>49</v>
      </c>
      <c r="Y576" t="s">
        <v>50</v>
      </c>
      <c r="Z576" t="s">
        <v>51</v>
      </c>
      <c r="AA576" t="s">
        <v>37</v>
      </c>
      <c r="AB576" t="s">
        <v>52</v>
      </c>
      <c r="AC576" t="s">
        <v>53</v>
      </c>
      <c r="AD576" t="s">
        <v>54</v>
      </c>
      <c r="AE576">
        <v>49.415568246799999</v>
      </c>
      <c r="AF576">
        <v>2820</v>
      </c>
      <c r="AG576">
        <v>2819.5526886600001</v>
      </c>
      <c r="AH576">
        <v>494163.64286600001</v>
      </c>
      <c r="AI576">
        <v>40</v>
      </c>
      <c r="AJ576">
        <v>179432.03847095801</v>
      </c>
      <c r="AK576" s="1">
        <f>intersection_ss_Lnight___surface[[#This Row],[surf m2 bout ss]]/intersection_ss_Lnight___surface[[#This Row],[Shape_Area]]</f>
        <v>0.36310246830443926</v>
      </c>
      <c r="AL576">
        <v>1606</v>
      </c>
      <c r="AM576">
        <f>intersection_ss_Lnight___surface[[#This Row],[Population totale 2024 ss]]*intersection_ss_Lnight___surface[[#This Row],[Part de la surface du qs dans le noise contour]]</f>
        <v>583.1425640969295</v>
      </c>
    </row>
    <row r="577" spans="1:39" x14ac:dyDescent="0.3">
      <c r="A577">
        <v>589</v>
      </c>
      <c r="B577" t="s">
        <v>1406</v>
      </c>
      <c r="C577" t="s">
        <v>1407</v>
      </c>
      <c r="D577" t="s">
        <v>1407</v>
      </c>
      <c r="E577" t="s">
        <v>1407</v>
      </c>
      <c r="F577" t="s">
        <v>1405</v>
      </c>
      <c r="G577" t="s">
        <v>1363</v>
      </c>
      <c r="H577" t="s">
        <v>1364</v>
      </c>
      <c r="I577" t="s">
        <v>1365</v>
      </c>
      <c r="J577" t="s">
        <v>36</v>
      </c>
      <c r="K577">
        <v>21019</v>
      </c>
      <c r="L577" t="s">
        <v>1366</v>
      </c>
      <c r="M577" t="s">
        <v>1367</v>
      </c>
      <c r="N577" t="s">
        <v>1367</v>
      </c>
      <c r="O577">
        <v>21000</v>
      </c>
      <c r="P577" t="s">
        <v>46</v>
      </c>
      <c r="Q577" t="s">
        <v>47</v>
      </c>
      <c r="R577" t="s">
        <v>48</v>
      </c>
      <c r="T577" t="s">
        <v>36</v>
      </c>
      <c r="U577" t="s">
        <v>36</v>
      </c>
      <c r="V577" t="s">
        <v>36</v>
      </c>
      <c r="W577">
        <v>4000</v>
      </c>
      <c r="X577" t="s">
        <v>49</v>
      </c>
      <c r="Y577" t="s">
        <v>50</v>
      </c>
      <c r="Z577" t="s">
        <v>51</v>
      </c>
      <c r="AA577" t="s">
        <v>37</v>
      </c>
      <c r="AB577" t="s">
        <v>52</v>
      </c>
      <c r="AC577" t="s">
        <v>53</v>
      </c>
      <c r="AD577" t="s">
        <v>54</v>
      </c>
      <c r="AE577">
        <v>49.415568246799999</v>
      </c>
      <c r="AF577">
        <v>2820</v>
      </c>
      <c r="AG577">
        <v>2819.5526886600001</v>
      </c>
      <c r="AH577">
        <v>494163.64286600001</v>
      </c>
      <c r="AI577">
        <v>41</v>
      </c>
      <c r="AJ577">
        <v>150241.35584326199</v>
      </c>
      <c r="AK577" s="1">
        <f>intersection_ss_Lnight___surface[[#This Row],[surf m2 bout ss]]/intersection_ss_Lnight___surface[[#This Row],[Shape_Area]]</f>
        <v>0.30403158551266024</v>
      </c>
      <c r="AL577">
        <v>1606</v>
      </c>
      <c r="AM577">
        <f>intersection_ss_Lnight___surface[[#This Row],[Population totale 2024 ss]]*intersection_ss_Lnight___surface[[#This Row],[Part de la surface du qs dans le noise contour]]</f>
        <v>488.27472633333235</v>
      </c>
    </row>
    <row r="578" spans="1:39" x14ac:dyDescent="0.3">
      <c r="A578">
        <v>590</v>
      </c>
      <c r="B578" t="s">
        <v>1406</v>
      </c>
      <c r="C578" t="s">
        <v>1407</v>
      </c>
      <c r="D578" t="s">
        <v>1407</v>
      </c>
      <c r="E578" t="s">
        <v>1407</v>
      </c>
      <c r="F578" t="s">
        <v>1405</v>
      </c>
      <c r="G578" t="s">
        <v>1363</v>
      </c>
      <c r="H578" t="s">
        <v>1364</v>
      </c>
      <c r="I578" t="s">
        <v>1365</v>
      </c>
      <c r="J578" t="s">
        <v>36</v>
      </c>
      <c r="K578">
        <v>21019</v>
      </c>
      <c r="L578" t="s">
        <v>1366</v>
      </c>
      <c r="M578" t="s">
        <v>1367</v>
      </c>
      <c r="N578" t="s">
        <v>1367</v>
      </c>
      <c r="O578">
        <v>21000</v>
      </c>
      <c r="P578" t="s">
        <v>46</v>
      </c>
      <c r="Q578" t="s">
        <v>47</v>
      </c>
      <c r="R578" t="s">
        <v>48</v>
      </c>
      <c r="T578" t="s">
        <v>36</v>
      </c>
      <c r="U578" t="s">
        <v>36</v>
      </c>
      <c r="V578" t="s">
        <v>36</v>
      </c>
      <c r="W578">
        <v>4000</v>
      </c>
      <c r="X578" t="s">
        <v>49</v>
      </c>
      <c r="Y578" t="s">
        <v>50</v>
      </c>
      <c r="Z578" t="s">
        <v>51</v>
      </c>
      <c r="AA578" t="s">
        <v>37</v>
      </c>
      <c r="AB578" t="s">
        <v>52</v>
      </c>
      <c r="AC578" t="s">
        <v>53</v>
      </c>
      <c r="AD578" t="s">
        <v>54</v>
      </c>
      <c r="AE578">
        <v>49.415568246799999</v>
      </c>
      <c r="AF578">
        <v>2820</v>
      </c>
      <c r="AG578">
        <v>2819.5526886600001</v>
      </c>
      <c r="AH578">
        <v>494163.64286600001</v>
      </c>
      <c r="AI578">
        <v>42</v>
      </c>
      <c r="AJ578">
        <v>24851.2677739233</v>
      </c>
      <c r="AK578" s="1">
        <f>intersection_ss_Lnight___surface[[#This Row],[surf m2 bout ss]]/intersection_ss_Lnight___surface[[#This Row],[Shape_Area]]</f>
        <v>5.0289551108603309E-2</v>
      </c>
      <c r="AL578">
        <v>1606</v>
      </c>
      <c r="AM578">
        <f>intersection_ss_Lnight___surface[[#This Row],[Population totale 2024 ss]]*intersection_ss_Lnight___surface[[#This Row],[Part de la surface du qs dans le noise contour]]</f>
        <v>80.76501908041692</v>
      </c>
    </row>
    <row r="579" spans="1:39" x14ac:dyDescent="0.3">
      <c r="A579">
        <v>591</v>
      </c>
      <c r="B579" t="s">
        <v>1409</v>
      </c>
      <c r="C579" t="s">
        <v>1410</v>
      </c>
      <c r="D579" t="s">
        <v>1410</v>
      </c>
      <c r="E579" t="s">
        <v>1410</v>
      </c>
      <c r="F579" t="s">
        <v>1405</v>
      </c>
      <c r="G579" t="s">
        <v>1363</v>
      </c>
      <c r="H579" t="s">
        <v>1364</v>
      </c>
      <c r="I579" t="s">
        <v>1365</v>
      </c>
      <c r="J579" t="s">
        <v>36</v>
      </c>
      <c r="K579">
        <v>21019</v>
      </c>
      <c r="L579" t="s">
        <v>1366</v>
      </c>
      <c r="M579" t="s">
        <v>1367</v>
      </c>
      <c r="N579" t="s">
        <v>1367</v>
      </c>
      <c r="O579">
        <v>21000</v>
      </c>
      <c r="P579" t="s">
        <v>46</v>
      </c>
      <c r="Q579" t="s">
        <v>47</v>
      </c>
      <c r="R579" t="s">
        <v>48</v>
      </c>
      <c r="T579" t="s">
        <v>36</v>
      </c>
      <c r="U579" t="s">
        <v>36</v>
      </c>
      <c r="V579" t="s">
        <v>36</v>
      </c>
      <c r="W579">
        <v>4000</v>
      </c>
      <c r="X579" t="s">
        <v>49</v>
      </c>
      <c r="Y579" t="s">
        <v>50</v>
      </c>
      <c r="Z579" t="s">
        <v>51</v>
      </c>
      <c r="AA579" t="s">
        <v>37</v>
      </c>
      <c r="AB579" t="s">
        <v>52</v>
      </c>
      <c r="AC579" t="s">
        <v>53</v>
      </c>
      <c r="AD579" t="s">
        <v>54</v>
      </c>
      <c r="AE579">
        <v>9.736700999</v>
      </c>
      <c r="AF579">
        <v>1467</v>
      </c>
      <c r="AG579">
        <v>1466.8996834300001</v>
      </c>
      <c r="AH579">
        <v>97368.586420699998</v>
      </c>
      <c r="AI579">
        <v>40</v>
      </c>
      <c r="AJ579">
        <v>5.1697834288716003</v>
      </c>
      <c r="AK579" s="1">
        <f>intersection_ss_Lnight___surface[[#This Row],[surf m2 bout ss]]/intersection_ss_Lnight___surface[[#This Row],[Shape_Area]]</f>
        <v>5.3094982878097267E-5</v>
      </c>
      <c r="AL579">
        <v>1054</v>
      </c>
      <c r="AM579">
        <f>intersection_ss_Lnight___surface[[#This Row],[Population totale 2024 ss]]*intersection_ss_Lnight___surface[[#This Row],[Part de la surface du qs dans le noise contour]]</f>
        <v>5.5962111953514519E-2</v>
      </c>
    </row>
    <row r="580" spans="1:39" x14ac:dyDescent="0.3">
      <c r="A580">
        <v>592</v>
      </c>
      <c r="B580" t="s">
        <v>1411</v>
      </c>
      <c r="C580" t="s">
        <v>1412</v>
      </c>
      <c r="D580" t="s">
        <v>1413</v>
      </c>
      <c r="E580" t="s">
        <v>1413</v>
      </c>
      <c r="F580" t="s">
        <v>1405</v>
      </c>
      <c r="G580" t="s">
        <v>1363</v>
      </c>
      <c r="H580" t="s">
        <v>1364</v>
      </c>
      <c r="I580" t="s">
        <v>1365</v>
      </c>
      <c r="J580" t="s">
        <v>36</v>
      </c>
      <c r="K580">
        <v>21019</v>
      </c>
      <c r="L580" t="s">
        <v>1366</v>
      </c>
      <c r="M580" t="s">
        <v>1367</v>
      </c>
      <c r="N580" t="s">
        <v>1367</v>
      </c>
      <c r="O580">
        <v>21000</v>
      </c>
      <c r="P580" t="s">
        <v>46</v>
      </c>
      <c r="Q580" t="s">
        <v>47</v>
      </c>
      <c r="R580" t="s">
        <v>48</v>
      </c>
      <c r="T580" t="s">
        <v>36</v>
      </c>
      <c r="U580" t="s">
        <v>36</v>
      </c>
      <c r="V580" t="s">
        <v>36</v>
      </c>
      <c r="W580">
        <v>4000</v>
      </c>
      <c r="X580" t="s">
        <v>49</v>
      </c>
      <c r="Y580" t="s">
        <v>50</v>
      </c>
      <c r="Z580" t="s">
        <v>51</v>
      </c>
      <c r="AA580" t="s">
        <v>37</v>
      </c>
      <c r="AB580" t="s">
        <v>52</v>
      </c>
      <c r="AC580" t="s">
        <v>53</v>
      </c>
      <c r="AD580" t="s">
        <v>54</v>
      </c>
      <c r="AE580">
        <v>13.235788554100001</v>
      </c>
      <c r="AF580">
        <v>1544</v>
      </c>
      <c r="AG580">
        <v>1543.5151127500001</v>
      </c>
      <c r="AH580">
        <v>132360.03413099999</v>
      </c>
      <c r="AI580">
        <v>40</v>
      </c>
      <c r="AJ580">
        <v>121201.46641567</v>
      </c>
      <c r="AK580" s="1">
        <f>intersection_ss_Lnight___surface[[#This Row],[surf m2 bout ss]]/intersection_ss_Lnight___surface[[#This Row],[Shape_Area]]</f>
        <v>0.91569533969531858</v>
      </c>
      <c r="AL580">
        <v>1114</v>
      </c>
      <c r="AM580">
        <f>intersection_ss_Lnight___surface[[#This Row],[Population totale 2024 ss]]*intersection_ss_Lnight___surface[[#This Row],[Part de la surface du qs dans le noise contour]]</f>
        <v>1020.0846084205849</v>
      </c>
    </row>
    <row r="581" spans="1:39" x14ac:dyDescent="0.3">
      <c r="A581">
        <v>593</v>
      </c>
      <c r="B581" t="s">
        <v>1414</v>
      </c>
      <c r="C581" t="s">
        <v>1415</v>
      </c>
      <c r="D581" t="s">
        <v>1415</v>
      </c>
      <c r="E581" t="s">
        <v>1415</v>
      </c>
      <c r="F581" t="s">
        <v>1405</v>
      </c>
      <c r="G581" t="s">
        <v>1363</v>
      </c>
      <c r="H581" t="s">
        <v>1364</v>
      </c>
      <c r="I581" t="s">
        <v>1365</v>
      </c>
      <c r="J581" t="s">
        <v>36</v>
      </c>
      <c r="K581">
        <v>21019</v>
      </c>
      <c r="L581" t="s">
        <v>1366</v>
      </c>
      <c r="M581" t="s">
        <v>1367</v>
      </c>
      <c r="N581" t="s">
        <v>1367</v>
      </c>
      <c r="O581">
        <v>21000</v>
      </c>
      <c r="P581" t="s">
        <v>46</v>
      </c>
      <c r="Q581" t="s">
        <v>47</v>
      </c>
      <c r="R581" t="s">
        <v>48</v>
      </c>
      <c r="T581" t="s">
        <v>36</v>
      </c>
      <c r="U581" t="s">
        <v>36</v>
      </c>
      <c r="V581" t="s">
        <v>36</v>
      </c>
      <c r="W581">
        <v>4000</v>
      </c>
      <c r="X581" t="s">
        <v>49</v>
      </c>
      <c r="Y581" t="s">
        <v>50</v>
      </c>
      <c r="Z581" t="s">
        <v>51</v>
      </c>
      <c r="AA581" t="s">
        <v>37</v>
      </c>
      <c r="AB581" t="s">
        <v>52</v>
      </c>
      <c r="AC581" t="s">
        <v>53</v>
      </c>
      <c r="AD581" t="s">
        <v>54</v>
      </c>
      <c r="AE581">
        <v>20.119373209199999</v>
      </c>
      <c r="AF581">
        <v>2076</v>
      </c>
      <c r="AG581">
        <v>2076.48644835</v>
      </c>
      <c r="AH581">
        <v>201196.96776</v>
      </c>
      <c r="AI581">
        <v>40</v>
      </c>
      <c r="AJ581">
        <v>101517.54357015299</v>
      </c>
      <c r="AK581" s="1">
        <f>intersection_ss_Lnight___surface[[#This Row],[surf m2 bout ss]]/intersection_ss_Lnight___surface[[#This Row],[Shape_Area]]</f>
        <v>0.50456795994683823</v>
      </c>
      <c r="AL581">
        <v>1285</v>
      </c>
      <c r="AM581">
        <f>intersection_ss_Lnight___surface[[#This Row],[Population totale 2024 ss]]*intersection_ss_Lnight___surface[[#This Row],[Part de la surface du qs dans le noise contour]]</f>
        <v>648.36982853168718</v>
      </c>
    </row>
    <row r="582" spans="1:39" x14ac:dyDescent="0.3">
      <c r="A582">
        <v>594</v>
      </c>
      <c r="B582" t="s">
        <v>1414</v>
      </c>
      <c r="C582" t="s">
        <v>1415</v>
      </c>
      <c r="D582" t="s">
        <v>1415</v>
      </c>
      <c r="E582" t="s">
        <v>1415</v>
      </c>
      <c r="F582" t="s">
        <v>1405</v>
      </c>
      <c r="G582" t="s">
        <v>1363</v>
      </c>
      <c r="H582" t="s">
        <v>1364</v>
      </c>
      <c r="I582" t="s">
        <v>1365</v>
      </c>
      <c r="J582" t="s">
        <v>36</v>
      </c>
      <c r="K582">
        <v>21019</v>
      </c>
      <c r="L582" t="s">
        <v>1366</v>
      </c>
      <c r="M582" t="s">
        <v>1367</v>
      </c>
      <c r="N582" t="s">
        <v>1367</v>
      </c>
      <c r="O582">
        <v>21000</v>
      </c>
      <c r="P582" t="s">
        <v>46</v>
      </c>
      <c r="Q582" t="s">
        <v>47</v>
      </c>
      <c r="R582" t="s">
        <v>48</v>
      </c>
      <c r="T582" t="s">
        <v>36</v>
      </c>
      <c r="U582" t="s">
        <v>36</v>
      </c>
      <c r="V582" t="s">
        <v>36</v>
      </c>
      <c r="W582">
        <v>4000</v>
      </c>
      <c r="X582" t="s">
        <v>49</v>
      </c>
      <c r="Y582" t="s">
        <v>50</v>
      </c>
      <c r="Z582" t="s">
        <v>51</v>
      </c>
      <c r="AA582" t="s">
        <v>37</v>
      </c>
      <c r="AB582" t="s">
        <v>52</v>
      </c>
      <c r="AC582" t="s">
        <v>53</v>
      </c>
      <c r="AD582" t="s">
        <v>54</v>
      </c>
      <c r="AE582">
        <v>20.119373209199999</v>
      </c>
      <c r="AF582">
        <v>2076</v>
      </c>
      <c r="AG582">
        <v>2076.48644835</v>
      </c>
      <c r="AH582">
        <v>201196.96776</v>
      </c>
      <c r="AI582">
        <v>41</v>
      </c>
      <c r="AJ582">
        <v>99699.7221820103</v>
      </c>
      <c r="AK582" s="1">
        <f>intersection_ss_Lnight___surface[[#This Row],[surf m2 bout ss]]/intersection_ss_Lnight___surface[[#This Row],[Shape_Area]]</f>
        <v>0.49553292622649364</v>
      </c>
      <c r="AL582">
        <v>1285</v>
      </c>
      <c r="AM582">
        <f>intersection_ss_Lnight___surface[[#This Row],[Population totale 2024 ss]]*intersection_ss_Lnight___surface[[#This Row],[Part de la surface du qs dans le noise contour]]</f>
        <v>636.75981020104427</v>
      </c>
    </row>
    <row r="583" spans="1:39" x14ac:dyDescent="0.3">
      <c r="A583">
        <v>595</v>
      </c>
      <c r="B583" t="s">
        <v>1434</v>
      </c>
      <c r="C583" t="s">
        <v>1435</v>
      </c>
      <c r="D583" t="s">
        <v>1436</v>
      </c>
      <c r="E583" t="s">
        <v>1436</v>
      </c>
      <c r="F583" t="s">
        <v>1437</v>
      </c>
      <c r="G583" t="s">
        <v>1363</v>
      </c>
      <c r="H583" t="s">
        <v>1364</v>
      </c>
      <c r="I583" t="s">
        <v>1365</v>
      </c>
      <c r="J583" t="s">
        <v>36</v>
      </c>
      <c r="K583">
        <v>21019</v>
      </c>
      <c r="L583" t="s">
        <v>1366</v>
      </c>
      <c r="M583" t="s">
        <v>1367</v>
      </c>
      <c r="N583" t="s">
        <v>1367</v>
      </c>
      <c r="O583">
        <v>21000</v>
      </c>
      <c r="P583" t="s">
        <v>46</v>
      </c>
      <c r="Q583" t="s">
        <v>47</v>
      </c>
      <c r="R583" t="s">
        <v>48</v>
      </c>
      <c r="T583" t="s">
        <v>36</v>
      </c>
      <c r="U583" t="s">
        <v>36</v>
      </c>
      <c r="V583" t="s">
        <v>36</v>
      </c>
      <c r="W583">
        <v>4000</v>
      </c>
      <c r="X583" t="s">
        <v>49</v>
      </c>
      <c r="Y583" t="s">
        <v>50</v>
      </c>
      <c r="Z583" t="s">
        <v>51</v>
      </c>
      <c r="AA583" t="s">
        <v>37</v>
      </c>
      <c r="AB583" t="s">
        <v>52</v>
      </c>
      <c r="AC583" t="s">
        <v>53</v>
      </c>
      <c r="AD583" t="s">
        <v>54</v>
      </c>
      <c r="AE583">
        <v>30.714380984400002</v>
      </c>
      <c r="AF583">
        <v>2624</v>
      </c>
      <c r="AG583">
        <v>2624.4785788099998</v>
      </c>
      <c r="AH583">
        <v>307148.74442100001</v>
      </c>
      <c r="AI583">
        <v>42</v>
      </c>
      <c r="AJ583">
        <v>44134.192687306597</v>
      </c>
      <c r="AK583" s="1">
        <f>intersection_ss_Lnight___surface[[#This Row],[surf m2 bout ss]]/intersection_ss_Lnight___surface[[#This Row],[Shape_Area]]</f>
        <v>0.14368996614491486</v>
      </c>
      <c r="AL583">
        <v>3004</v>
      </c>
      <c r="AM583">
        <f>intersection_ss_Lnight___surface[[#This Row],[Population totale 2024 ss]]*intersection_ss_Lnight___surface[[#This Row],[Part de la surface du qs dans le noise contour]]</f>
        <v>431.64465829932425</v>
      </c>
    </row>
    <row r="584" spans="1:39" x14ac:dyDescent="0.3">
      <c r="A584">
        <v>596</v>
      </c>
      <c r="B584" t="s">
        <v>1434</v>
      </c>
      <c r="C584" t="s">
        <v>1435</v>
      </c>
      <c r="D584" t="s">
        <v>1436</v>
      </c>
      <c r="E584" t="s">
        <v>1436</v>
      </c>
      <c r="F584" t="s">
        <v>1437</v>
      </c>
      <c r="G584" t="s">
        <v>1363</v>
      </c>
      <c r="H584" t="s">
        <v>1364</v>
      </c>
      <c r="I584" t="s">
        <v>1365</v>
      </c>
      <c r="J584" t="s">
        <v>36</v>
      </c>
      <c r="K584">
        <v>21019</v>
      </c>
      <c r="L584" t="s">
        <v>1366</v>
      </c>
      <c r="M584" t="s">
        <v>1367</v>
      </c>
      <c r="N584" t="s">
        <v>1367</v>
      </c>
      <c r="O584">
        <v>21000</v>
      </c>
      <c r="P584" t="s">
        <v>46</v>
      </c>
      <c r="Q584" t="s">
        <v>47</v>
      </c>
      <c r="R584" t="s">
        <v>48</v>
      </c>
      <c r="T584" t="s">
        <v>36</v>
      </c>
      <c r="U584" t="s">
        <v>36</v>
      </c>
      <c r="V584" t="s">
        <v>36</v>
      </c>
      <c r="W584">
        <v>4000</v>
      </c>
      <c r="X584" t="s">
        <v>49</v>
      </c>
      <c r="Y584" t="s">
        <v>50</v>
      </c>
      <c r="Z584" t="s">
        <v>51</v>
      </c>
      <c r="AA584" t="s">
        <v>37</v>
      </c>
      <c r="AB584" t="s">
        <v>52</v>
      </c>
      <c r="AC584" t="s">
        <v>53</v>
      </c>
      <c r="AD584" t="s">
        <v>54</v>
      </c>
      <c r="AE584">
        <v>30.714380984400002</v>
      </c>
      <c r="AF584">
        <v>2624</v>
      </c>
      <c r="AG584">
        <v>2624.4785788099998</v>
      </c>
      <c r="AH584">
        <v>307148.74442100001</v>
      </c>
      <c r="AI584">
        <v>43</v>
      </c>
      <c r="AJ584">
        <v>58572.5107231722</v>
      </c>
      <c r="AK584" s="1">
        <f>intersection_ss_Lnight___surface[[#This Row],[surf m2 bout ss]]/intersection_ss_Lnight___surface[[#This Row],[Shape_Area]]</f>
        <v>0.19069754243529816</v>
      </c>
      <c r="AL584">
        <v>3004</v>
      </c>
      <c r="AM584">
        <f>intersection_ss_Lnight___surface[[#This Row],[Population totale 2024 ss]]*intersection_ss_Lnight___surface[[#This Row],[Part de la surface du qs dans le noise contour]]</f>
        <v>572.8554174756357</v>
      </c>
    </row>
    <row r="585" spans="1:39" x14ac:dyDescent="0.3">
      <c r="A585">
        <v>597</v>
      </c>
      <c r="B585" t="s">
        <v>1434</v>
      </c>
      <c r="C585" t="s">
        <v>1435</v>
      </c>
      <c r="D585" t="s">
        <v>1436</v>
      </c>
      <c r="E585" t="s">
        <v>1436</v>
      </c>
      <c r="F585" t="s">
        <v>1437</v>
      </c>
      <c r="G585" t="s">
        <v>1363</v>
      </c>
      <c r="H585" t="s">
        <v>1364</v>
      </c>
      <c r="I585" t="s">
        <v>1365</v>
      </c>
      <c r="J585" t="s">
        <v>36</v>
      </c>
      <c r="K585">
        <v>21019</v>
      </c>
      <c r="L585" t="s">
        <v>1366</v>
      </c>
      <c r="M585" t="s">
        <v>1367</v>
      </c>
      <c r="N585" t="s">
        <v>1367</v>
      </c>
      <c r="O585">
        <v>21000</v>
      </c>
      <c r="P585" t="s">
        <v>46</v>
      </c>
      <c r="Q585" t="s">
        <v>47</v>
      </c>
      <c r="R585" t="s">
        <v>48</v>
      </c>
      <c r="T585" t="s">
        <v>36</v>
      </c>
      <c r="U585" t="s">
        <v>36</v>
      </c>
      <c r="V585" t="s">
        <v>36</v>
      </c>
      <c r="W585">
        <v>4000</v>
      </c>
      <c r="X585" t="s">
        <v>49</v>
      </c>
      <c r="Y585" t="s">
        <v>50</v>
      </c>
      <c r="Z585" t="s">
        <v>51</v>
      </c>
      <c r="AA585" t="s">
        <v>37</v>
      </c>
      <c r="AB585" t="s">
        <v>52</v>
      </c>
      <c r="AC585" t="s">
        <v>53</v>
      </c>
      <c r="AD585" t="s">
        <v>54</v>
      </c>
      <c r="AE585">
        <v>30.714380984400002</v>
      </c>
      <c r="AF585">
        <v>2624</v>
      </c>
      <c r="AG585">
        <v>2624.4785788099998</v>
      </c>
      <c r="AH585">
        <v>307148.74442100001</v>
      </c>
      <c r="AI585">
        <v>44</v>
      </c>
      <c r="AJ585">
        <v>76736.558598360003</v>
      </c>
      <c r="AK585" s="1">
        <f>intersection_ss_Lnight___surface[[#This Row],[surf m2 bout ss]]/intersection_ss_Lnight___surface[[#This Row],[Shape_Area]]</f>
        <v>0.24983516941609044</v>
      </c>
      <c r="AL585">
        <v>3004</v>
      </c>
      <c r="AM585">
        <f>intersection_ss_Lnight___surface[[#This Row],[Population totale 2024 ss]]*intersection_ss_Lnight___surface[[#This Row],[Part de la surface du qs dans le noise contour]]</f>
        <v>750.50484892593568</v>
      </c>
    </row>
    <row r="586" spans="1:39" x14ac:dyDescent="0.3">
      <c r="A586">
        <v>598</v>
      </c>
      <c r="B586" t="s">
        <v>1434</v>
      </c>
      <c r="C586" t="s">
        <v>1435</v>
      </c>
      <c r="D586" t="s">
        <v>1436</v>
      </c>
      <c r="E586" t="s">
        <v>1436</v>
      </c>
      <c r="F586" t="s">
        <v>1437</v>
      </c>
      <c r="G586" t="s">
        <v>1363</v>
      </c>
      <c r="H586" t="s">
        <v>1364</v>
      </c>
      <c r="I586" t="s">
        <v>1365</v>
      </c>
      <c r="J586" t="s">
        <v>36</v>
      </c>
      <c r="K586">
        <v>21019</v>
      </c>
      <c r="L586" t="s">
        <v>1366</v>
      </c>
      <c r="M586" t="s">
        <v>1367</v>
      </c>
      <c r="N586" t="s">
        <v>1367</v>
      </c>
      <c r="O586">
        <v>21000</v>
      </c>
      <c r="P586" t="s">
        <v>46</v>
      </c>
      <c r="Q586" t="s">
        <v>47</v>
      </c>
      <c r="R586" t="s">
        <v>48</v>
      </c>
      <c r="T586" t="s">
        <v>36</v>
      </c>
      <c r="U586" t="s">
        <v>36</v>
      </c>
      <c r="V586" t="s">
        <v>36</v>
      </c>
      <c r="W586">
        <v>4000</v>
      </c>
      <c r="X586" t="s">
        <v>49</v>
      </c>
      <c r="Y586" t="s">
        <v>50</v>
      </c>
      <c r="Z586" t="s">
        <v>51</v>
      </c>
      <c r="AA586" t="s">
        <v>37</v>
      </c>
      <c r="AB586" t="s">
        <v>52</v>
      </c>
      <c r="AC586" t="s">
        <v>53</v>
      </c>
      <c r="AD586" t="s">
        <v>54</v>
      </c>
      <c r="AE586">
        <v>30.714380984400002</v>
      </c>
      <c r="AF586">
        <v>2624</v>
      </c>
      <c r="AG586">
        <v>2624.4785788099998</v>
      </c>
      <c r="AH586">
        <v>307148.74442100001</v>
      </c>
      <c r="AI586">
        <v>45</v>
      </c>
      <c r="AJ586">
        <v>94401.916329585205</v>
      </c>
      <c r="AK586" s="1">
        <f>intersection_ss_Lnight___surface[[#This Row],[surf m2 bout ss]]/intersection_ss_Lnight___surface[[#This Row],[Shape_Area]]</f>
        <v>0.30734918518889076</v>
      </c>
      <c r="AL586">
        <v>3004</v>
      </c>
      <c r="AM586">
        <f>intersection_ss_Lnight___surface[[#This Row],[Population totale 2024 ss]]*intersection_ss_Lnight___surface[[#This Row],[Part de la surface du qs dans le noise contour]]</f>
        <v>923.27695230742779</v>
      </c>
    </row>
    <row r="587" spans="1:39" x14ac:dyDescent="0.3">
      <c r="A587">
        <v>599</v>
      </c>
      <c r="B587" t="s">
        <v>1434</v>
      </c>
      <c r="C587" t="s">
        <v>1435</v>
      </c>
      <c r="D587" t="s">
        <v>1436</v>
      </c>
      <c r="E587" t="s">
        <v>1436</v>
      </c>
      <c r="F587" t="s">
        <v>1437</v>
      </c>
      <c r="G587" t="s">
        <v>1363</v>
      </c>
      <c r="H587" t="s">
        <v>1364</v>
      </c>
      <c r="I587" t="s">
        <v>1365</v>
      </c>
      <c r="J587" t="s">
        <v>36</v>
      </c>
      <c r="K587">
        <v>21019</v>
      </c>
      <c r="L587" t="s">
        <v>1366</v>
      </c>
      <c r="M587" t="s">
        <v>1367</v>
      </c>
      <c r="N587" t="s">
        <v>1367</v>
      </c>
      <c r="O587">
        <v>21000</v>
      </c>
      <c r="P587" t="s">
        <v>46</v>
      </c>
      <c r="Q587" t="s">
        <v>47</v>
      </c>
      <c r="R587" t="s">
        <v>48</v>
      </c>
      <c r="T587" t="s">
        <v>36</v>
      </c>
      <c r="U587" t="s">
        <v>36</v>
      </c>
      <c r="V587" t="s">
        <v>36</v>
      </c>
      <c r="W587">
        <v>4000</v>
      </c>
      <c r="X587" t="s">
        <v>49</v>
      </c>
      <c r="Y587" t="s">
        <v>50</v>
      </c>
      <c r="Z587" t="s">
        <v>51</v>
      </c>
      <c r="AA587" t="s">
        <v>37</v>
      </c>
      <c r="AB587" t="s">
        <v>52</v>
      </c>
      <c r="AC587" t="s">
        <v>53</v>
      </c>
      <c r="AD587" t="s">
        <v>54</v>
      </c>
      <c r="AE587">
        <v>30.714380984400002</v>
      </c>
      <c r="AF587">
        <v>2624</v>
      </c>
      <c r="AG587">
        <v>2624.4785788099998</v>
      </c>
      <c r="AH587">
        <v>307148.74442100001</v>
      </c>
      <c r="AI587">
        <v>46</v>
      </c>
      <c r="AJ587">
        <v>33335.028807862902</v>
      </c>
      <c r="AK587" s="1">
        <f>intersection_ss_Lnight___surface[[#This Row],[surf m2 bout ss]]/intersection_ss_Lnight___surface[[#This Row],[Shape_Area]]</f>
        <v>0.10853057163135113</v>
      </c>
      <c r="AL587">
        <v>3004</v>
      </c>
      <c r="AM587">
        <f>intersection_ss_Lnight___surface[[#This Row],[Population totale 2024 ss]]*intersection_ss_Lnight___surface[[#This Row],[Part de la surface du qs dans le noise contour]]</f>
        <v>326.02583718057878</v>
      </c>
    </row>
    <row r="588" spans="1:39" x14ac:dyDescent="0.3">
      <c r="A588">
        <v>600</v>
      </c>
      <c r="B588" t="s">
        <v>1438</v>
      </c>
      <c r="C588" t="s">
        <v>1439</v>
      </c>
      <c r="D588" t="s">
        <v>1440</v>
      </c>
      <c r="E588" t="s">
        <v>1440</v>
      </c>
      <c r="F588" t="s">
        <v>1437</v>
      </c>
      <c r="G588" t="s">
        <v>1363</v>
      </c>
      <c r="H588" t="s">
        <v>1364</v>
      </c>
      <c r="I588" t="s">
        <v>1365</v>
      </c>
      <c r="J588" t="s">
        <v>36</v>
      </c>
      <c r="K588">
        <v>21019</v>
      </c>
      <c r="L588" t="s">
        <v>1366</v>
      </c>
      <c r="M588" t="s">
        <v>1367</v>
      </c>
      <c r="N588" t="s">
        <v>1367</v>
      </c>
      <c r="O588">
        <v>21000</v>
      </c>
      <c r="P588" t="s">
        <v>46</v>
      </c>
      <c r="Q588" t="s">
        <v>47</v>
      </c>
      <c r="R588" t="s">
        <v>48</v>
      </c>
      <c r="T588" t="s">
        <v>36</v>
      </c>
      <c r="U588" t="s">
        <v>36</v>
      </c>
      <c r="V588" t="s">
        <v>36</v>
      </c>
      <c r="W588">
        <v>4000</v>
      </c>
      <c r="X588" t="s">
        <v>49</v>
      </c>
      <c r="Y588" t="s">
        <v>50</v>
      </c>
      <c r="Z588" t="s">
        <v>51</v>
      </c>
      <c r="AA588" t="s">
        <v>37</v>
      </c>
      <c r="AB588" t="s">
        <v>52</v>
      </c>
      <c r="AC588" t="s">
        <v>53</v>
      </c>
      <c r="AD588" t="s">
        <v>54</v>
      </c>
      <c r="AE588">
        <v>29.204922655499999</v>
      </c>
      <c r="AF588">
        <v>2243</v>
      </c>
      <c r="AG588">
        <v>2243.2727350700002</v>
      </c>
      <c r="AH588">
        <v>292053.93267399998</v>
      </c>
      <c r="AI588">
        <v>42</v>
      </c>
      <c r="AJ588">
        <v>159.78140499768801</v>
      </c>
      <c r="AK588" s="1">
        <f>intersection_ss_Lnight___surface[[#This Row],[surf m2 bout ss]]/intersection_ss_Lnight___surface[[#This Row],[Shape_Area]]</f>
        <v>5.4709554339759964E-4</v>
      </c>
      <c r="AL588">
        <v>1053</v>
      </c>
      <c r="AM588">
        <f>intersection_ss_Lnight___surface[[#This Row],[Population totale 2024 ss]]*intersection_ss_Lnight___surface[[#This Row],[Part de la surface du qs dans le noise contour]]</f>
        <v>0.57609160719767238</v>
      </c>
    </row>
    <row r="589" spans="1:39" x14ac:dyDescent="0.3">
      <c r="A589">
        <v>601</v>
      </c>
      <c r="B589" t="s">
        <v>1438</v>
      </c>
      <c r="C589" t="s">
        <v>1439</v>
      </c>
      <c r="D589" t="s">
        <v>1440</v>
      </c>
      <c r="E589" t="s">
        <v>1440</v>
      </c>
      <c r="F589" t="s">
        <v>1437</v>
      </c>
      <c r="G589" t="s">
        <v>1363</v>
      </c>
      <c r="H589" t="s">
        <v>1364</v>
      </c>
      <c r="I589" t="s">
        <v>1365</v>
      </c>
      <c r="J589" t="s">
        <v>36</v>
      </c>
      <c r="K589">
        <v>21019</v>
      </c>
      <c r="L589" t="s">
        <v>1366</v>
      </c>
      <c r="M589" t="s">
        <v>1367</v>
      </c>
      <c r="N589" t="s">
        <v>1367</v>
      </c>
      <c r="O589">
        <v>21000</v>
      </c>
      <c r="P589" t="s">
        <v>46</v>
      </c>
      <c r="Q589" t="s">
        <v>47</v>
      </c>
      <c r="R589" t="s">
        <v>48</v>
      </c>
      <c r="T589" t="s">
        <v>36</v>
      </c>
      <c r="U589" t="s">
        <v>36</v>
      </c>
      <c r="V589" t="s">
        <v>36</v>
      </c>
      <c r="W589">
        <v>4000</v>
      </c>
      <c r="X589" t="s">
        <v>49</v>
      </c>
      <c r="Y589" t="s">
        <v>50</v>
      </c>
      <c r="Z589" t="s">
        <v>51</v>
      </c>
      <c r="AA589" t="s">
        <v>37</v>
      </c>
      <c r="AB589" t="s">
        <v>52</v>
      </c>
      <c r="AC589" t="s">
        <v>53</v>
      </c>
      <c r="AD589" t="s">
        <v>54</v>
      </c>
      <c r="AE589">
        <v>29.204922655499999</v>
      </c>
      <c r="AF589">
        <v>2243</v>
      </c>
      <c r="AG589">
        <v>2243.2727350700002</v>
      </c>
      <c r="AH589">
        <v>292053.93267399998</v>
      </c>
      <c r="AI589">
        <v>43</v>
      </c>
      <c r="AJ589">
        <v>33204.536411234498</v>
      </c>
      <c r="AK589" s="1">
        <f>intersection_ss_Lnight___surface[[#This Row],[surf m2 bout ss]]/intersection_ss_Lnight___surface[[#This Row],[Shape_Area]]</f>
        <v>0.11369316655735115</v>
      </c>
      <c r="AL589">
        <v>1053</v>
      </c>
      <c r="AM589">
        <f>intersection_ss_Lnight___surface[[#This Row],[Population totale 2024 ss]]*intersection_ss_Lnight___surface[[#This Row],[Part de la surface du qs dans le noise contour]]</f>
        <v>119.71890438489076</v>
      </c>
    </row>
    <row r="590" spans="1:39" x14ac:dyDescent="0.3">
      <c r="A590">
        <v>602</v>
      </c>
      <c r="B590" t="s">
        <v>1438</v>
      </c>
      <c r="C590" t="s">
        <v>1439</v>
      </c>
      <c r="D590" t="s">
        <v>1440</v>
      </c>
      <c r="E590" t="s">
        <v>1440</v>
      </c>
      <c r="F590" t="s">
        <v>1437</v>
      </c>
      <c r="G590" t="s">
        <v>1363</v>
      </c>
      <c r="H590" t="s">
        <v>1364</v>
      </c>
      <c r="I590" t="s">
        <v>1365</v>
      </c>
      <c r="J590" t="s">
        <v>36</v>
      </c>
      <c r="K590">
        <v>21019</v>
      </c>
      <c r="L590" t="s">
        <v>1366</v>
      </c>
      <c r="M590" t="s">
        <v>1367</v>
      </c>
      <c r="N590" t="s">
        <v>1367</v>
      </c>
      <c r="O590">
        <v>21000</v>
      </c>
      <c r="P590" t="s">
        <v>46</v>
      </c>
      <c r="Q590" t="s">
        <v>47</v>
      </c>
      <c r="R590" t="s">
        <v>48</v>
      </c>
      <c r="T590" t="s">
        <v>36</v>
      </c>
      <c r="U590" t="s">
        <v>36</v>
      </c>
      <c r="V590" t="s">
        <v>36</v>
      </c>
      <c r="W590">
        <v>4000</v>
      </c>
      <c r="X590" t="s">
        <v>49</v>
      </c>
      <c r="Y590" t="s">
        <v>50</v>
      </c>
      <c r="Z590" t="s">
        <v>51</v>
      </c>
      <c r="AA590" t="s">
        <v>37</v>
      </c>
      <c r="AB590" t="s">
        <v>52</v>
      </c>
      <c r="AC590" t="s">
        <v>53</v>
      </c>
      <c r="AD590" t="s">
        <v>54</v>
      </c>
      <c r="AE590">
        <v>29.204922655499999</v>
      </c>
      <c r="AF590">
        <v>2243</v>
      </c>
      <c r="AG590">
        <v>2243.2727350700002</v>
      </c>
      <c r="AH590">
        <v>292053.93267399998</v>
      </c>
      <c r="AI590">
        <v>44</v>
      </c>
      <c r="AJ590">
        <v>53542.0065187527</v>
      </c>
      <c r="AK590" s="1">
        <f>intersection_ss_Lnight___surface[[#This Row],[surf m2 bout ss]]/intersection_ss_Lnight___surface[[#This Row],[Shape_Area]]</f>
        <v>0.18332917495248391</v>
      </c>
      <c r="AL590">
        <v>1053</v>
      </c>
      <c r="AM590">
        <f>intersection_ss_Lnight___surface[[#This Row],[Population totale 2024 ss]]*intersection_ss_Lnight___surface[[#This Row],[Part de la surface du qs dans le noise contour]]</f>
        <v>193.04562122496554</v>
      </c>
    </row>
    <row r="591" spans="1:39" x14ac:dyDescent="0.3">
      <c r="A591">
        <v>603</v>
      </c>
      <c r="B591" t="s">
        <v>1438</v>
      </c>
      <c r="C591" t="s">
        <v>1439</v>
      </c>
      <c r="D591" t="s">
        <v>1440</v>
      </c>
      <c r="E591" t="s">
        <v>1440</v>
      </c>
      <c r="F591" t="s">
        <v>1437</v>
      </c>
      <c r="G591" t="s">
        <v>1363</v>
      </c>
      <c r="H591" t="s">
        <v>1364</v>
      </c>
      <c r="I591" t="s">
        <v>1365</v>
      </c>
      <c r="J591" t="s">
        <v>36</v>
      </c>
      <c r="K591">
        <v>21019</v>
      </c>
      <c r="L591" t="s">
        <v>1366</v>
      </c>
      <c r="M591" t="s">
        <v>1367</v>
      </c>
      <c r="N591" t="s">
        <v>1367</v>
      </c>
      <c r="O591">
        <v>21000</v>
      </c>
      <c r="P591" t="s">
        <v>46</v>
      </c>
      <c r="Q591" t="s">
        <v>47</v>
      </c>
      <c r="R591" t="s">
        <v>48</v>
      </c>
      <c r="T591" t="s">
        <v>36</v>
      </c>
      <c r="U591" t="s">
        <v>36</v>
      </c>
      <c r="V591" t="s">
        <v>36</v>
      </c>
      <c r="W591">
        <v>4000</v>
      </c>
      <c r="X591" t="s">
        <v>49</v>
      </c>
      <c r="Y591" t="s">
        <v>50</v>
      </c>
      <c r="Z591" t="s">
        <v>51</v>
      </c>
      <c r="AA591" t="s">
        <v>37</v>
      </c>
      <c r="AB591" t="s">
        <v>52</v>
      </c>
      <c r="AC591" t="s">
        <v>53</v>
      </c>
      <c r="AD591" t="s">
        <v>54</v>
      </c>
      <c r="AE591">
        <v>29.204922655499999</v>
      </c>
      <c r="AF591">
        <v>2243</v>
      </c>
      <c r="AG591">
        <v>2243.2727350700002</v>
      </c>
      <c r="AH591">
        <v>292053.93267399998</v>
      </c>
      <c r="AI591">
        <v>45</v>
      </c>
      <c r="AJ591">
        <v>135755.95328878501</v>
      </c>
      <c r="AK591" s="1">
        <f>intersection_ss_Lnight___surface[[#This Row],[surf m2 bout ss]]/intersection_ss_Lnight___surface[[#This Row],[Shape_Area]]</f>
        <v>0.46483179338084851</v>
      </c>
      <c r="AL591">
        <v>1053</v>
      </c>
      <c r="AM591">
        <f>intersection_ss_Lnight___surface[[#This Row],[Population totale 2024 ss]]*intersection_ss_Lnight___surface[[#This Row],[Part de la surface du qs dans le noise contour]]</f>
        <v>489.46787843003347</v>
      </c>
    </row>
    <row r="592" spans="1:39" x14ac:dyDescent="0.3">
      <c r="A592">
        <v>604</v>
      </c>
      <c r="B592" t="s">
        <v>1438</v>
      </c>
      <c r="C592" t="s">
        <v>1439</v>
      </c>
      <c r="D592" t="s">
        <v>1440</v>
      </c>
      <c r="E592" t="s">
        <v>1440</v>
      </c>
      <c r="F592" t="s">
        <v>1437</v>
      </c>
      <c r="G592" t="s">
        <v>1363</v>
      </c>
      <c r="H592" t="s">
        <v>1364</v>
      </c>
      <c r="I592" t="s">
        <v>1365</v>
      </c>
      <c r="J592" t="s">
        <v>36</v>
      </c>
      <c r="K592">
        <v>21019</v>
      </c>
      <c r="L592" t="s">
        <v>1366</v>
      </c>
      <c r="M592" t="s">
        <v>1367</v>
      </c>
      <c r="N592" t="s">
        <v>1367</v>
      </c>
      <c r="O592">
        <v>21000</v>
      </c>
      <c r="P592" t="s">
        <v>46</v>
      </c>
      <c r="Q592" t="s">
        <v>47</v>
      </c>
      <c r="R592" t="s">
        <v>48</v>
      </c>
      <c r="T592" t="s">
        <v>36</v>
      </c>
      <c r="U592" t="s">
        <v>36</v>
      </c>
      <c r="V592" t="s">
        <v>36</v>
      </c>
      <c r="W592">
        <v>4000</v>
      </c>
      <c r="X592" t="s">
        <v>49</v>
      </c>
      <c r="Y592" t="s">
        <v>50</v>
      </c>
      <c r="Z592" t="s">
        <v>51</v>
      </c>
      <c r="AA592" t="s">
        <v>37</v>
      </c>
      <c r="AB592" t="s">
        <v>52</v>
      </c>
      <c r="AC592" t="s">
        <v>53</v>
      </c>
      <c r="AD592" t="s">
        <v>54</v>
      </c>
      <c r="AE592">
        <v>29.204922655499999</v>
      </c>
      <c r="AF592">
        <v>2243</v>
      </c>
      <c r="AG592">
        <v>2243.2727350700002</v>
      </c>
      <c r="AH592">
        <v>292053.93267399998</v>
      </c>
      <c r="AI592">
        <v>46</v>
      </c>
      <c r="AJ592">
        <v>69421.773305452705</v>
      </c>
      <c r="AK592" s="1">
        <f>intersection_ss_Lnight___surface[[#This Row],[surf m2 bout ss]]/intersection_ss_Lnight___surface[[#This Row],[Shape_Area]]</f>
        <v>0.23770189522817872</v>
      </c>
      <c r="AL592">
        <v>1053</v>
      </c>
      <c r="AM592">
        <f>intersection_ss_Lnight___surface[[#This Row],[Population totale 2024 ss]]*intersection_ss_Lnight___surface[[#This Row],[Part de la surface du qs dans le noise contour]]</f>
        <v>250.30009567527219</v>
      </c>
    </row>
    <row r="593" spans="1:39" x14ac:dyDescent="0.3">
      <c r="A593">
        <v>605</v>
      </c>
      <c r="B593" t="s">
        <v>1441</v>
      </c>
      <c r="C593" t="s">
        <v>1442</v>
      </c>
      <c r="D593" t="s">
        <v>1443</v>
      </c>
      <c r="E593" t="s">
        <v>1443</v>
      </c>
      <c r="F593" t="s">
        <v>1437</v>
      </c>
      <c r="G593" t="s">
        <v>1363</v>
      </c>
      <c r="H593" t="s">
        <v>1364</v>
      </c>
      <c r="I593" t="s">
        <v>1365</v>
      </c>
      <c r="J593" t="s">
        <v>36</v>
      </c>
      <c r="K593">
        <v>21019</v>
      </c>
      <c r="L593" t="s">
        <v>1366</v>
      </c>
      <c r="M593" t="s">
        <v>1367</v>
      </c>
      <c r="N593" t="s">
        <v>1367</v>
      </c>
      <c r="O593">
        <v>21000</v>
      </c>
      <c r="P593" t="s">
        <v>46</v>
      </c>
      <c r="Q593" t="s">
        <v>47</v>
      </c>
      <c r="R593" t="s">
        <v>48</v>
      </c>
      <c r="T593" t="s">
        <v>36</v>
      </c>
      <c r="U593" t="s">
        <v>36</v>
      </c>
      <c r="V593" t="s">
        <v>36</v>
      </c>
      <c r="W593">
        <v>4000</v>
      </c>
      <c r="X593" t="s">
        <v>49</v>
      </c>
      <c r="Y593" t="s">
        <v>50</v>
      </c>
      <c r="Z593" t="s">
        <v>51</v>
      </c>
      <c r="AA593" t="s">
        <v>37</v>
      </c>
      <c r="AB593" t="s">
        <v>52</v>
      </c>
      <c r="AC593" t="s">
        <v>53</v>
      </c>
      <c r="AD593" t="s">
        <v>54</v>
      </c>
      <c r="AE593">
        <v>28.232135417399999</v>
      </c>
      <c r="AF593">
        <v>2085</v>
      </c>
      <c r="AG593">
        <v>2084.85553058</v>
      </c>
      <c r="AH593">
        <v>282325.91513799998</v>
      </c>
      <c r="AI593">
        <v>41</v>
      </c>
      <c r="AJ593">
        <v>58864.675692214601</v>
      </c>
      <c r="AK593" s="1">
        <f>intersection_ss_Lnight___surface[[#This Row],[surf m2 bout ss]]/intersection_ss_Lnight___surface[[#This Row],[Shape_Area]]</f>
        <v>0.20849901668942344</v>
      </c>
      <c r="AL593">
        <v>1285</v>
      </c>
      <c r="AM593">
        <f>intersection_ss_Lnight___surface[[#This Row],[Population totale 2024 ss]]*intersection_ss_Lnight___surface[[#This Row],[Part de la surface du qs dans le noise contour]]</f>
        <v>267.92123644590913</v>
      </c>
    </row>
    <row r="594" spans="1:39" x14ac:dyDescent="0.3">
      <c r="A594">
        <v>606</v>
      </c>
      <c r="B594" t="s">
        <v>1441</v>
      </c>
      <c r="C594" t="s">
        <v>1442</v>
      </c>
      <c r="D594" t="s">
        <v>1443</v>
      </c>
      <c r="E594" t="s">
        <v>1443</v>
      </c>
      <c r="F594" t="s">
        <v>1437</v>
      </c>
      <c r="G594" t="s">
        <v>1363</v>
      </c>
      <c r="H594" t="s">
        <v>1364</v>
      </c>
      <c r="I594" t="s">
        <v>1365</v>
      </c>
      <c r="J594" t="s">
        <v>36</v>
      </c>
      <c r="K594">
        <v>21019</v>
      </c>
      <c r="L594" t="s">
        <v>1366</v>
      </c>
      <c r="M594" t="s">
        <v>1367</v>
      </c>
      <c r="N594" t="s">
        <v>1367</v>
      </c>
      <c r="O594">
        <v>21000</v>
      </c>
      <c r="P594" t="s">
        <v>46</v>
      </c>
      <c r="Q594" t="s">
        <v>47</v>
      </c>
      <c r="R594" t="s">
        <v>48</v>
      </c>
      <c r="T594" t="s">
        <v>36</v>
      </c>
      <c r="U594" t="s">
        <v>36</v>
      </c>
      <c r="V594" t="s">
        <v>36</v>
      </c>
      <c r="W594">
        <v>4000</v>
      </c>
      <c r="X594" t="s">
        <v>49</v>
      </c>
      <c r="Y594" t="s">
        <v>50</v>
      </c>
      <c r="Z594" t="s">
        <v>51</v>
      </c>
      <c r="AA594" t="s">
        <v>37</v>
      </c>
      <c r="AB594" t="s">
        <v>52</v>
      </c>
      <c r="AC594" t="s">
        <v>53</v>
      </c>
      <c r="AD594" t="s">
        <v>54</v>
      </c>
      <c r="AE594">
        <v>28.232135417399999</v>
      </c>
      <c r="AF594">
        <v>2085</v>
      </c>
      <c r="AG594">
        <v>2084.85553058</v>
      </c>
      <c r="AH594">
        <v>282325.91513799998</v>
      </c>
      <c r="AI594">
        <v>42</v>
      </c>
      <c r="AJ594">
        <v>150242.290733442</v>
      </c>
      <c r="AK594" s="1">
        <f>intersection_ss_Lnight___surface[[#This Row],[surf m2 bout ss]]/intersection_ss_Lnight___surface[[#This Row],[Shape_Area]]</f>
        <v>0.53215904979889661</v>
      </c>
      <c r="AL594">
        <v>1285</v>
      </c>
      <c r="AM594">
        <f>intersection_ss_Lnight___surface[[#This Row],[Population totale 2024 ss]]*intersection_ss_Lnight___surface[[#This Row],[Part de la surface du qs dans le noise contour]]</f>
        <v>683.82437899158219</v>
      </c>
    </row>
    <row r="595" spans="1:39" x14ac:dyDescent="0.3">
      <c r="A595">
        <v>607</v>
      </c>
      <c r="B595" t="s">
        <v>1441</v>
      </c>
      <c r="C595" t="s">
        <v>1442</v>
      </c>
      <c r="D595" t="s">
        <v>1443</v>
      </c>
      <c r="E595" t="s">
        <v>1443</v>
      </c>
      <c r="F595" t="s">
        <v>1437</v>
      </c>
      <c r="G595" t="s">
        <v>1363</v>
      </c>
      <c r="H595" t="s">
        <v>1364</v>
      </c>
      <c r="I595" t="s">
        <v>1365</v>
      </c>
      <c r="J595" t="s">
        <v>36</v>
      </c>
      <c r="K595">
        <v>21019</v>
      </c>
      <c r="L595" t="s">
        <v>1366</v>
      </c>
      <c r="M595" t="s">
        <v>1367</v>
      </c>
      <c r="N595" t="s">
        <v>1367</v>
      </c>
      <c r="O595">
        <v>21000</v>
      </c>
      <c r="P595" t="s">
        <v>46</v>
      </c>
      <c r="Q595" t="s">
        <v>47</v>
      </c>
      <c r="R595" t="s">
        <v>48</v>
      </c>
      <c r="T595" t="s">
        <v>36</v>
      </c>
      <c r="U595" t="s">
        <v>36</v>
      </c>
      <c r="V595" t="s">
        <v>36</v>
      </c>
      <c r="W595">
        <v>4000</v>
      </c>
      <c r="X595" t="s">
        <v>49</v>
      </c>
      <c r="Y595" t="s">
        <v>50</v>
      </c>
      <c r="Z595" t="s">
        <v>51</v>
      </c>
      <c r="AA595" t="s">
        <v>37</v>
      </c>
      <c r="AB595" t="s">
        <v>52</v>
      </c>
      <c r="AC595" t="s">
        <v>53</v>
      </c>
      <c r="AD595" t="s">
        <v>54</v>
      </c>
      <c r="AE595">
        <v>28.232135417399999</v>
      </c>
      <c r="AF595">
        <v>2085</v>
      </c>
      <c r="AG595">
        <v>2084.85553058</v>
      </c>
      <c r="AH595">
        <v>282325.91513799998</v>
      </c>
      <c r="AI595">
        <v>43</v>
      </c>
      <c r="AJ595">
        <v>67350.015949611203</v>
      </c>
      <c r="AK595" s="1">
        <f>intersection_ss_Lnight___surface[[#This Row],[surf m2 bout ss]]/intersection_ss_Lnight___surface[[#This Row],[Shape_Area]]</f>
        <v>0.23855414022722901</v>
      </c>
      <c r="AL595">
        <v>1285</v>
      </c>
      <c r="AM595">
        <f>intersection_ss_Lnight___surface[[#This Row],[Population totale 2024 ss]]*intersection_ss_Lnight___surface[[#This Row],[Part de la surface du qs dans le noise contour]]</f>
        <v>306.5420701919893</v>
      </c>
    </row>
    <row r="596" spans="1:39" x14ac:dyDescent="0.3">
      <c r="A596">
        <v>608</v>
      </c>
      <c r="B596" t="s">
        <v>1441</v>
      </c>
      <c r="C596" t="s">
        <v>1442</v>
      </c>
      <c r="D596" t="s">
        <v>1443</v>
      </c>
      <c r="E596" t="s">
        <v>1443</v>
      </c>
      <c r="F596" t="s">
        <v>1437</v>
      </c>
      <c r="G596" t="s">
        <v>1363</v>
      </c>
      <c r="H596" t="s">
        <v>1364</v>
      </c>
      <c r="I596" t="s">
        <v>1365</v>
      </c>
      <c r="J596" t="s">
        <v>36</v>
      </c>
      <c r="K596">
        <v>21019</v>
      </c>
      <c r="L596" t="s">
        <v>1366</v>
      </c>
      <c r="M596" t="s">
        <v>1367</v>
      </c>
      <c r="N596" t="s">
        <v>1367</v>
      </c>
      <c r="O596">
        <v>21000</v>
      </c>
      <c r="P596" t="s">
        <v>46</v>
      </c>
      <c r="Q596" t="s">
        <v>47</v>
      </c>
      <c r="R596" t="s">
        <v>48</v>
      </c>
      <c r="T596" t="s">
        <v>36</v>
      </c>
      <c r="U596" t="s">
        <v>36</v>
      </c>
      <c r="V596" t="s">
        <v>36</v>
      </c>
      <c r="W596">
        <v>4000</v>
      </c>
      <c r="X596" t="s">
        <v>49</v>
      </c>
      <c r="Y596" t="s">
        <v>50</v>
      </c>
      <c r="Z596" t="s">
        <v>51</v>
      </c>
      <c r="AA596" t="s">
        <v>37</v>
      </c>
      <c r="AB596" t="s">
        <v>52</v>
      </c>
      <c r="AC596" t="s">
        <v>53</v>
      </c>
      <c r="AD596" t="s">
        <v>54</v>
      </c>
      <c r="AE596">
        <v>28.232135417399999</v>
      </c>
      <c r="AF596">
        <v>2085</v>
      </c>
      <c r="AG596">
        <v>2084.85553058</v>
      </c>
      <c r="AH596">
        <v>282325.91513799998</v>
      </c>
      <c r="AI596">
        <v>44</v>
      </c>
      <c r="AJ596">
        <v>5897.6836014990704</v>
      </c>
      <c r="AK596" s="1">
        <f>intersection_ss_Lnight___surface[[#This Row],[surf m2 bout ss]]/intersection_ss_Lnight___surface[[#This Row],[Shape_Area]]</f>
        <v>2.0889628919174147E-2</v>
      </c>
      <c r="AL596">
        <v>1285</v>
      </c>
      <c r="AM596">
        <f>intersection_ss_Lnight___surface[[#This Row],[Population totale 2024 ss]]*intersection_ss_Lnight___surface[[#This Row],[Part de la surface du qs dans le noise contour]]</f>
        <v>26.843173161138779</v>
      </c>
    </row>
    <row r="597" spans="1:39" x14ac:dyDescent="0.3">
      <c r="A597">
        <v>609</v>
      </c>
      <c r="B597" t="s">
        <v>1444</v>
      </c>
      <c r="C597" t="s">
        <v>1445</v>
      </c>
      <c r="D597" t="s">
        <v>1446</v>
      </c>
      <c r="E597" t="s">
        <v>1446</v>
      </c>
      <c r="F597" t="s">
        <v>1437</v>
      </c>
      <c r="G597" t="s">
        <v>1363</v>
      </c>
      <c r="H597" t="s">
        <v>1364</v>
      </c>
      <c r="I597" t="s">
        <v>1365</v>
      </c>
      <c r="J597" t="s">
        <v>36</v>
      </c>
      <c r="K597">
        <v>21019</v>
      </c>
      <c r="L597" t="s">
        <v>1366</v>
      </c>
      <c r="M597" t="s">
        <v>1367</v>
      </c>
      <c r="N597" t="s">
        <v>1367</v>
      </c>
      <c r="O597">
        <v>21000</v>
      </c>
      <c r="P597" t="s">
        <v>46</v>
      </c>
      <c r="Q597" t="s">
        <v>47</v>
      </c>
      <c r="R597" t="s">
        <v>48</v>
      </c>
      <c r="T597" t="s">
        <v>36</v>
      </c>
      <c r="U597" t="s">
        <v>36</v>
      </c>
      <c r="V597" t="s">
        <v>36</v>
      </c>
      <c r="W597">
        <v>4000</v>
      </c>
      <c r="X597" t="s">
        <v>49</v>
      </c>
      <c r="Y597" t="s">
        <v>50</v>
      </c>
      <c r="Z597" t="s">
        <v>51</v>
      </c>
      <c r="AA597" t="s">
        <v>37</v>
      </c>
      <c r="AB597" t="s">
        <v>52</v>
      </c>
      <c r="AC597" t="s">
        <v>53</v>
      </c>
      <c r="AD597" t="s">
        <v>54</v>
      </c>
      <c r="AE597">
        <v>39.066715047599999</v>
      </c>
      <c r="AF597">
        <v>3352</v>
      </c>
      <c r="AG597">
        <v>3352.01663134</v>
      </c>
      <c r="AH597">
        <v>390673.43801599997</v>
      </c>
      <c r="AI597">
        <v>43</v>
      </c>
      <c r="AJ597">
        <v>5102.1350533403502</v>
      </c>
      <c r="AK597" s="1">
        <f>intersection_ss_Lnight___surface[[#This Row],[surf m2 bout ss]]/intersection_ss_Lnight___surface[[#This Row],[Shape_Area]]</f>
        <v>1.3059846298358766E-2</v>
      </c>
      <c r="AL597">
        <v>554</v>
      </c>
      <c r="AM597">
        <f>intersection_ss_Lnight___surface[[#This Row],[Population totale 2024 ss]]*intersection_ss_Lnight___surface[[#This Row],[Part de la surface du qs dans le noise contour]]</f>
        <v>7.2351548492907565</v>
      </c>
    </row>
    <row r="598" spans="1:39" x14ac:dyDescent="0.3">
      <c r="A598">
        <v>610</v>
      </c>
      <c r="B598" t="s">
        <v>1444</v>
      </c>
      <c r="C598" t="s">
        <v>1445</v>
      </c>
      <c r="D598" t="s">
        <v>1446</v>
      </c>
      <c r="E598" t="s">
        <v>1446</v>
      </c>
      <c r="F598" t="s">
        <v>1437</v>
      </c>
      <c r="G598" t="s">
        <v>1363</v>
      </c>
      <c r="H598" t="s">
        <v>1364</v>
      </c>
      <c r="I598" t="s">
        <v>1365</v>
      </c>
      <c r="J598" t="s">
        <v>36</v>
      </c>
      <c r="K598">
        <v>21019</v>
      </c>
      <c r="L598" t="s">
        <v>1366</v>
      </c>
      <c r="M598" t="s">
        <v>1367</v>
      </c>
      <c r="N598" t="s">
        <v>1367</v>
      </c>
      <c r="O598">
        <v>21000</v>
      </c>
      <c r="P598" t="s">
        <v>46</v>
      </c>
      <c r="Q598" t="s">
        <v>47</v>
      </c>
      <c r="R598" t="s">
        <v>48</v>
      </c>
      <c r="T598" t="s">
        <v>36</v>
      </c>
      <c r="U598" t="s">
        <v>36</v>
      </c>
      <c r="V598" t="s">
        <v>36</v>
      </c>
      <c r="W598">
        <v>4000</v>
      </c>
      <c r="X598" t="s">
        <v>49</v>
      </c>
      <c r="Y598" t="s">
        <v>50</v>
      </c>
      <c r="Z598" t="s">
        <v>51</v>
      </c>
      <c r="AA598" t="s">
        <v>37</v>
      </c>
      <c r="AB598" t="s">
        <v>52</v>
      </c>
      <c r="AC598" t="s">
        <v>53</v>
      </c>
      <c r="AD598" t="s">
        <v>54</v>
      </c>
      <c r="AE598">
        <v>39.066715047599999</v>
      </c>
      <c r="AF598">
        <v>3352</v>
      </c>
      <c r="AG598">
        <v>3352.01663134</v>
      </c>
      <c r="AH598">
        <v>390673.43801599997</v>
      </c>
      <c r="AI598">
        <v>44</v>
      </c>
      <c r="AJ598">
        <v>35364.9022661087</v>
      </c>
      <c r="AK598" s="1">
        <f>intersection_ss_Lnight___surface[[#This Row],[surf m2 bout ss]]/intersection_ss_Lnight___surface[[#This Row],[Shape_Area]]</f>
        <v>9.0522924838981084E-2</v>
      </c>
      <c r="AL598">
        <v>554</v>
      </c>
      <c r="AM598">
        <f>intersection_ss_Lnight___surface[[#This Row],[Population totale 2024 ss]]*intersection_ss_Lnight___surface[[#This Row],[Part de la surface du qs dans le noise contour]]</f>
        <v>50.149700360795521</v>
      </c>
    </row>
    <row r="599" spans="1:39" x14ac:dyDescent="0.3">
      <c r="A599">
        <v>611</v>
      </c>
      <c r="B599" t="s">
        <v>1444</v>
      </c>
      <c r="C599" t="s">
        <v>1445</v>
      </c>
      <c r="D599" t="s">
        <v>1446</v>
      </c>
      <c r="E599" t="s">
        <v>1446</v>
      </c>
      <c r="F599" t="s">
        <v>1437</v>
      </c>
      <c r="G599" t="s">
        <v>1363</v>
      </c>
      <c r="H599" t="s">
        <v>1364</v>
      </c>
      <c r="I599" t="s">
        <v>1365</v>
      </c>
      <c r="J599" t="s">
        <v>36</v>
      </c>
      <c r="K599">
        <v>21019</v>
      </c>
      <c r="L599" t="s">
        <v>1366</v>
      </c>
      <c r="M599" t="s">
        <v>1367</v>
      </c>
      <c r="N599" t="s">
        <v>1367</v>
      </c>
      <c r="O599">
        <v>21000</v>
      </c>
      <c r="P599" t="s">
        <v>46</v>
      </c>
      <c r="Q599" t="s">
        <v>47</v>
      </c>
      <c r="R599" t="s">
        <v>48</v>
      </c>
      <c r="T599" t="s">
        <v>36</v>
      </c>
      <c r="U599" t="s">
        <v>36</v>
      </c>
      <c r="V599" t="s">
        <v>36</v>
      </c>
      <c r="W599">
        <v>4000</v>
      </c>
      <c r="X599" t="s">
        <v>49</v>
      </c>
      <c r="Y599" t="s">
        <v>50</v>
      </c>
      <c r="Z599" t="s">
        <v>51</v>
      </c>
      <c r="AA599" t="s">
        <v>37</v>
      </c>
      <c r="AB599" t="s">
        <v>52</v>
      </c>
      <c r="AC599" t="s">
        <v>53</v>
      </c>
      <c r="AD599" t="s">
        <v>54</v>
      </c>
      <c r="AE599">
        <v>39.066715047599999</v>
      </c>
      <c r="AF599">
        <v>3352</v>
      </c>
      <c r="AG599">
        <v>3352.01663134</v>
      </c>
      <c r="AH599">
        <v>390673.43801599997</v>
      </c>
      <c r="AI599">
        <v>45</v>
      </c>
      <c r="AJ599">
        <v>104788.820440815</v>
      </c>
      <c r="AK599" s="1">
        <f>intersection_ss_Lnight___surface[[#This Row],[surf m2 bout ss]]/intersection_ss_Lnight___surface[[#This Row],[Shape_Area]]</f>
        <v>0.26822611993529849</v>
      </c>
      <c r="AL599">
        <v>554</v>
      </c>
      <c r="AM599">
        <f>intersection_ss_Lnight___surface[[#This Row],[Population totale 2024 ss]]*intersection_ss_Lnight___surface[[#This Row],[Part de la surface du qs dans le noise contour]]</f>
        <v>148.59727044415536</v>
      </c>
    </row>
    <row r="600" spans="1:39" x14ac:dyDescent="0.3">
      <c r="A600">
        <v>612</v>
      </c>
      <c r="B600" t="s">
        <v>1444</v>
      </c>
      <c r="C600" t="s">
        <v>1445</v>
      </c>
      <c r="D600" t="s">
        <v>1446</v>
      </c>
      <c r="E600" t="s">
        <v>1446</v>
      </c>
      <c r="F600" t="s">
        <v>1437</v>
      </c>
      <c r="G600" t="s">
        <v>1363</v>
      </c>
      <c r="H600" t="s">
        <v>1364</v>
      </c>
      <c r="I600" t="s">
        <v>1365</v>
      </c>
      <c r="J600" t="s">
        <v>36</v>
      </c>
      <c r="K600">
        <v>21019</v>
      </c>
      <c r="L600" t="s">
        <v>1366</v>
      </c>
      <c r="M600" t="s">
        <v>1367</v>
      </c>
      <c r="N600" t="s">
        <v>1367</v>
      </c>
      <c r="O600">
        <v>21000</v>
      </c>
      <c r="P600" t="s">
        <v>46</v>
      </c>
      <c r="Q600" t="s">
        <v>47</v>
      </c>
      <c r="R600" t="s">
        <v>48</v>
      </c>
      <c r="T600" t="s">
        <v>36</v>
      </c>
      <c r="U600" t="s">
        <v>36</v>
      </c>
      <c r="V600" t="s">
        <v>36</v>
      </c>
      <c r="W600">
        <v>4000</v>
      </c>
      <c r="X600" t="s">
        <v>49</v>
      </c>
      <c r="Y600" t="s">
        <v>50</v>
      </c>
      <c r="Z600" t="s">
        <v>51</v>
      </c>
      <c r="AA600" t="s">
        <v>37</v>
      </c>
      <c r="AB600" t="s">
        <v>52</v>
      </c>
      <c r="AC600" t="s">
        <v>53</v>
      </c>
      <c r="AD600" t="s">
        <v>54</v>
      </c>
      <c r="AE600">
        <v>39.066715047599999</v>
      </c>
      <c r="AF600">
        <v>3352</v>
      </c>
      <c r="AG600">
        <v>3352.01663134</v>
      </c>
      <c r="AH600">
        <v>390673.43801599997</v>
      </c>
      <c r="AI600">
        <v>46</v>
      </c>
      <c r="AJ600">
        <v>224376.21583611501</v>
      </c>
      <c r="AK600" s="1">
        <f>intersection_ss_Lnight___surface[[#This Row],[surf m2 bout ss]]/intersection_ss_Lnight___surface[[#This Row],[Shape_Area]]</f>
        <v>0.5743318946268513</v>
      </c>
      <c r="AL600">
        <v>554</v>
      </c>
      <c r="AM600">
        <f>intersection_ss_Lnight___surface[[#This Row],[Population totale 2024 ss]]*intersection_ss_Lnight___surface[[#This Row],[Part de la surface du qs dans le noise contour]]</f>
        <v>318.17986962327564</v>
      </c>
    </row>
    <row r="601" spans="1:39" x14ac:dyDescent="0.3">
      <c r="A601">
        <v>613</v>
      </c>
      <c r="B601" t="s">
        <v>1444</v>
      </c>
      <c r="C601" t="s">
        <v>1445</v>
      </c>
      <c r="D601" t="s">
        <v>1446</v>
      </c>
      <c r="E601" t="s">
        <v>1446</v>
      </c>
      <c r="F601" t="s">
        <v>1437</v>
      </c>
      <c r="G601" t="s">
        <v>1363</v>
      </c>
      <c r="H601" t="s">
        <v>1364</v>
      </c>
      <c r="I601" t="s">
        <v>1365</v>
      </c>
      <c r="J601" t="s">
        <v>36</v>
      </c>
      <c r="K601">
        <v>21019</v>
      </c>
      <c r="L601" t="s">
        <v>1366</v>
      </c>
      <c r="M601" t="s">
        <v>1367</v>
      </c>
      <c r="N601" t="s">
        <v>1367</v>
      </c>
      <c r="O601">
        <v>21000</v>
      </c>
      <c r="P601" t="s">
        <v>46</v>
      </c>
      <c r="Q601" t="s">
        <v>47</v>
      </c>
      <c r="R601" t="s">
        <v>48</v>
      </c>
      <c r="T601" t="s">
        <v>36</v>
      </c>
      <c r="U601" t="s">
        <v>36</v>
      </c>
      <c r="V601" t="s">
        <v>36</v>
      </c>
      <c r="W601">
        <v>4000</v>
      </c>
      <c r="X601" t="s">
        <v>49</v>
      </c>
      <c r="Y601" t="s">
        <v>50</v>
      </c>
      <c r="Z601" t="s">
        <v>51</v>
      </c>
      <c r="AA601" t="s">
        <v>37</v>
      </c>
      <c r="AB601" t="s">
        <v>52</v>
      </c>
      <c r="AC601" t="s">
        <v>53</v>
      </c>
      <c r="AD601" t="s">
        <v>54</v>
      </c>
      <c r="AE601">
        <v>39.066715047599999</v>
      </c>
      <c r="AF601">
        <v>3352</v>
      </c>
      <c r="AG601">
        <v>3352.01663134</v>
      </c>
      <c r="AH601">
        <v>390673.43801599997</v>
      </c>
      <c r="AI601">
        <v>47</v>
      </c>
      <c r="AJ601">
        <v>21081.3563166104</v>
      </c>
      <c r="AK601" s="1">
        <f>intersection_ss_Lnight___surface[[#This Row],[surf m2 bout ss]]/intersection_ss_Lnight___surface[[#This Row],[Shape_Area]]</f>
        <v>5.3961580863214495E-2</v>
      </c>
      <c r="AL601">
        <v>554</v>
      </c>
      <c r="AM601">
        <f>intersection_ss_Lnight___surface[[#This Row],[Population totale 2024 ss]]*intersection_ss_Lnight___surface[[#This Row],[Part de la surface du qs dans le noise contour]]</f>
        <v>29.89471579822083</v>
      </c>
    </row>
    <row r="602" spans="1:39" x14ac:dyDescent="0.3">
      <c r="A602">
        <v>614</v>
      </c>
      <c r="B602" t="s">
        <v>1447</v>
      </c>
      <c r="C602" t="s">
        <v>1448</v>
      </c>
      <c r="D602" t="s">
        <v>1449</v>
      </c>
      <c r="E602" t="s">
        <v>1449</v>
      </c>
      <c r="F602" t="s">
        <v>1437</v>
      </c>
      <c r="G602" t="s">
        <v>1363</v>
      </c>
      <c r="H602" t="s">
        <v>1364</v>
      </c>
      <c r="I602" t="s">
        <v>1365</v>
      </c>
      <c r="J602" t="s">
        <v>36</v>
      </c>
      <c r="K602">
        <v>21019</v>
      </c>
      <c r="L602" t="s">
        <v>1366</v>
      </c>
      <c r="M602" t="s">
        <v>1367</v>
      </c>
      <c r="N602" t="s">
        <v>1367</v>
      </c>
      <c r="O602">
        <v>21000</v>
      </c>
      <c r="P602" t="s">
        <v>46</v>
      </c>
      <c r="Q602" t="s">
        <v>47</v>
      </c>
      <c r="R602" t="s">
        <v>48</v>
      </c>
      <c r="T602" t="s">
        <v>36</v>
      </c>
      <c r="U602" t="s">
        <v>36</v>
      </c>
      <c r="V602" t="s">
        <v>36</v>
      </c>
      <c r="W602">
        <v>4000</v>
      </c>
      <c r="X602" t="s">
        <v>49</v>
      </c>
      <c r="Y602" t="s">
        <v>50</v>
      </c>
      <c r="Z602" t="s">
        <v>51</v>
      </c>
      <c r="AA602" t="s">
        <v>37</v>
      </c>
      <c r="AB602" t="s">
        <v>52</v>
      </c>
      <c r="AC602" t="s">
        <v>53</v>
      </c>
      <c r="AD602" t="s">
        <v>54</v>
      </c>
      <c r="AE602">
        <v>16.280465463700001</v>
      </c>
      <c r="AF602">
        <v>1971</v>
      </c>
      <c r="AG602">
        <v>1970.68622721</v>
      </c>
      <c r="AH602">
        <v>162807.27142800001</v>
      </c>
      <c r="AI602">
        <v>40</v>
      </c>
      <c r="AJ602">
        <v>43549.448424906303</v>
      </c>
      <c r="AK602" s="1">
        <f>intersection_ss_Lnight___surface[[#This Row],[surf m2 bout ss]]/intersection_ss_Lnight___surface[[#This Row],[Shape_Area]]</f>
        <v>0.26749080703170952</v>
      </c>
      <c r="AL602">
        <v>379</v>
      </c>
      <c r="AM602">
        <f>intersection_ss_Lnight___surface[[#This Row],[Population totale 2024 ss]]*intersection_ss_Lnight___surface[[#This Row],[Part de la surface du qs dans le noise contour]]</f>
        <v>101.37901586501791</v>
      </c>
    </row>
    <row r="603" spans="1:39" x14ac:dyDescent="0.3">
      <c r="A603">
        <v>615</v>
      </c>
      <c r="B603" t="s">
        <v>1447</v>
      </c>
      <c r="C603" t="s">
        <v>1448</v>
      </c>
      <c r="D603" t="s">
        <v>1449</v>
      </c>
      <c r="E603" t="s">
        <v>1449</v>
      </c>
      <c r="F603" t="s">
        <v>1437</v>
      </c>
      <c r="G603" t="s">
        <v>1363</v>
      </c>
      <c r="H603" t="s">
        <v>1364</v>
      </c>
      <c r="I603" t="s">
        <v>1365</v>
      </c>
      <c r="J603" t="s">
        <v>36</v>
      </c>
      <c r="K603">
        <v>21019</v>
      </c>
      <c r="L603" t="s">
        <v>1366</v>
      </c>
      <c r="M603" t="s">
        <v>1367</v>
      </c>
      <c r="N603" t="s">
        <v>1367</v>
      </c>
      <c r="O603">
        <v>21000</v>
      </c>
      <c r="P603" t="s">
        <v>46</v>
      </c>
      <c r="Q603" t="s">
        <v>47</v>
      </c>
      <c r="R603" t="s">
        <v>48</v>
      </c>
      <c r="T603" t="s">
        <v>36</v>
      </c>
      <c r="U603" t="s">
        <v>36</v>
      </c>
      <c r="V603" t="s">
        <v>36</v>
      </c>
      <c r="W603">
        <v>4000</v>
      </c>
      <c r="X603" t="s">
        <v>49</v>
      </c>
      <c r="Y603" t="s">
        <v>50</v>
      </c>
      <c r="Z603" t="s">
        <v>51</v>
      </c>
      <c r="AA603" t="s">
        <v>37</v>
      </c>
      <c r="AB603" t="s">
        <v>52</v>
      </c>
      <c r="AC603" t="s">
        <v>53</v>
      </c>
      <c r="AD603" t="s">
        <v>54</v>
      </c>
      <c r="AE603">
        <v>16.280465463700001</v>
      </c>
      <c r="AF603">
        <v>1971</v>
      </c>
      <c r="AG603">
        <v>1970.68622721</v>
      </c>
      <c r="AH603">
        <v>162807.27142800001</v>
      </c>
      <c r="AI603">
        <v>41</v>
      </c>
      <c r="AJ603">
        <v>35756.0294595499</v>
      </c>
      <c r="AK603" s="1">
        <f>intersection_ss_Lnight___surface[[#This Row],[surf m2 bout ss]]/intersection_ss_Lnight___surface[[#This Row],[Shape_Area]]</f>
        <v>0.21962182122413781</v>
      </c>
      <c r="AL603">
        <v>379</v>
      </c>
      <c r="AM603">
        <f>intersection_ss_Lnight___surface[[#This Row],[Population totale 2024 ss]]*intersection_ss_Lnight___surface[[#This Row],[Part de la surface du qs dans le noise contour]]</f>
        <v>83.236670243948225</v>
      </c>
    </row>
    <row r="604" spans="1:39" x14ac:dyDescent="0.3">
      <c r="A604">
        <v>616</v>
      </c>
      <c r="B604" t="s">
        <v>1447</v>
      </c>
      <c r="C604" t="s">
        <v>1448</v>
      </c>
      <c r="D604" t="s">
        <v>1449</v>
      </c>
      <c r="E604" t="s">
        <v>1449</v>
      </c>
      <c r="F604" t="s">
        <v>1437</v>
      </c>
      <c r="G604" t="s">
        <v>1363</v>
      </c>
      <c r="H604" t="s">
        <v>1364</v>
      </c>
      <c r="I604" t="s">
        <v>1365</v>
      </c>
      <c r="J604" t="s">
        <v>36</v>
      </c>
      <c r="K604">
        <v>21019</v>
      </c>
      <c r="L604" t="s">
        <v>1366</v>
      </c>
      <c r="M604" t="s">
        <v>1367</v>
      </c>
      <c r="N604" t="s">
        <v>1367</v>
      </c>
      <c r="O604">
        <v>21000</v>
      </c>
      <c r="P604" t="s">
        <v>46</v>
      </c>
      <c r="Q604" t="s">
        <v>47</v>
      </c>
      <c r="R604" t="s">
        <v>48</v>
      </c>
      <c r="T604" t="s">
        <v>36</v>
      </c>
      <c r="U604" t="s">
        <v>36</v>
      </c>
      <c r="V604" t="s">
        <v>36</v>
      </c>
      <c r="W604">
        <v>4000</v>
      </c>
      <c r="X604" t="s">
        <v>49</v>
      </c>
      <c r="Y604" t="s">
        <v>50</v>
      </c>
      <c r="Z604" t="s">
        <v>51</v>
      </c>
      <c r="AA604" t="s">
        <v>37</v>
      </c>
      <c r="AB604" t="s">
        <v>52</v>
      </c>
      <c r="AC604" t="s">
        <v>53</v>
      </c>
      <c r="AD604" t="s">
        <v>54</v>
      </c>
      <c r="AE604">
        <v>16.280465463700001</v>
      </c>
      <c r="AF604">
        <v>1971</v>
      </c>
      <c r="AG604">
        <v>1970.68622721</v>
      </c>
      <c r="AH604">
        <v>162807.27142800001</v>
      </c>
      <c r="AI604">
        <v>42</v>
      </c>
      <c r="AJ604">
        <v>31193.6810013553</v>
      </c>
      <c r="AK604" s="1">
        <f>intersection_ss_Lnight___surface[[#This Row],[surf m2 bout ss]]/intersection_ss_Lnight___surface[[#This Row],[Shape_Area]]</f>
        <v>0.19159881943694643</v>
      </c>
      <c r="AL604">
        <v>379</v>
      </c>
      <c r="AM604">
        <f>intersection_ss_Lnight___surface[[#This Row],[Population totale 2024 ss]]*intersection_ss_Lnight___surface[[#This Row],[Part de la surface du qs dans le noise contour]]</f>
        <v>72.615952566602701</v>
      </c>
    </row>
    <row r="605" spans="1:39" x14ac:dyDescent="0.3">
      <c r="A605">
        <v>617</v>
      </c>
      <c r="B605" t="s">
        <v>1447</v>
      </c>
      <c r="C605" t="s">
        <v>1448</v>
      </c>
      <c r="D605" t="s">
        <v>1449</v>
      </c>
      <c r="E605" t="s">
        <v>1449</v>
      </c>
      <c r="F605" t="s">
        <v>1437</v>
      </c>
      <c r="G605" t="s">
        <v>1363</v>
      </c>
      <c r="H605" t="s">
        <v>1364</v>
      </c>
      <c r="I605" t="s">
        <v>1365</v>
      </c>
      <c r="J605" t="s">
        <v>36</v>
      </c>
      <c r="K605">
        <v>21019</v>
      </c>
      <c r="L605" t="s">
        <v>1366</v>
      </c>
      <c r="M605" t="s">
        <v>1367</v>
      </c>
      <c r="N605" t="s">
        <v>1367</v>
      </c>
      <c r="O605">
        <v>21000</v>
      </c>
      <c r="P605" t="s">
        <v>46</v>
      </c>
      <c r="Q605" t="s">
        <v>47</v>
      </c>
      <c r="R605" t="s">
        <v>48</v>
      </c>
      <c r="T605" t="s">
        <v>36</v>
      </c>
      <c r="U605" t="s">
        <v>36</v>
      </c>
      <c r="V605" t="s">
        <v>36</v>
      </c>
      <c r="W605">
        <v>4000</v>
      </c>
      <c r="X605" t="s">
        <v>49</v>
      </c>
      <c r="Y605" t="s">
        <v>50</v>
      </c>
      <c r="Z605" t="s">
        <v>51</v>
      </c>
      <c r="AA605" t="s">
        <v>37</v>
      </c>
      <c r="AB605" t="s">
        <v>52</v>
      </c>
      <c r="AC605" t="s">
        <v>53</v>
      </c>
      <c r="AD605" t="s">
        <v>54</v>
      </c>
      <c r="AE605">
        <v>16.280465463700001</v>
      </c>
      <c r="AF605">
        <v>1971</v>
      </c>
      <c r="AG605">
        <v>1970.68622721</v>
      </c>
      <c r="AH605">
        <v>162807.27142800001</v>
      </c>
      <c r="AI605">
        <v>43</v>
      </c>
      <c r="AJ605">
        <v>4219.7887194159002</v>
      </c>
      <c r="AK605" s="1">
        <f>intersection_ss_Lnight___surface[[#This Row],[surf m2 bout ss]]/intersection_ss_Lnight___surface[[#This Row],[Shape_Area]]</f>
        <v>2.5918920465920727E-2</v>
      </c>
      <c r="AL605">
        <v>379</v>
      </c>
      <c r="AM605">
        <f>intersection_ss_Lnight___surface[[#This Row],[Population totale 2024 ss]]*intersection_ss_Lnight___surface[[#This Row],[Part de la surface du qs dans le noise contour]]</f>
        <v>9.8232708565839548</v>
      </c>
    </row>
    <row r="606" spans="1:39" x14ac:dyDescent="0.3">
      <c r="A606">
        <v>618</v>
      </c>
      <c r="B606" t="s">
        <v>1450</v>
      </c>
      <c r="C606" t="s">
        <v>1451</v>
      </c>
      <c r="D606" t="s">
        <v>1452</v>
      </c>
      <c r="E606" t="s">
        <v>1452</v>
      </c>
      <c r="F606" t="s">
        <v>1437</v>
      </c>
      <c r="G606" t="s">
        <v>1363</v>
      </c>
      <c r="H606" t="s">
        <v>1364</v>
      </c>
      <c r="I606" t="s">
        <v>1365</v>
      </c>
      <c r="J606" t="s">
        <v>36</v>
      </c>
      <c r="K606">
        <v>21019</v>
      </c>
      <c r="L606" t="s">
        <v>1366</v>
      </c>
      <c r="M606" t="s">
        <v>1367</v>
      </c>
      <c r="N606" t="s">
        <v>1367</v>
      </c>
      <c r="O606">
        <v>21000</v>
      </c>
      <c r="P606" t="s">
        <v>46</v>
      </c>
      <c r="Q606" t="s">
        <v>47</v>
      </c>
      <c r="R606" t="s">
        <v>48</v>
      </c>
      <c r="T606" t="s">
        <v>36</v>
      </c>
      <c r="U606" t="s">
        <v>36</v>
      </c>
      <c r="V606" t="s">
        <v>36</v>
      </c>
      <c r="W606">
        <v>4000</v>
      </c>
      <c r="X606" t="s">
        <v>49</v>
      </c>
      <c r="Y606" t="s">
        <v>50</v>
      </c>
      <c r="Z606" t="s">
        <v>51</v>
      </c>
      <c r="AA606" t="s">
        <v>37</v>
      </c>
      <c r="AB606" t="s">
        <v>52</v>
      </c>
      <c r="AC606" t="s">
        <v>53</v>
      </c>
      <c r="AD606" t="s">
        <v>54</v>
      </c>
      <c r="AE606">
        <v>21.239863248300001</v>
      </c>
      <c r="AF606">
        <v>1922</v>
      </c>
      <c r="AG606">
        <v>1922.0392850000001</v>
      </c>
      <c r="AH606">
        <v>212402.07000899999</v>
      </c>
      <c r="AI606">
        <v>40</v>
      </c>
      <c r="AJ606">
        <v>7867.86751020886</v>
      </c>
      <c r="AK606" s="1">
        <f>intersection_ss_Lnight___surface[[#This Row],[surf m2 bout ss]]/intersection_ss_Lnight___surface[[#This Row],[Shape_Area]]</f>
        <v>3.7042329718705094E-2</v>
      </c>
      <c r="AL606">
        <v>957</v>
      </c>
      <c r="AM606">
        <f>intersection_ss_Lnight___surface[[#This Row],[Population totale 2024 ss]]*intersection_ss_Lnight___surface[[#This Row],[Part de la surface du qs dans le noise contour]]</f>
        <v>35.449509540800776</v>
      </c>
    </row>
    <row r="607" spans="1:39" x14ac:dyDescent="0.3">
      <c r="A607">
        <v>619</v>
      </c>
      <c r="B607" t="s">
        <v>1450</v>
      </c>
      <c r="C607" t="s">
        <v>1451</v>
      </c>
      <c r="D607" t="s">
        <v>1452</v>
      </c>
      <c r="E607" t="s">
        <v>1452</v>
      </c>
      <c r="F607" t="s">
        <v>1437</v>
      </c>
      <c r="G607" t="s">
        <v>1363</v>
      </c>
      <c r="H607" t="s">
        <v>1364</v>
      </c>
      <c r="I607" t="s">
        <v>1365</v>
      </c>
      <c r="J607" t="s">
        <v>36</v>
      </c>
      <c r="K607">
        <v>21019</v>
      </c>
      <c r="L607" t="s">
        <v>1366</v>
      </c>
      <c r="M607" t="s">
        <v>1367</v>
      </c>
      <c r="N607" t="s">
        <v>1367</v>
      </c>
      <c r="O607">
        <v>21000</v>
      </c>
      <c r="P607" t="s">
        <v>46</v>
      </c>
      <c r="Q607" t="s">
        <v>47</v>
      </c>
      <c r="R607" t="s">
        <v>48</v>
      </c>
      <c r="T607" t="s">
        <v>36</v>
      </c>
      <c r="U607" t="s">
        <v>36</v>
      </c>
      <c r="V607" t="s">
        <v>36</v>
      </c>
      <c r="W607">
        <v>4000</v>
      </c>
      <c r="X607" t="s">
        <v>49</v>
      </c>
      <c r="Y607" t="s">
        <v>50</v>
      </c>
      <c r="Z607" t="s">
        <v>51</v>
      </c>
      <c r="AA607" t="s">
        <v>37</v>
      </c>
      <c r="AB607" t="s">
        <v>52</v>
      </c>
      <c r="AC607" t="s">
        <v>53</v>
      </c>
      <c r="AD607" t="s">
        <v>54</v>
      </c>
      <c r="AE607">
        <v>21.239863248300001</v>
      </c>
      <c r="AF607">
        <v>1922</v>
      </c>
      <c r="AG607">
        <v>1922.0392850000001</v>
      </c>
      <c r="AH607">
        <v>212402.07000899999</v>
      </c>
      <c r="AI607">
        <v>41</v>
      </c>
      <c r="AJ607">
        <v>128189.439289642</v>
      </c>
      <c r="AK607" s="1">
        <f>intersection_ss_Lnight___surface[[#This Row],[surf m2 bout ss]]/intersection_ss_Lnight___surface[[#This Row],[Shape_Area]]</f>
        <v>0.60352255175389913</v>
      </c>
      <c r="AL607">
        <v>957</v>
      </c>
      <c r="AM607">
        <f>intersection_ss_Lnight___surface[[#This Row],[Population totale 2024 ss]]*intersection_ss_Lnight___surface[[#This Row],[Part de la surface du qs dans le noise contour]]</f>
        <v>577.57108202848144</v>
      </c>
    </row>
    <row r="608" spans="1:39" x14ac:dyDescent="0.3">
      <c r="A608">
        <v>620</v>
      </c>
      <c r="B608" t="s">
        <v>1450</v>
      </c>
      <c r="C608" t="s">
        <v>1451</v>
      </c>
      <c r="D608" t="s">
        <v>1452</v>
      </c>
      <c r="E608" t="s">
        <v>1452</v>
      </c>
      <c r="F608" t="s">
        <v>1437</v>
      </c>
      <c r="G608" t="s">
        <v>1363</v>
      </c>
      <c r="H608" t="s">
        <v>1364</v>
      </c>
      <c r="I608" t="s">
        <v>1365</v>
      </c>
      <c r="J608" t="s">
        <v>36</v>
      </c>
      <c r="K608">
        <v>21019</v>
      </c>
      <c r="L608" t="s">
        <v>1366</v>
      </c>
      <c r="M608" t="s">
        <v>1367</v>
      </c>
      <c r="N608" t="s">
        <v>1367</v>
      </c>
      <c r="O608">
        <v>21000</v>
      </c>
      <c r="P608" t="s">
        <v>46</v>
      </c>
      <c r="Q608" t="s">
        <v>47</v>
      </c>
      <c r="R608" t="s">
        <v>48</v>
      </c>
      <c r="T608" t="s">
        <v>36</v>
      </c>
      <c r="U608" t="s">
        <v>36</v>
      </c>
      <c r="V608" t="s">
        <v>36</v>
      </c>
      <c r="W608">
        <v>4000</v>
      </c>
      <c r="X608" t="s">
        <v>49</v>
      </c>
      <c r="Y608" t="s">
        <v>50</v>
      </c>
      <c r="Z608" t="s">
        <v>51</v>
      </c>
      <c r="AA608" t="s">
        <v>37</v>
      </c>
      <c r="AB608" t="s">
        <v>52</v>
      </c>
      <c r="AC608" t="s">
        <v>53</v>
      </c>
      <c r="AD608" t="s">
        <v>54</v>
      </c>
      <c r="AE608">
        <v>21.239863248300001</v>
      </c>
      <c r="AF608">
        <v>1922</v>
      </c>
      <c r="AG608">
        <v>1922.0392850000001</v>
      </c>
      <c r="AH608">
        <v>212402.07000899999</v>
      </c>
      <c r="AI608">
        <v>42</v>
      </c>
      <c r="AJ608">
        <v>76366.2643056745</v>
      </c>
      <c r="AK608" s="1">
        <f>intersection_ss_Lnight___surface[[#This Row],[surf m2 bout ss]]/intersection_ss_Lnight___surface[[#This Row],[Shape_Area]]</f>
        <v>0.35953634680885493</v>
      </c>
      <c r="AL608">
        <v>957</v>
      </c>
      <c r="AM608">
        <f>intersection_ss_Lnight___surface[[#This Row],[Population totale 2024 ss]]*intersection_ss_Lnight___surface[[#This Row],[Part de la surface du qs dans le noise contour]]</f>
        <v>344.07628389607419</v>
      </c>
    </row>
    <row r="609" spans="1:39" x14ac:dyDescent="0.3">
      <c r="A609">
        <v>621</v>
      </c>
      <c r="B609" t="s">
        <v>1453</v>
      </c>
      <c r="C609" t="s">
        <v>1454</v>
      </c>
      <c r="D609" t="s">
        <v>1455</v>
      </c>
      <c r="E609" t="s">
        <v>1455</v>
      </c>
      <c r="F609" t="s">
        <v>1437</v>
      </c>
      <c r="G609" t="s">
        <v>1363</v>
      </c>
      <c r="H609" t="s">
        <v>1364</v>
      </c>
      <c r="I609" t="s">
        <v>1365</v>
      </c>
      <c r="J609" t="s">
        <v>36</v>
      </c>
      <c r="K609">
        <v>21019</v>
      </c>
      <c r="L609" t="s">
        <v>1366</v>
      </c>
      <c r="M609" t="s">
        <v>1367</v>
      </c>
      <c r="N609" t="s">
        <v>1367</v>
      </c>
      <c r="O609">
        <v>21000</v>
      </c>
      <c r="P609" t="s">
        <v>46</v>
      </c>
      <c r="Q609" t="s">
        <v>47</v>
      </c>
      <c r="R609" t="s">
        <v>48</v>
      </c>
      <c r="T609" t="s">
        <v>36</v>
      </c>
      <c r="U609" t="s">
        <v>36</v>
      </c>
      <c r="V609" t="s">
        <v>36</v>
      </c>
      <c r="W609">
        <v>4000</v>
      </c>
      <c r="X609" t="s">
        <v>49</v>
      </c>
      <c r="Y609" t="s">
        <v>50</v>
      </c>
      <c r="Z609" t="s">
        <v>51</v>
      </c>
      <c r="AA609" t="s">
        <v>37</v>
      </c>
      <c r="AB609" t="s">
        <v>52</v>
      </c>
      <c r="AC609" t="s">
        <v>53</v>
      </c>
      <c r="AD609" t="s">
        <v>54</v>
      </c>
      <c r="AE609">
        <v>61.863472981599998</v>
      </c>
      <c r="AF609">
        <v>4211</v>
      </c>
      <c r="AG609">
        <v>4211.0293158499999</v>
      </c>
      <c r="AH609">
        <v>618644.73187400005</v>
      </c>
      <c r="AI609">
        <v>40</v>
      </c>
      <c r="AJ609">
        <v>25927.336821813002</v>
      </c>
      <c r="AK609" s="1">
        <f>intersection_ss_Lnight___surface[[#This Row],[surf m2 bout ss]]/intersection_ss_Lnight___surface[[#This Row],[Shape_Area]]</f>
        <v>4.1909896724205267E-2</v>
      </c>
      <c r="AL609">
        <v>2</v>
      </c>
      <c r="AM609">
        <f>intersection_ss_Lnight___surface[[#This Row],[Population totale 2024 ss]]*intersection_ss_Lnight___surface[[#This Row],[Part de la surface du qs dans le noise contour]]</f>
        <v>8.3819793448410534E-2</v>
      </c>
    </row>
    <row r="610" spans="1:39" x14ac:dyDescent="0.3">
      <c r="A610">
        <v>622</v>
      </c>
      <c r="B610" t="s">
        <v>1453</v>
      </c>
      <c r="C610" t="s">
        <v>1454</v>
      </c>
      <c r="D610" t="s">
        <v>1455</v>
      </c>
      <c r="E610" t="s">
        <v>1455</v>
      </c>
      <c r="F610" t="s">
        <v>1437</v>
      </c>
      <c r="G610" t="s">
        <v>1363</v>
      </c>
      <c r="H610" t="s">
        <v>1364</v>
      </c>
      <c r="I610" t="s">
        <v>1365</v>
      </c>
      <c r="J610" t="s">
        <v>36</v>
      </c>
      <c r="K610">
        <v>21019</v>
      </c>
      <c r="L610" t="s">
        <v>1366</v>
      </c>
      <c r="M610" t="s">
        <v>1367</v>
      </c>
      <c r="N610" t="s">
        <v>1367</v>
      </c>
      <c r="O610">
        <v>21000</v>
      </c>
      <c r="P610" t="s">
        <v>46</v>
      </c>
      <c r="Q610" t="s">
        <v>47</v>
      </c>
      <c r="R610" t="s">
        <v>48</v>
      </c>
      <c r="T610" t="s">
        <v>36</v>
      </c>
      <c r="U610" t="s">
        <v>36</v>
      </c>
      <c r="V610" t="s">
        <v>36</v>
      </c>
      <c r="W610">
        <v>4000</v>
      </c>
      <c r="X610" t="s">
        <v>49</v>
      </c>
      <c r="Y610" t="s">
        <v>50</v>
      </c>
      <c r="Z610" t="s">
        <v>51</v>
      </c>
      <c r="AA610" t="s">
        <v>37</v>
      </c>
      <c r="AB610" t="s">
        <v>52</v>
      </c>
      <c r="AC610" t="s">
        <v>53</v>
      </c>
      <c r="AD610" t="s">
        <v>54</v>
      </c>
      <c r="AE610">
        <v>61.863472981599998</v>
      </c>
      <c r="AF610">
        <v>4211</v>
      </c>
      <c r="AG610">
        <v>4211.0293158499999</v>
      </c>
      <c r="AH610">
        <v>618644.73187400005</v>
      </c>
      <c r="AI610">
        <v>41</v>
      </c>
      <c r="AJ610">
        <v>50063.420049887303</v>
      </c>
      <c r="AK610" s="1">
        <f>intersection_ss_Lnight___surface[[#This Row],[surf m2 bout ss]]/intersection_ss_Lnight___surface[[#This Row],[Shape_Area]]</f>
        <v>8.0924345541964079E-2</v>
      </c>
      <c r="AL610">
        <v>2</v>
      </c>
      <c r="AM610">
        <f>intersection_ss_Lnight___surface[[#This Row],[Population totale 2024 ss]]*intersection_ss_Lnight___surface[[#This Row],[Part de la surface du qs dans le noise contour]]</f>
        <v>0.16184869108392816</v>
      </c>
    </row>
    <row r="611" spans="1:39" x14ac:dyDescent="0.3">
      <c r="A611">
        <v>623</v>
      </c>
      <c r="B611" t="s">
        <v>1453</v>
      </c>
      <c r="C611" t="s">
        <v>1454</v>
      </c>
      <c r="D611" t="s">
        <v>1455</v>
      </c>
      <c r="E611" t="s">
        <v>1455</v>
      </c>
      <c r="F611" t="s">
        <v>1437</v>
      </c>
      <c r="G611" t="s">
        <v>1363</v>
      </c>
      <c r="H611" t="s">
        <v>1364</v>
      </c>
      <c r="I611" t="s">
        <v>1365</v>
      </c>
      <c r="J611" t="s">
        <v>36</v>
      </c>
      <c r="K611">
        <v>21019</v>
      </c>
      <c r="L611" t="s">
        <v>1366</v>
      </c>
      <c r="M611" t="s">
        <v>1367</v>
      </c>
      <c r="N611" t="s">
        <v>1367</v>
      </c>
      <c r="O611">
        <v>21000</v>
      </c>
      <c r="P611" t="s">
        <v>46</v>
      </c>
      <c r="Q611" t="s">
        <v>47</v>
      </c>
      <c r="R611" t="s">
        <v>48</v>
      </c>
      <c r="T611" t="s">
        <v>36</v>
      </c>
      <c r="U611" t="s">
        <v>36</v>
      </c>
      <c r="V611" t="s">
        <v>36</v>
      </c>
      <c r="W611">
        <v>4000</v>
      </c>
      <c r="X611" t="s">
        <v>49</v>
      </c>
      <c r="Y611" t="s">
        <v>50</v>
      </c>
      <c r="Z611" t="s">
        <v>51</v>
      </c>
      <c r="AA611" t="s">
        <v>37</v>
      </c>
      <c r="AB611" t="s">
        <v>52</v>
      </c>
      <c r="AC611" t="s">
        <v>53</v>
      </c>
      <c r="AD611" t="s">
        <v>54</v>
      </c>
      <c r="AE611">
        <v>61.863472981599998</v>
      </c>
      <c r="AF611">
        <v>4211</v>
      </c>
      <c r="AG611">
        <v>4211.0293158499999</v>
      </c>
      <c r="AH611">
        <v>618644.73187400005</v>
      </c>
      <c r="AI611">
        <v>42</v>
      </c>
      <c r="AJ611">
        <v>91519.376579766598</v>
      </c>
      <c r="AK611" s="1">
        <f>intersection_ss_Lnight___surface[[#This Row],[surf m2 bout ss]]/intersection_ss_Lnight___surface[[#This Row],[Shape_Area]]</f>
        <v>0.14793527183612457</v>
      </c>
      <c r="AL611">
        <v>2</v>
      </c>
      <c r="AM611">
        <f>intersection_ss_Lnight___surface[[#This Row],[Population totale 2024 ss]]*intersection_ss_Lnight___surface[[#This Row],[Part de la surface du qs dans le noise contour]]</f>
        <v>0.29587054367224913</v>
      </c>
    </row>
    <row r="612" spans="1:39" x14ac:dyDescent="0.3">
      <c r="A612">
        <v>624</v>
      </c>
      <c r="B612" t="s">
        <v>1453</v>
      </c>
      <c r="C612" t="s">
        <v>1454</v>
      </c>
      <c r="D612" t="s">
        <v>1455</v>
      </c>
      <c r="E612" t="s">
        <v>1455</v>
      </c>
      <c r="F612" t="s">
        <v>1437</v>
      </c>
      <c r="G612" t="s">
        <v>1363</v>
      </c>
      <c r="H612" t="s">
        <v>1364</v>
      </c>
      <c r="I612" t="s">
        <v>1365</v>
      </c>
      <c r="J612" t="s">
        <v>36</v>
      </c>
      <c r="K612">
        <v>21019</v>
      </c>
      <c r="L612" t="s">
        <v>1366</v>
      </c>
      <c r="M612" t="s">
        <v>1367</v>
      </c>
      <c r="N612" t="s">
        <v>1367</v>
      </c>
      <c r="O612">
        <v>21000</v>
      </c>
      <c r="P612" t="s">
        <v>46</v>
      </c>
      <c r="Q612" t="s">
        <v>47</v>
      </c>
      <c r="R612" t="s">
        <v>48</v>
      </c>
      <c r="T612" t="s">
        <v>36</v>
      </c>
      <c r="U612" t="s">
        <v>36</v>
      </c>
      <c r="V612" t="s">
        <v>36</v>
      </c>
      <c r="W612">
        <v>4000</v>
      </c>
      <c r="X612" t="s">
        <v>49</v>
      </c>
      <c r="Y612" t="s">
        <v>50</v>
      </c>
      <c r="Z612" t="s">
        <v>51</v>
      </c>
      <c r="AA612" t="s">
        <v>37</v>
      </c>
      <c r="AB612" t="s">
        <v>52</v>
      </c>
      <c r="AC612" t="s">
        <v>53</v>
      </c>
      <c r="AD612" t="s">
        <v>54</v>
      </c>
      <c r="AE612">
        <v>61.863472981599998</v>
      </c>
      <c r="AF612">
        <v>4211</v>
      </c>
      <c r="AG612">
        <v>4211.0293158499999</v>
      </c>
      <c r="AH612">
        <v>618644.73187400005</v>
      </c>
      <c r="AI612">
        <v>43</v>
      </c>
      <c r="AJ612">
        <v>117681.28511347</v>
      </c>
      <c r="AK612" s="1">
        <f>intersection_ss_Lnight___surface[[#This Row],[surf m2 bout ss]]/intersection_ss_Lnight___surface[[#This Row],[Shape_Area]]</f>
        <v>0.19022433886568399</v>
      </c>
      <c r="AL612">
        <v>2</v>
      </c>
      <c r="AM612">
        <f>intersection_ss_Lnight___surface[[#This Row],[Population totale 2024 ss]]*intersection_ss_Lnight___surface[[#This Row],[Part de la surface du qs dans le noise contour]]</f>
        <v>0.38044867773136798</v>
      </c>
    </row>
    <row r="613" spans="1:39" x14ac:dyDescent="0.3">
      <c r="A613">
        <v>625</v>
      </c>
      <c r="B613" t="s">
        <v>1453</v>
      </c>
      <c r="C613" t="s">
        <v>1454</v>
      </c>
      <c r="D613" t="s">
        <v>1455</v>
      </c>
      <c r="E613" t="s">
        <v>1455</v>
      </c>
      <c r="F613" t="s">
        <v>1437</v>
      </c>
      <c r="G613" t="s">
        <v>1363</v>
      </c>
      <c r="H613" t="s">
        <v>1364</v>
      </c>
      <c r="I613" t="s">
        <v>1365</v>
      </c>
      <c r="J613" t="s">
        <v>36</v>
      </c>
      <c r="K613">
        <v>21019</v>
      </c>
      <c r="L613" t="s">
        <v>1366</v>
      </c>
      <c r="M613" t="s">
        <v>1367</v>
      </c>
      <c r="N613" t="s">
        <v>1367</v>
      </c>
      <c r="O613">
        <v>21000</v>
      </c>
      <c r="P613" t="s">
        <v>46</v>
      </c>
      <c r="Q613" t="s">
        <v>47</v>
      </c>
      <c r="R613" t="s">
        <v>48</v>
      </c>
      <c r="T613" t="s">
        <v>36</v>
      </c>
      <c r="U613" t="s">
        <v>36</v>
      </c>
      <c r="V613" t="s">
        <v>36</v>
      </c>
      <c r="W613">
        <v>4000</v>
      </c>
      <c r="X613" t="s">
        <v>49</v>
      </c>
      <c r="Y613" t="s">
        <v>50</v>
      </c>
      <c r="Z613" t="s">
        <v>51</v>
      </c>
      <c r="AA613" t="s">
        <v>37</v>
      </c>
      <c r="AB613" t="s">
        <v>52</v>
      </c>
      <c r="AC613" t="s">
        <v>53</v>
      </c>
      <c r="AD613" t="s">
        <v>54</v>
      </c>
      <c r="AE613">
        <v>61.863472981599998</v>
      </c>
      <c r="AF613">
        <v>4211</v>
      </c>
      <c r="AG613">
        <v>4211.0293158499999</v>
      </c>
      <c r="AH613">
        <v>618644.73187400005</v>
      </c>
      <c r="AI613">
        <v>44</v>
      </c>
      <c r="AJ613">
        <v>147226.92628929901</v>
      </c>
      <c r="AK613" s="1">
        <f>intersection_ss_Lnight___surface[[#This Row],[surf m2 bout ss]]/intersection_ss_Lnight___surface[[#This Row],[Shape_Area]]</f>
        <v>0.23798299525370378</v>
      </c>
      <c r="AL613">
        <v>2</v>
      </c>
      <c r="AM613">
        <f>intersection_ss_Lnight___surface[[#This Row],[Population totale 2024 ss]]*intersection_ss_Lnight___surface[[#This Row],[Part de la surface du qs dans le noise contour]]</f>
        <v>0.47596599050740757</v>
      </c>
    </row>
    <row r="614" spans="1:39" x14ac:dyDescent="0.3">
      <c r="A614">
        <v>626</v>
      </c>
      <c r="B614" t="s">
        <v>1453</v>
      </c>
      <c r="C614" t="s">
        <v>1454</v>
      </c>
      <c r="D614" t="s">
        <v>1455</v>
      </c>
      <c r="E614" t="s">
        <v>1455</v>
      </c>
      <c r="F614" t="s">
        <v>1437</v>
      </c>
      <c r="G614" t="s">
        <v>1363</v>
      </c>
      <c r="H614" t="s">
        <v>1364</v>
      </c>
      <c r="I614" t="s">
        <v>1365</v>
      </c>
      <c r="J614" t="s">
        <v>36</v>
      </c>
      <c r="K614">
        <v>21019</v>
      </c>
      <c r="L614" t="s">
        <v>1366</v>
      </c>
      <c r="M614" t="s">
        <v>1367</v>
      </c>
      <c r="N614" t="s">
        <v>1367</v>
      </c>
      <c r="O614">
        <v>21000</v>
      </c>
      <c r="P614" t="s">
        <v>46</v>
      </c>
      <c r="Q614" t="s">
        <v>47</v>
      </c>
      <c r="R614" t="s">
        <v>48</v>
      </c>
      <c r="T614" t="s">
        <v>36</v>
      </c>
      <c r="U614" t="s">
        <v>36</v>
      </c>
      <c r="V614" t="s">
        <v>36</v>
      </c>
      <c r="W614">
        <v>4000</v>
      </c>
      <c r="X614" t="s">
        <v>49</v>
      </c>
      <c r="Y614" t="s">
        <v>50</v>
      </c>
      <c r="Z614" t="s">
        <v>51</v>
      </c>
      <c r="AA614" t="s">
        <v>37</v>
      </c>
      <c r="AB614" t="s">
        <v>52</v>
      </c>
      <c r="AC614" t="s">
        <v>53</v>
      </c>
      <c r="AD614" t="s">
        <v>54</v>
      </c>
      <c r="AE614">
        <v>61.863472981599998</v>
      </c>
      <c r="AF614">
        <v>4211</v>
      </c>
      <c r="AG614">
        <v>4211.0293158499999</v>
      </c>
      <c r="AH614">
        <v>618644.73187400005</v>
      </c>
      <c r="AI614">
        <v>45</v>
      </c>
      <c r="AJ614">
        <v>182582.02789626201</v>
      </c>
      <c r="AK614" s="1">
        <f>intersection_ss_Lnight___surface[[#This Row],[surf m2 bout ss]]/intersection_ss_Lnight___surface[[#This Row],[Shape_Area]]</f>
        <v>0.29513227623095423</v>
      </c>
      <c r="AL614">
        <v>2</v>
      </c>
      <c r="AM614">
        <f>intersection_ss_Lnight___surface[[#This Row],[Population totale 2024 ss]]*intersection_ss_Lnight___surface[[#This Row],[Part de la surface du qs dans le noise contour]]</f>
        <v>0.59026455246190845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30D6777-D177-4A78-8C87-902A9A9E2B5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sharepoint/v3"/>
    <ds:schemaRef ds:uri="91209b0d-df00-4944-b7f8-142ec344259d"/>
    <ds:schemaRef ds:uri="http://schemas.microsoft.com/office/infopath/2007/PartnerControls"/>
    <ds:schemaRef ds:uri="729e8fd1-ecf3-4d30-a40c-81a442d1841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D60A3FF-E811-40F4-8B67-956BF040B1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A1FA66-9EDB-4EB5-8348-31F6C9F83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1ADA0DF-84B5-4FDF-9023-6FA328D1E6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lden</vt:lpstr>
      <vt:lpstr>lnight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Vialay</dc:creator>
  <cp:lastModifiedBy>Alexander Lambrecht</cp:lastModifiedBy>
  <dcterms:created xsi:type="dcterms:W3CDTF">2026-05-21T08:19:34Z</dcterms:created>
  <dcterms:modified xsi:type="dcterms:W3CDTF">2026-05-21T10:12:43Z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